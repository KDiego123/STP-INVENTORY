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4"/>
    <sheet state="visible" name="CODIFICACIÓN" sheetId="2" r:id="rId5"/>
    <sheet state="visible" name="U M" sheetId="3" r:id="rId6"/>
    <sheet state="visible" name="GRUPO" sheetId="4" r:id="rId7"/>
    <sheet state="visible" name="FAMILIA" sheetId="5" r:id="rId8"/>
    <sheet state="visible" name="SUB FAMILIA" sheetId="6" r:id="rId9"/>
  </sheets>
  <definedNames>
    <definedName hidden="1" localSheetId="0" name="_xlnm._FilterDatabase">BD!$A$1:$M$3194</definedName>
    <definedName hidden="1" localSheetId="2" name="_xlnm._FilterDatabase">'U M'!$A$1:$B$17</definedName>
    <definedName hidden="1" localSheetId="3" name="_xlnm._FilterDatabase">GRUPO!$A$1:$A$9</definedName>
    <definedName hidden="1" localSheetId="4" name="_xlnm._FilterDatabase">FAMILIA!$A$1:$A$56</definedName>
    <definedName hidden="1" localSheetId="5" name="_xlnm._FilterDatabase">'SUB FAMILIA'!$A$1:$A$233</definedName>
  </definedNames>
  <calcPr/>
  <extLst>
    <ext uri="GoogleSheetsCustomDataVersion2">
      <go:sheetsCustomData xmlns:go="http://customooxmlschemas.google.com/" r:id="rId10" roundtripDataChecksum="yoF3WaBejZfRyIjRCkKWC5G4/sArM/fT1qumuqlaFBc="/>
    </ext>
  </extLst>
</workbook>
</file>

<file path=xl/sharedStrings.xml><?xml version="1.0" encoding="utf-8"?>
<sst xmlns="http://schemas.openxmlformats.org/spreadsheetml/2006/main" count="22830" uniqueCount="6955">
  <si>
    <t>IT</t>
  </si>
  <si>
    <t>CÓDIGO</t>
  </si>
  <si>
    <t>DESCRIPCIÓN</t>
  </si>
  <si>
    <t>N° DE SERIE</t>
  </si>
  <si>
    <t>COD INT</t>
  </si>
  <si>
    <t>U/M</t>
  </si>
  <si>
    <t>PRECIO (USD)</t>
  </si>
  <si>
    <t>GRUPO</t>
  </si>
  <si>
    <t>FAMILIA</t>
  </si>
  <si>
    <t>SUB FAMILIA</t>
  </si>
  <si>
    <t>OBSERVACIÓN</t>
  </si>
  <si>
    <t>MARCA</t>
  </si>
  <si>
    <t>LARGO LETRAS</t>
  </si>
  <si>
    <t>EPP000001</t>
  </si>
  <si>
    <t>ADAPTADOR PARA FILTROS MODELO: 502</t>
  </si>
  <si>
    <t>PAR</t>
  </si>
  <si>
    <t>EPP</t>
  </si>
  <si>
    <t>ARTICULO DE SEGURIDAD</t>
  </si>
  <si>
    <t>PROTECCION RESPIRATORIA</t>
  </si>
  <si>
    <t>3M</t>
  </si>
  <si>
    <t>EPP000002</t>
  </si>
  <si>
    <t>ANTIPARRA DE SEGURIDAD K-2 A/F LUNA CLARA</t>
  </si>
  <si>
    <t>UND</t>
  </si>
  <si>
    <t>PROTECCION FACIAL</t>
  </si>
  <si>
    <t>SP</t>
  </si>
  <si>
    <t>EPP000003</t>
  </si>
  <si>
    <t>ANTIPARRA LUNAS CLARAS ANTIEMPAÑANTES MODELO: TURBINE</t>
  </si>
  <si>
    <t>STEELPRO</t>
  </si>
  <si>
    <t>EPP000004</t>
  </si>
  <si>
    <t>ANTIPARRA LUNAS OSCURAS ANTIEMPAÑANTES MODELO: TURBINE</t>
  </si>
  <si>
    <t>EPP000005</t>
  </si>
  <si>
    <t>ARNES DE SEGURIDAD TIPO PARACAIDISTA DE 4 ANILLOS</t>
  </si>
  <si>
    <t>PROTECCION CONTRA CAIDAS</t>
  </si>
  <si>
    <t>S/N</t>
  </si>
  <si>
    <t>EPP000006</t>
  </si>
  <si>
    <t>ARNES TIPO LINIERO DE 4 ANILLOS C/SENTADERA MODELO: L6A7H</t>
  </si>
  <si>
    <t>HAUK</t>
  </si>
  <si>
    <t>EPP000007</t>
  </si>
  <si>
    <t>AUTORRESCATADOR - W65</t>
  </si>
  <si>
    <t>MSA</t>
  </si>
  <si>
    <t>EPP000008</t>
  </si>
  <si>
    <t>BARBIQUEJO DIELECTRICO P/CASCO CON MENTONERA</t>
  </si>
  <si>
    <t>PROTECCION PARA CABEZA</t>
  </si>
  <si>
    <t>EPP000009</t>
  </si>
  <si>
    <t>BLUSA PARA DAMA MANGA LARGA C/ CELESTE LOGO: STP TALLA: L</t>
  </si>
  <si>
    <t>UNIFORME</t>
  </si>
  <si>
    <t>EPP000010</t>
  </si>
  <si>
    <t>BLUSA PARA DAMA MANGA LARGA C/ CELESTE LOGO: STP TALLA: M</t>
  </si>
  <si>
    <t>EPP000011</t>
  </si>
  <si>
    <t>BLUSA PARA DAMA MANGA LARGA C/ CELESTE LOGO: STP TALLA: S</t>
  </si>
  <si>
    <t>EPP000012</t>
  </si>
  <si>
    <t>BLUSA PARA DAMA MANGA LARGA C/ CELESTE LOGO: STP TALLA: XL</t>
  </si>
  <si>
    <t>EPP000013</t>
  </si>
  <si>
    <t>BOTA DE JEBE "MUSLERA" CON PUNTA DE ACERO TALLA: 37</t>
  </si>
  <si>
    <t>CALZADO</t>
  </si>
  <si>
    <t>EPP000014</t>
  </si>
  <si>
    <t>BOTA DE JEBE "MUSLERA" CON PUNTA DE ACERO TALLA: 38</t>
  </si>
  <si>
    <t>EPP000015</t>
  </si>
  <si>
    <t>BOTA DE JEBE "MUSLERA" CON PUNTA DE ACERO TALLA: 39</t>
  </si>
  <si>
    <t>EPP000016</t>
  </si>
  <si>
    <t>BOTA DE JEBE "MUSLERA" CON PUNTA DE ACERO TALLA: 40</t>
  </si>
  <si>
    <t>EPP000017</t>
  </si>
  <si>
    <t>BOTA DE JEBE "MUSLERA" CON PUNTA DE ACERO TALLA: 41</t>
  </si>
  <si>
    <t>EPP000018</t>
  </si>
  <si>
    <t>BOTA DE JEBE "MUSLERA" CON PUNTA DE ACERO TALLA: 42</t>
  </si>
  <si>
    <t>EPP000019</t>
  </si>
  <si>
    <t>BOTA DE JEBE "MUSLERA" CON PUNTA DE ACERO TALLA: 43</t>
  </si>
  <si>
    <t>EPP000020</t>
  </si>
  <si>
    <t>BOTA DE JEBE CON PUNTERA DE ACERO PLANTA AMARILLA TALLA: 37</t>
  </si>
  <si>
    <t>EPP000021</t>
  </si>
  <si>
    <t>BOTA DE JEBE CON PUNTERA DE ACERO PLANTA AMARILLA TALLA: 38</t>
  </si>
  <si>
    <t>EPP000022</t>
  </si>
  <si>
    <t>BOTA DE JEBE CON PUNTERA DE ACERO PLANTA AMARILLA TALLA: 39</t>
  </si>
  <si>
    <t>EPP000023</t>
  </si>
  <si>
    <t>BOTA DE JEBE CON PUNTERA DE ACERO PLANTA AMARILLA TALLA: 40</t>
  </si>
  <si>
    <t>EPP000024</t>
  </si>
  <si>
    <t>BOTA DE JEBE CON PUNTERA DE ACERO PLANTA AMARILLA TALLA: 41</t>
  </si>
  <si>
    <t>EPP000025</t>
  </si>
  <si>
    <t>BOTA DE JEBE CON PUNTERA DE ACERO PLANTA AMARILLA TALLA: 42</t>
  </si>
  <si>
    <t>EPP000026</t>
  </si>
  <si>
    <t>BOTA DE JEBE CON PUNTERA DE ACERO PLANTA AMARILLA TALLA: 43</t>
  </si>
  <si>
    <t>EPP000027</t>
  </si>
  <si>
    <t>BOTA DE JEBE CON PUNTERA DE ACERO PLANTA NEGRA TALLA: 37</t>
  </si>
  <si>
    <t>EPP000028</t>
  </si>
  <si>
    <t>BOTA DE JEBE CON PUNTERA DE ACERO PLANTA NEGRA TALLA: 38</t>
  </si>
  <si>
    <t>EPP000029</t>
  </si>
  <si>
    <t>BOTA DE JEBE CON PUNTERA DE ACERO PLANTA NEGRA TALLA: 39</t>
  </si>
  <si>
    <t>EPP000030</t>
  </si>
  <si>
    <t>BOTA DE JEBE CON PUNTERA DE ACERO PLANTA NEGRA TALLA: 40</t>
  </si>
  <si>
    <t>EPP000031</t>
  </si>
  <si>
    <t>BOTA DE JEBE CON PUNTERA DE ACERO PLANTA NEGRA TALLA: 41</t>
  </si>
  <si>
    <t>EPP000032</t>
  </si>
  <si>
    <t>BOTA DE JEBE CON PUNTERA DE ACERO PLANTA NEGRA TALLA: 42</t>
  </si>
  <si>
    <t>EPP000033</t>
  </si>
  <si>
    <t>BOTA DE JEBE CON PUNTERA DE ACERO PLANTA NEGRA TALLA: 43</t>
  </si>
  <si>
    <t>EPP000034</t>
  </si>
  <si>
    <t>BOTIN DIELECTRICO RESISTENCIA ANTIPERFORANTE NTP-ISO-20345-2008 TALLA: 35</t>
  </si>
  <si>
    <t>EPP000035</t>
  </si>
  <si>
    <t>BOTIN DIELECTRICO RESISTENCIA ANTIPERFORANTE NTP-ISO-20345-2008 TALLA: 36</t>
  </si>
  <si>
    <t>EPP000036</t>
  </si>
  <si>
    <t>BOTIN DIELECTRICO RESISTENCIA ANTIPERFORANTE NTP-ISO-20345-2008 TALLA: 37</t>
  </si>
  <si>
    <t>EPP000037</t>
  </si>
  <si>
    <t>BOTIN DIELECTRICO RESISTENCIA ANTIPERFORANTE NTP-ISO-20345-2008 TALLA: 38</t>
  </si>
  <si>
    <t>EPP000038</t>
  </si>
  <si>
    <t>BOTIN DIELECTRICO RESISTENCIA ANTIPERFORANTE NTP-ISO-20345-2008 TALLA: 39</t>
  </si>
  <si>
    <t>EPP000039</t>
  </si>
  <si>
    <t>BOTIN DIELECTRICO RESISTENCIA ANTIPERFORANTE NTP-ISO-20345-2008 TALLA: 40</t>
  </si>
  <si>
    <t>EPP000040</t>
  </si>
  <si>
    <t>BOTIN DIELECTRICO RESISTENCIA ANTIPERFORANTE NTP-ISO-20345-2008 TALLA: 41</t>
  </si>
  <si>
    <t>EPP000041</t>
  </si>
  <si>
    <t>BOTIN DIELECTRICO RESISTENCIA ANTIPERFORANTE NTP-ISO-20345-2008 TALLA: 42</t>
  </si>
  <si>
    <t>EPP000042</t>
  </si>
  <si>
    <t>BOTIN DIELECTRICO RESISTENCIA ANTIPERFORANTE NTP-ISO-20345-2008 TALLA: 43</t>
  </si>
  <si>
    <t>EPP000043</t>
  </si>
  <si>
    <t>BOTIN DIELECTRICO RESISTENCIA ANTIPERFORANTE NTP-ISO-20345-2008 TALLA: 44</t>
  </si>
  <si>
    <t>EPP000044</t>
  </si>
  <si>
    <t>BOTIN DIELECTRICO RESISTENCIA ANTIPERFORANTE NTP-ISO-20345-2008 TALLA: 45</t>
  </si>
  <si>
    <t>EPP000045</t>
  </si>
  <si>
    <t>BOTIN PUNTA ACERO RESISTENCIA ANTIPERFORANTE NTP-ISO-20345-2008 TALLA: 35</t>
  </si>
  <si>
    <t>EPP000046</t>
  </si>
  <si>
    <t>BOTIN PUNTA ACERO RESISTENCIA ANTIPERFORANTE NTP-ISO-20345-2008 TALLA: 36</t>
  </si>
  <si>
    <t>EPP000047</t>
  </si>
  <si>
    <t>BOTIN PUNTA ACERO RESISTENCIA ANTIPERFORANTE NTP-ISO-20345-2008 TALLA: 37</t>
  </si>
  <si>
    <t>EPP000048</t>
  </si>
  <si>
    <t>BOTIN PUNTA ACERO RESISTENCIA ANTIPERFORANTE NTP-ISO-20345-2008 TALLA: 38</t>
  </si>
  <si>
    <t>EPP000049</t>
  </si>
  <si>
    <t>BOTIN PUNTA ACERO RESISTENCIA ANTIPERFORANTE NTP-ISO-20345-2008 TALLA: 39</t>
  </si>
  <si>
    <t>EPP000050</t>
  </si>
  <si>
    <t>BOTIN PUNTA ACERO RESISTENCIA ANTIPERFORANTE NTP-ISO-20345-2008 TALLA: 40</t>
  </si>
  <si>
    <t>EPP000051</t>
  </si>
  <si>
    <t>BOTIN PUNTA ACERO RESISTENCIA ANTIPERFORANTE NTP-ISO-20345-2008 TALLA: 41</t>
  </si>
  <si>
    <t>EPP000052</t>
  </si>
  <si>
    <t>BOTIN PUNTA ACERO RESISTENCIA ANTIPERFORANTE NTP-ISO-20345-2008 TALLA: 42</t>
  </si>
  <si>
    <t>EPP000053</t>
  </si>
  <si>
    <t>BOTIN PUNTA ACERO RESISTENCIA ANTIPERFORANTE NTP-ISO-20345-2008 TALLA: 43</t>
  </si>
  <si>
    <t>EPP000054</t>
  </si>
  <si>
    <t>BOTIN PUNTA ACERO RESISTENCIA ANTIPERFORANTE NTP-ISO-20345-2008 TALLA: 44</t>
  </si>
  <si>
    <t>EPP000055</t>
  </si>
  <si>
    <t>BOTIN PUNTA ACERO RESISTENCIA ANTIPERFORANTE NTP-ISO-20345-2008 TALLA: 45</t>
  </si>
  <si>
    <t>EPP000056</t>
  </si>
  <si>
    <t>BUSO DE LANA (CALENTADOR) TALLA: L</t>
  </si>
  <si>
    <t>EPP000057</t>
  </si>
  <si>
    <t>BUSO DE LANA (CALENTADOR) TALLA: M</t>
  </si>
  <si>
    <t>EPP000058</t>
  </si>
  <si>
    <t>BUSO DE LANA (CALENTADOR) TALLA: S</t>
  </si>
  <si>
    <t>EPP000059</t>
  </si>
  <si>
    <t>BUSO DE LANA (CALENTADOR) TALLA: XL</t>
  </si>
  <si>
    <t>EPP000060</t>
  </si>
  <si>
    <t>BUSO DE LANA (CALENTADOR) TALLA: XXL</t>
  </si>
  <si>
    <t>EPP000061</t>
  </si>
  <si>
    <t>CAMISA P/CABALLERO MANGA LARGA COLOR CELESTE LOGO: STP TALLA: L</t>
  </si>
  <si>
    <t>EPP000062</t>
  </si>
  <si>
    <t>CAMISA P/CABALLERO MANGA LARGA COLOR CELESTE LOGO: STP TALLA: M</t>
  </si>
  <si>
    <t>EPP000063</t>
  </si>
  <si>
    <t>CAMISA P/CABALLERO MANGA LARGA COLOR CELESTE LOGO: STP TALLA: S</t>
  </si>
  <si>
    <t>EPP000064</t>
  </si>
  <si>
    <t>CAMISA P/CABALLERO MANGA LARGA COLOR CELESTE LOGO: STP TALLA: XL</t>
  </si>
  <si>
    <t>EPP000065</t>
  </si>
  <si>
    <t>CAMISA P/CABALLERO MANGA LARGA COLOR CELESTE LOGO: STP TALLA: XS</t>
  </si>
  <si>
    <t>EPP000066</t>
  </si>
  <si>
    <t>CAMISA P/CABALLERO MANGA LARGA COLOR CELESTE LOGO: STP TALLA: XXL</t>
  </si>
  <si>
    <t>EPP000067</t>
  </si>
  <si>
    <t>CARETA CON ARCO ELECTRICA DE MEDIA TENSION</t>
  </si>
  <si>
    <t>EPP000068</t>
  </si>
  <si>
    <t>CARETA PARA SOLDAR ADAPTABLE AL CASCO</t>
  </si>
  <si>
    <t>ACCESORIO PARA SOLDADOR</t>
  </si>
  <si>
    <t>EPP000069</t>
  </si>
  <si>
    <t>CARETA PARA SOLDAR OPTECH</t>
  </si>
  <si>
    <t>EPP000070</t>
  </si>
  <si>
    <t>CARTUCHO COMBINADO MIXTO/FILTRO MODELO: 60923</t>
  </si>
  <si>
    <t>EPP000071</t>
  </si>
  <si>
    <t>CARTUCHO CONTRA VAPORES ORGANICOS Y GASES ACIDOS MODELO: 6003</t>
  </si>
  <si>
    <t>EPP000072</t>
  </si>
  <si>
    <t>CASACA CINTA REF FORRO POLAR CAPUCHA COLOR NARANJA LOGO STP TALLA: L</t>
  </si>
  <si>
    <t>EPP000073</t>
  </si>
  <si>
    <t>CASACA CINTA REF FORRO POLAR CAPUCHA COLOR NARANJA LOGO STP TALLA: M</t>
  </si>
  <si>
    <t>EPP000074</t>
  </si>
  <si>
    <t>CASACA CINTA REF FORRO POLAR CAPUCHA COLOR NARANJA LOGO STP TALLA: S</t>
  </si>
  <si>
    <t>EPP000075</t>
  </si>
  <si>
    <t>CASACA CINTA REF FORRO POLAR CAPUCHA COLOR NARANJA LOGO STP TALLA: XL</t>
  </si>
  <si>
    <t>EPP000076</t>
  </si>
  <si>
    <t>CASACA CINTA REF FORRO POLAR CAPUCHA COLOR NARANJA LOGO STP TALLA: XXL</t>
  </si>
  <si>
    <t>EPP000077</t>
  </si>
  <si>
    <t>CASACA DE CUERO RES AMARILLO P/ SOLDADOR (100% CUERO)</t>
  </si>
  <si>
    <t>VESTIMENTA DE CUERO PARA SOLDADOR</t>
  </si>
  <si>
    <t>EPP000078</t>
  </si>
  <si>
    <t>CASCO DIELECTRICO AMARILLO C/SUSPENSION MODELO: H700</t>
  </si>
  <si>
    <t>EPP000079</t>
  </si>
  <si>
    <t>CASCO DIELECTRICO AZUL C/SUSPENSION MODELO: H700</t>
  </si>
  <si>
    <t>EPP000080</t>
  </si>
  <si>
    <t>CASCO DIELECTRICO BLANCO C/SUSPENSION MODELO: H700</t>
  </si>
  <si>
    <t>EPP000081</t>
  </si>
  <si>
    <t>CASCO DIELECTRICO MARRON C/SUSPENSION MODELO: H700</t>
  </si>
  <si>
    <t>EPP000082</t>
  </si>
  <si>
    <t>CASCO DIELECTRICO ROJO C/SUSPENSION MODELO: H700</t>
  </si>
  <si>
    <t>EPP000083</t>
  </si>
  <si>
    <t>CHALECO DRILL 05 BOL CINTA REF LOGO BORD PECHO ESP COLOR AMARILLO VIGIA TALLA L</t>
  </si>
  <si>
    <t>EPP000084</t>
  </si>
  <si>
    <t>CHALECO DRILL 05 BOL CINTA REF LOGO BORD PECHO ESP COLOR AMARILLO VIGIA TALLA M</t>
  </si>
  <si>
    <t>EPP000085</t>
  </si>
  <si>
    <t>CHALECO DRILL 05 BOL CINTA REF LOGO BORD PECHO ESP COLOR AMARILLO VIGIA TALLA XL</t>
  </si>
  <si>
    <t>EPP000086</t>
  </si>
  <si>
    <t>CHALECO DRILL 05 BOL CINTA REF LOGO BORD PECHO ESP COLOR AZUL OPERADOR TALLA: L</t>
  </si>
  <si>
    <t>EPP000087</t>
  </si>
  <si>
    <t>CHALECO DRILL 05 BOL CINTA REF LOGO BORD PECHO ESP COLOR AZUL OPERADOR TALLA: XL</t>
  </si>
  <si>
    <t>EPP000088</t>
  </si>
  <si>
    <t>CHALECO DRILL 05 BOL CINTA REF LOGO BORD STP PECHO ESP COLOR NARANJA TALLA: L</t>
  </si>
  <si>
    <t>EPP000089</t>
  </si>
  <si>
    <t>CHALECO DRILL 05 BOL CINTA REF LOGO BORD STP PECHO ESP COLOR NARANJA TALLA: M</t>
  </si>
  <si>
    <t>EPP000090</t>
  </si>
  <si>
    <t>CHALECO DRILL 05 BOL CINTA REF LOGO BORD STP PECHO ESP COLOR NARANJA TALLA: S</t>
  </si>
  <si>
    <t>EPP000091</t>
  </si>
  <si>
    <t>CHALECO DRILL 05 BOL CINTA REF LOGO BORD STP PECHO ESP COLOR NARANJA TALLA: XL</t>
  </si>
  <si>
    <t>EPP000092</t>
  </si>
  <si>
    <t>CHALECO DRILL 05 BOL CINTA REF LOGO BORD STP PECHO ESP COLOR NARANJA TALLA: XXL</t>
  </si>
  <si>
    <t>EPP000093</t>
  </si>
  <si>
    <t>CHALECO DRILL 05 BOL CIN REF LOGO BORD PECHO ESP ROJO SUPERVISOR OPERATIVO T: L</t>
  </si>
  <si>
    <t>EPP000094</t>
  </si>
  <si>
    <t>CHALECO DRILL 05 BOL CIN REF LOGO BORD PECHO ESP ROJO SUPERVISOR OPERATIVO T: M</t>
  </si>
  <si>
    <t>EPP000095</t>
  </si>
  <si>
    <t>CHALECO DRILL 05 BOL CIN REF LOGO BORD PECHO ESP ROJO SUPERVISOR OPERATIVO T: S</t>
  </si>
  <si>
    <t>EPP000096</t>
  </si>
  <si>
    <t>CHALECO DRILL 05 BOL CIN REF LOGO BORD PECHO ESP ROJO SUPERVISOR OPERATIVO T: XL</t>
  </si>
  <si>
    <t>EPP000097</t>
  </si>
  <si>
    <t>CHALECO DRILL 05 BOL CIN REF LOG BORD PECHO ESP ROJO SUPERVISOR OPERATIVO T: XXL</t>
  </si>
  <si>
    <t>EPP000098</t>
  </si>
  <si>
    <t>CHALECO DRILL 05 BOL CINTA REF LOGO BORD PECHO ESP COL ROJO/VERDE RIGGER T: L</t>
  </si>
  <si>
    <t>EPP000099</t>
  </si>
  <si>
    <t>CHALECO DRILL 05 BOL CINTA REF LOGO BORD PECHO ESP COL ROJO/VERDE RIGGER T: XL</t>
  </si>
  <si>
    <t>CHALECO DRILL 05 BOL CINTA REF LOGO BORDADO STP PECHO Y ESP COLOR VERDE LIMON SUPERVISOR SSOMA TALLA: L</t>
  </si>
  <si>
    <t>EPP000100</t>
  </si>
  <si>
    <t>CHALECO DRILL 05 BOL CIN REF LOG PECHO ESP VERDE LIMON SUPERVISOR SSOMA T: L</t>
  </si>
  <si>
    <t>EPP000101</t>
  </si>
  <si>
    <t>CHALECO DRILL 05 BOL CIN REF LOG PECHO ESP VERDE LIMON SUPERVISOR SSOMA T: M</t>
  </si>
  <si>
    <t>EPP000102</t>
  </si>
  <si>
    <t>CHALECO DRILL 05 BOL CIN REF LOG PECHO ESP VERDE LIMON SUPERVISOR SSOMA T: S</t>
  </si>
  <si>
    <t>EPP000103</t>
  </si>
  <si>
    <t>CHALECO DRILL 05 BOL CIN REF LOG PECHO ESP VERDE LIMON SUPERVISOR SSOMA T: XL</t>
  </si>
  <si>
    <t>EPP000104</t>
  </si>
  <si>
    <t>CHALECO DRILL 05 BOL CIN REF LOG PECHO ESP VERDE LIMON SUPERVISOR SSOMA T: XXL</t>
  </si>
  <si>
    <t>EPP000105</t>
  </si>
  <si>
    <t>CHALECO SALVAVIDAS COLOR NARANJA</t>
  </si>
  <si>
    <t>CHALECO DRILL 05 BOL CINTA REF LOGO BORDADO STP PECHO Y ESP COLOR VERDE LIMON SUPERVISOR SSOMA TALLA: M</t>
  </si>
  <si>
    <t>EPP000106</t>
  </si>
  <si>
    <t>CHOMPA DE LANA MODELO: JORGE CHAVEZ LOGO STP COLOR NEGRO TALLA: L</t>
  </si>
  <si>
    <t>CHALECO DRILL 05 BOL CINTA REF LOGO BORDADO STP PECHO Y ESP COLOR VERDE LIMON SUPERVISOR SSOMA TALLA: S</t>
  </si>
  <si>
    <t>EPP000107</t>
  </si>
  <si>
    <t>CHOMPA DE LANA MODELO: JORGE CHAVEZ LOGO STP COLOR NEGRO TALLA: M</t>
  </si>
  <si>
    <t>CHALECO DRILL 05 BOL CINTA REF LOGO BORDADO STP PECHO Y ESP COLOR VERDE LIMON SUPERVISOR SSOMA TALLA: XL</t>
  </si>
  <si>
    <t>EPP000108</t>
  </si>
  <si>
    <t>CHOMPA DE LANA MODELO: JORGE CHAVEZ LOGO STP COLOR NEGRO TALLA: S</t>
  </si>
  <si>
    <t>CHALECO DRILL 05 BOL CINTA REF LOGO BORDADO STP PECHO Y ESP COLOR VERDE LIMON SUPERVISOR SSOMA TALLA: XXL</t>
  </si>
  <si>
    <t>EPP000109</t>
  </si>
  <si>
    <t>CHOMPA DE LANA MODELO: JORGE CHAVEZ LOGO STP COLOR NEGRO TALLA: XL</t>
  </si>
  <si>
    <t>EPP000110</t>
  </si>
  <si>
    <t>CHOMPA DE LANA MODELO: JORGE CHAVEZ LOGO STP COLOR NEGRO TALLA: XXL</t>
  </si>
  <si>
    <t>EPP000111</t>
  </si>
  <si>
    <t>CLIP SOPORTE P/CARETA FACIAL</t>
  </si>
  <si>
    <t>EPP000112</t>
  </si>
  <si>
    <t>CORTAVIENTO DE TELA C/FORRO C/LOGO STP C/AZUL</t>
  </si>
  <si>
    <t>EPP000113</t>
  </si>
  <si>
    <t>ESCARPIN DE CUERO RES AMARILLO P/ SOLDADOR (100% CUERO)</t>
  </si>
  <si>
    <t>EPP000114</t>
  </si>
  <si>
    <t>FILTRO P/ RESPIRADOR P-100 ALTA EFICIENCIA P/ PARTICULAS MODELO: 2097</t>
  </si>
  <si>
    <t>EPP000115</t>
  </si>
  <si>
    <t>FILTRO P/ RESPIRADOR P-100 ALTA EFICIENCIA P/ PARTICULAS MODELO: 7093</t>
  </si>
  <si>
    <t>EPP000116</t>
  </si>
  <si>
    <t>GAFAS/ANTEOJOS DE SEGURIDAD, ALTIMETER, LUNA CLARA (ANTI FOG EXTREMO)</t>
  </si>
  <si>
    <t>EPP000117</t>
  </si>
  <si>
    <t>GORRO DE CUERO PARA SOLDAR RES AMARILLO P/ SOLDADOR (100% CUERO)</t>
  </si>
  <si>
    <t>EPP000118</t>
  </si>
  <si>
    <t>GORRO PARA SOLDADOR DE JEAN MODELO: CHAVITO COLOR: AZUL</t>
  </si>
  <si>
    <t>EPP000119</t>
  </si>
  <si>
    <t>GUANTE ANTI IMPACTO MODELO: VV910IA09</t>
  </si>
  <si>
    <t>PROTECCION BRAZOS Y MANOS</t>
  </si>
  <si>
    <t>DELTA PLUS</t>
  </si>
  <si>
    <t>EPP000120</t>
  </si>
  <si>
    <t>GUANTE ANTI IMPACTO</t>
  </si>
  <si>
    <t>PORTWEST</t>
  </si>
  <si>
    <t>EPP000121</t>
  </si>
  <si>
    <t>GUANTE ANTICORTE CON PALMA DE PU MODELO: A622 TALLA: L</t>
  </si>
  <si>
    <t>SEGPRO</t>
  </si>
  <si>
    <t>EPP000122</t>
  </si>
  <si>
    <t>GUANTE ANTICORTE CON PALMA DE PU MODELO: A622 TALLA: M</t>
  </si>
  <si>
    <t>EPP000123</t>
  </si>
  <si>
    <t>GUANTE ANTICORTE CON PALMA DE PU MODELO: A622 TALLA: S</t>
  </si>
  <si>
    <t>EPP000124</t>
  </si>
  <si>
    <t>GUANTE ANTICORTE CON PALMA PLUS MODELO: CUT5 TALLA: L</t>
  </si>
  <si>
    <t>CLUTE</t>
  </si>
  <si>
    <t>EPP000125</t>
  </si>
  <si>
    <t>GUANTE ANTICORTE CON PALMA PLUS MODELO: CUT5 TALLA: M</t>
  </si>
  <si>
    <t>EPP000126</t>
  </si>
  <si>
    <t>GUANTE ANTICORTE CON PALMA PLUS MODELO: CUT5 TALLA: S</t>
  </si>
  <si>
    <t>EPP000127</t>
  </si>
  <si>
    <t>EPP000128</t>
  </si>
  <si>
    <t>EPP000129</t>
  </si>
  <si>
    <t>EPP000130</t>
  </si>
  <si>
    <t>GUANTE DE BADANA CAÑA LARGA</t>
  </si>
  <si>
    <t>EPP000131</t>
  </si>
  <si>
    <t>GUANTE DE JEBE DE CAÑA LARGA 18"</t>
  </si>
  <si>
    <t>PROTEX</t>
  </si>
  <si>
    <t>EPP000132</t>
  </si>
  <si>
    <t>GUANTE DE JEBE DE CAÑA LARGA MOD: 14-683</t>
  </si>
  <si>
    <t>ANSELL</t>
  </si>
  <si>
    <t>EPP000133</t>
  </si>
  <si>
    <t>GUANTE DE NITRILO DESCARTABLE MODELO: 92-600 TALLA: M</t>
  </si>
  <si>
    <t>EPP000134</t>
  </si>
  <si>
    <t>GUANTE DE NITRILO MODELO: SOLVEX 37-165 TALLA: M</t>
  </si>
  <si>
    <t>EPP000135</t>
  </si>
  <si>
    <t>GUANTE P/SOLDAR CAÑA LARGA</t>
  </si>
  <si>
    <t>EPP000136</t>
  </si>
  <si>
    <t>GUANTES AISLANTE DE JEBE CLASE: 0 DE 1000 V</t>
  </si>
  <si>
    <t>EPP000137</t>
  </si>
  <si>
    <t>GUANTES AISLANTE DE JEBE CLASE: 1 DE 7500 V</t>
  </si>
  <si>
    <t>EPP000138</t>
  </si>
  <si>
    <t>GUANTES AISLANTE DE JEBE CLASE: 2 DE 17000 V</t>
  </si>
  <si>
    <t>EPP000139</t>
  </si>
  <si>
    <t>GUANTES AISLANTE DE JEBE CLASE: 3 DE 26500 V</t>
  </si>
  <si>
    <t>EPP000140</t>
  </si>
  <si>
    <t>GUANTES AISLANTE DE JEBE CLASE: 4 DE 36000 V</t>
  </si>
  <si>
    <t>EPP000141</t>
  </si>
  <si>
    <t>GUANTES DE JEBE C-35 12" TALLA 8</t>
  </si>
  <si>
    <t>EPP000142</t>
  </si>
  <si>
    <t>HOMBRERA SUFRIDOR AMBIDIESTRA</t>
  </si>
  <si>
    <t>ACCESORIO PARA ANDAMIERO</t>
  </si>
  <si>
    <t>EPP000143</t>
  </si>
  <si>
    <t>LENTE DE SEGURIDAD LUNAS CLARAS ANTI EMPAÑANTES MODELO: 11329</t>
  </si>
  <si>
    <t>EPP000144</t>
  </si>
  <si>
    <t>LENTE GOOGLE MODELO: EVEREST</t>
  </si>
  <si>
    <t>EPP000145</t>
  </si>
  <si>
    <t>LENTE LUNA CLARA POLICARBONATO MODELO: GX30 P Z87 + U6L1.7</t>
  </si>
  <si>
    <t>GALAXY</t>
  </si>
  <si>
    <t>EPP000146</t>
  </si>
  <si>
    <t>LENTE LUNA CLARA POLICARBONATO  MODELO: VENTURE II P Z87 + U6L1.7</t>
  </si>
  <si>
    <t>PYRAMEX</t>
  </si>
  <si>
    <t>EPP000147</t>
  </si>
  <si>
    <t>LENTE LUNA OSCURA POLICARBONATO MODELO: GX30 P Z87 + U6L1.7</t>
  </si>
  <si>
    <t>EPP000148</t>
  </si>
  <si>
    <t>LENTE LUNA OSCURA POLICARBONATO MODELO: VENTURE II P Z87 + U6L1.7</t>
  </si>
  <si>
    <t>EPP000149</t>
  </si>
  <si>
    <t>LENTE SOBRE LENTE OX, CLARO CON RECUBRIMIENTO DX</t>
  </si>
  <si>
    <t>EPP000150</t>
  </si>
  <si>
    <t>LENTES DE SEGURIDAD OBRERO CUADRADO CLARO</t>
  </si>
  <si>
    <t>EPP000151</t>
  </si>
  <si>
    <t>LENTES DE SEGURIDAD PARA OXICORTE</t>
  </si>
  <si>
    <t>EPP000152</t>
  </si>
  <si>
    <t>LINEA DE VIDA "Y" DE ACERO CON ABS IMPACTO 1 GANCHO DE 3/4” Y 2 GANC DE 2 1/4”</t>
  </si>
  <si>
    <t>EPP000153</t>
  </si>
  <si>
    <t>LINEA DE VIDA "Y" DE ACERO SIN ABS IMPACTO 1 GANCHO DE 3/4” Y 2 GANC DE 2 1/4”</t>
  </si>
  <si>
    <t>EPP000154</t>
  </si>
  <si>
    <t>LINEA DE VIDA "Y" NYLON C/ ABS IMPACTO 1 GANCHO DE 3/4” Y 2 GANC DE 2 1/4”</t>
  </si>
  <si>
    <t>EPP000155</t>
  </si>
  <si>
    <t>LINEA DE VIDA "Y" NYLON S/ ABS IMPACTO 1 GANCHO 3/4" Y 2 GANC 2 1/4"</t>
  </si>
  <si>
    <t>EPP000156</t>
  </si>
  <si>
    <t>LINEA DE VIDA "Y" NYLON S/ ABS IMPACTO 1 GANCHO 3/4" Y 2 GANC 3/4"</t>
  </si>
  <si>
    <t>EPP000157</t>
  </si>
  <si>
    <t>LINEA DE VIDA NYLON S/ ABS IMPACTO 1 GANCHO 3/4" Y 1 GANCHO 3/4"</t>
  </si>
  <si>
    <t>EPP000158</t>
  </si>
  <si>
    <t>MANDIL DE CUERO P/ TRABAJOS EN CALIENTE</t>
  </si>
  <si>
    <t>EPP000159</t>
  </si>
  <si>
    <t>MANGA P/ PROTECCION DE BRAZOS VENICUT 5 MOD: TAEK 5</t>
  </si>
  <si>
    <t>EPP000160</t>
  </si>
  <si>
    <t>MASCARILLA DESCARTABLE KN95</t>
  </si>
  <si>
    <t>EPP000161</t>
  </si>
  <si>
    <t>MASCARILLA QUIRURGICA DE 3 PLIEGUES</t>
  </si>
  <si>
    <t>EPP000162</t>
  </si>
  <si>
    <t>MICA OSCURA PARA CARETA FACIAL</t>
  </si>
  <si>
    <t>EPP000163</t>
  </si>
  <si>
    <t>MICA TRANSPARENTE PARA CARETA FACIAL</t>
  </si>
  <si>
    <t>EPP000164</t>
  </si>
  <si>
    <t>OREJERA ADAPTABLE AL CASCO TIPO COPA MODELO: OPTIME 105</t>
  </si>
  <si>
    <t>JGO</t>
  </si>
  <si>
    <t>PROTECCION AUDITIVA</t>
  </si>
  <si>
    <t>EPP000165</t>
  </si>
  <si>
    <t>PANTALON DE CUERO RES AMARILLO P/ SOLDADOR (100% CUERO)</t>
  </si>
  <si>
    <t>EPP000166</t>
  </si>
  <si>
    <t>PANTALON JEAN COLOR AZUL STAFF CON FORRO POLAR PARA VARON LOGO: STP TALLA: 28</t>
  </si>
  <si>
    <t>EPP000167</t>
  </si>
  <si>
    <t>PANTALON JEAN COLOR AZUL STAFF CON FORRO POLAR PARA VARON LOGO: STP TALLA: 30</t>
  </si>
  <si>
    <t>EPP000168</t>
  </si>
  <si>
    <t>PANTALON JEAN COLOR AZUL STAFF CON FORRO POLAR PARA VARON LOGO: STP TALLA: 32</t>
  </si>
  <si>
    <t>EPP000169</t>
  </si>
  <si>
    <t>PANTALON JEAN COLOR AZUL STAFF CON FORRO POLAR PARA VARON LOGO: STP TALLA: 34</t>
  </si>
  <si>
    <t>EPP000170</t>
  </si>
  <si>
    <t>PANTALON JEAN COLOR AZUL STAFF CON FORRO POLAR PARA VARON LOGO: STP TALLA: 36</t>
  </si>
  <si>
    <t>EPP000171</t>
  </si>
  <si>
    <t>PANTALON JEAN COLOR AZUL STAFF PARA DAMA LOGO: STP TALLA: 26</t>
  </si>
  <si>
    <t>EPP000172</t>
  </si>
  <si>
    <t>PANTALON JEAN COLOR AZUL STAFF PARA DAMA LOGO: STP TALLA: 28</t>
  </si>
  <si>
    <t>EPP000173</t>
  </si>
  <si>
    <t>PANTALON JEAN COLOR AZUL STAFF PARA DAMA LOGO: STP TALLA: 30</t>
  </si>
  <si>
    <t>EPP000174</t>
  </si>
  <si>
    <t>PANTALON JEAN COLOR AZUL STAFF PARA DAMA LOGO: STP TALLA: 32</t>
  </si>
  <si>
    <t>EPP000175</t>
  </si>
  <si>
    <t>PANTALON JEAN COLOR AZUL STAFF PARA DAMA LOGO: STP TALLA: 34</t>
  </si>
  <si>
    <t>EPP000176</t>
  </si>
  <si>
    <t>PANTALON JEAN COLOR AZUL STAFF SIN FORRO POLAR PARA VARON LOGO: STP TALLA: 28</t>
  </si>
  <si>
    <t>EPP000177</t>
  </si>
  <si>
    <t>PANTALON JEAN COLOR AZUL STAFF SIN FORRO POLAR PARA VARON LOGO: STP TALLA: 30</t>
  </si>
  <si>
    <t>EPP000178</t>
  </si>
  <si>
    <t>PANTALON JEAN COLOR AZUL STAFF SIN FORRO POLAR PARA VARON LOGO: STP TALLA: 32</t>
  </si>
  <si>
    <t>EPP000179</t>
  </si>
  <si>
    <t>PANTALON JEAN COLOR AZUL STAFF SIN FORRO POLAR PARA VARON LOGO: STP TALLA: 34</t>
  </si>
  <si>
    <t>EPP000180</t>
  </si>
  <si>
    <t>PANTALON JEAN COLOR AZUL STAFF SIN FORRO POLAR PARA VARON LOGO: STP TALLA: 36</t>
  </si>
  <si>
    <t>EPP000181</t>
  </si>
  <si>
    <t>POLO MANGA LARGA LOGO STP COLOR AZUL TALLA: L</t>
  </si>
  <si>
    <t>EPP000182</t>
  </si>
  <si>
    <t>POLO MANGA LARGA LOGO STP COLOR AZUL TALLA: M</t>
  </si>
  <si>
    <t>EPP000183</t>
  </si>
  <si>
    <t>POLO MANGA LARGA LOGO STP COLOR AZUL TALLA: S</t>
  </si>
  <si>
    <t>EPP000184</t>
  </si>
  <si>
    <t>POLO MANGA LARGA LOGO STP COLOR AZUL TALLA: XL</t>
  </si>
  <si>
    <t>EPP000185</t>
  </si>
  <si>
    <t>PREFILTRO MODELO: 5N11</t>
  </si>
  <si>
    <t>EPP000186</t>
  </si>
  <si>
    <t>PROTECTOR METATARSAL PARA CALZADO DE ALUMINIO CON SUJETADOR DE JEBE</t>
  </si>
  <si>
    <t>EPP000187</t>
  </si>
  <si>
    <t>RESPIRADOR DE MEDIA CARA C/ DOS VIAS MODELO: 6200</t>
  </si>
  <si>
    <t>EPP000188</t>
  </si>
  <si>
    <t>RESPIRADOR DE MEDIA CARA C/ DOS VIAS MODELO: 7502</t>
  </si>
  <si>
    <t>EPP000189</t>
  </si>
  <si>
    <t>RETENEDOR / ADAPTADOR 502 PARA FILTROS</t>
  </si>
  <si>
    <t>EPP000190</t>
  </si>
  <si>
    <t>RODILLERA</t>
  </si>
  <si>
    <t>EPP000191</t>
  </si>
  <si>
    <t>ROPA PROTECCION P/LLUVIA (CAMISA+PANTALON)</t>
  </si>
  <si>
    <t>V+C244:N244ESTIMENTA DE JEBE/PLASTICO</t>
  </si>
  <si>
    <t>EPP000192</t>
  </si>
  <si>
    <t>ROPA PROTECCION P/LLUVIA (T/ABRIGO) COLOR: AMARILLO</t>
  </si>
  <si>
    <t>VESTIMENTA DE JEBE/PLASTICO</t>
  </si>
  <si>
    <t>EPP000193</t>
  </si>
  <si>
    <t>ROPA PROTECCION P/LLUVIA (T/ABRIGO) COLOR: NARANJA</t>
  </si>
  <si>
    <t>EPP000194</t>
  </si>
  <si>
    <t>TAPON DE OIDO DE SILICONA REUSABLE C/ ESTUCHE 24 DB</t>
  </si>
  <si>
    <t>EPP000195</t>
  </si>
  <si>
    <t>EPP000196</t>
  </si>
  <si>
    <t>EPP000197</t>
  </si>
  <si>
    <t>TRAJE ANTIFLAMA 25 A 33 CAL/CM2</t>
  </si>
  <si>
    <t>TRAJE DE PROTECCION ELECTRICO</t>
  </si>
  <si>
    <t>EPP000198</t>
  </si>
  <si>
    <t>TRAJE DESCARTABLE BLANCO MACROGUARD TALLA: L</t>
  </si>
  <si>
    <t>VESTIMENTA DESCARTABLE JEBE/PLASTICO</t>
  </si>
  <si>
    <t>EPP000199</t>
  </si>
  <si>
    <t>TRAJE DESCARTABLE BLANCO MACROGUARD TALLA: M</t>
  </si>
  <si>
    <t>EPP000200</t>
  </si>
  <si>
    <t>TRAJE DESCARTABLE BLANCO MACROGUARD TALLA: XL</t>
  </si>
  <si>
    <t>EPP000201</t>
  </si>
  <si>
    <t>TRAJE DESCARTABLE BLANCO MACROGUARD TALLA: XXL</t>
  </si>
  <si>
    <t>EPP000202</t>
  </si>
  <si>
    <t>EPP000203</t>
  </si>
  <si>
    <t>EPP000204</t>
  </si>
  <si>
    <t>EPP000205</t>
  </si>
  <si>
    <t>EPP000206</t>
  </si>
  <si>
    <t>TRAJE DESCARTABLE BLANCO TYVEK TALLA: L</t>
  </si>
  <si>
    <t>DUPONT</t>
  </si>
  <si>
    <t>EPP000207</t>
  </si>
  <si>
    <t>TRAJE DESCARTABLE BLANCO TYVEK TALLA: XL</t>
  </si>
  <si>
    <t>EPP000208</t>
  </si>
  <si>
    <t>UNIFORME DRILL CON FORRO POLAR COLOR AZUL (CASACA+PANTALON) TALLA: L</t>
  </si>
  <si>
    <t>EPP000209</t>
  </si>
  <si>
    <t>UNIFORME DRILL CON FORRO POLAR COLOR AZUL (CASACA+PANTALON) TALLA: M</t>
  </si>
  <si>
    <t>EPP000210</t>
  </si>
  <si>
    <t>UNIFORME DRILL CON FORRO POLAR COLOR AZUL (CASACA+PANTALON) TALLA: S</t>
  </si>
  <si>
    <t>EPP000211</t>
  </si>
  <si>
    <t>UNIFORME DRILL CON FORRO POLAR COLOR AZUL (CASACA+PANTALON) TALLA: XL</t>
  </si>
  <si>
    <t>EPP000212</t>
  </si>
  <si>
    <t>UNIFORME DRILL CON FORRO POLAR COLOR AZUL (CASACA+PANTALON) TALLA: XXL</t>
  </si>
  <si>
    <t>EPP000213</t>
  </si>
  <si>
    <t>ARNES DE SEGURIDAD TIPO LINIERO MODELO: L6A7H</t>
  </si>
  <si>
    <t>$98.65</t>
  </si>
  <si>
    <t>EQP000001</t>
  </si>
  <si>
    <t>ALCOHOLIMETRO DIGITAL MODELO: AT700</t>
  </si>
  <si>
    <t>2B2024400010</t>
  </si>
  <si>
    <t>EQUIPO</t>
  </si>
  <si>
    <t>EQUIPO DE MEDICION</t>
  </si>
  <si>
    <t>ALCOHOLIMETRO</t>
  </si>
  <si>
    <t>HENAN HANWEI</t>
  </si>
  <si>
    <t>EQP000002</t>
  </si>
  <si>
    <t>ANEMOMETRO DIGITAL MODELO: NAR8161</t>
  </si>
  <si>
    <t>ANEMOMETRO</t>
  </si>
  <si>
    <t>NARITA</t>
  </si>
  <si>
    <t>EQP000003</t>
  </si>
  <si>
    <t>COMPRESORA AIRE 220V/60HZ 115 PSI 0.75 HP CAP. TANQUE: 7.93 GAL MODELO: EBZ30</t>
  </si>
  <si>
    <t>SS</t>
  </si>
  <si>
    <t>EQUIPO P/ PINTAR</t>
  </si>
  <si>
    <t>COMPRESORA DE AIRE</t>
  </si>
  <si>
    <t>WERKEN</t>
  </si>
  <si>
    <t>EQP000004</t>
  </si>
  <si>
    <t>DETECTOR DE TORMENTA MODELO: P5</t>
  </si>
  <si>
    <t>DETECTOR DE TORMENTA</t>
  </si>
  <si>
    <t>SKYSCAN</t>
  </si>
  <si>
    <t>EQP000005</t>
  </si>
  <si>
    <t>DETECTOR DE VOLTAJE 1000V MODELO: UT12E-ROW</t>
  </si>
  <si>
    <t>C233546242</t>
  </si>
  <si>
    <t>DETECTOR DE VOLTAJE</t>
  </si>
  <si>
    <t xml:space="preserve">UNI-T </t>
  </si>
  <si>
    <t>EQP000006</t>
  </si>
  <si>
    <t>C233546275</t>
  </si>
  <si>
    <t>EQP000007</t>
  </si>
  <si>
    <t>DETECTOR DE VOLTAJE 200-1000VAC CAT IV.1000V MODELO: 1AC-II</t>
  </si>
  <si>
    <t>2308302244MV</t>
  </si>
  <si>
    <t>FLUKE</t>
  </si>
  <si>
    <t>EQP000008</t>
  </si>
  <si>
    <t>DOBLADOR DE TUBO HIDRÁULICO MODELO: DTH-12X 12882</t>
  </si>
  <si>
    <t>TRABAJOS MECANICOS</t>
  </si>
  <si>
    <t>DOBLADOR DE TUBO</t>
  </si>
  <si>
    <t>TRUPER</t>
  </si>
  <si>
    <t>EQP000009</t>
  </si>
  <si>
    <t>ESMERIL ANGULAR AMOLADORA DE 4 1/2" MODELO: GWS 11-125</t>
  </si>
  <si>
    <t>EQUIPO P/ TRABAJO EN CALIENTE</t>
  </si>
  <si>
    <t>ESMERIL RECTO/ANGULAR</t>
  </si>
  <si>
    <t>BOSCH</t>
  </si>
  <si>
    <t>EQP000010</t>
  </si>
  <si>
    <t>EQP000011</t>
  </si>
  <si>
    <t>ESMERIL ANGULAR AMOLADORA DE 4 1/2" MODELO: GWS 9-125</t>
  </si>
  <si>
    <t>EQP000012</t>
  </si>
  <si>
    <t>ESMERIL ANGULAR AMOLADORA DE 7" MODELO: GWS 28-180</t>
  </si>
  <si>
    <t>EQP000013</t>
  </si>
  <si>
    <t>ESMERIL RECTO TURBINETA MODELO: GGS28L</t>
  </si>
  <si>
    <t>EQP000014</t>
  </si>
  <si>
    <t>GENERADOR ELECTRICO 3300KW MODELO: GG3400-PER</t>
  </si>
  <si>
    <t>3604012/GG3400/0193</t>
  </si>
  <si>
    <t>EQUIPO P/ TRABAJO CIVIL</t>
  </si>
  <si>
    <t>GENERADOR ELECTRICO</t>
  </si>
  <si>
    <t>BAUKER</t>
  </si>
  <si>
    <t>EQP000015</t>
  </si>
  <si>
    <t>GENERADOR ELECTRICO 2400KW MODELO: GG2800</t>
  </si>
  <si>
    <t>3557620/GG2800/0003</t>
  </si>
  <si>
    <t>INOPERATIVO</t>
  </si>
  <si>
    <t>EQP000016</t>
  </si>
  <si>
    <t>LINEA DE VIDA RETRACTIL (TAMBOR) C/ CINTA POLYESTER X 2 M MOD: 500877</t>
  </si>
  <si>
    <t>1370852:16:00</t>
  </si>
  <si>
    <t>EQP000017</t>
  </si>
  <si>
    <t>LINEA DE VIDA RETRACTIL (TAMBOR) C/ CINTA POLYESTER X 3.35 M MOD: N9210-11</t>
  </si>
  <si>
    <t>KASBER SAFETY</t>
  </si>
  <si>
    <t>EQP000018</t>
  </si>
  <si>
    <t>EQP000019</t>
  </si>
  <si>
    <t>EQP000020</t>
  </si>
  <si>
    <t>LINEA DE VIDA RETRACTIL (TAMBOR) C/ CINTA POLYESTER X 3.5 M MOD: HE-35D</t>
  </si>
  <si>
    <t>24A1037</t>
  </si>
  <si>
    <t>PAT NGK</t>
  </si>
  <si>
    <t>EQP000021</t>
  </si>
  <si>
    <t>LINEA DE VIDA RETRACTIL (TAMBOR) C/ CINTA POLYESTER X 3.5 M</t>
  </si>
  <si>
    <t>EQP000022</t>
  </si>
  <si>
    <t>LLAVE DE IMPACTO INALÁMBRICA MODELO: GDS 18V-1050 H</t>
  </si>
  <si>
    <t>PISTOLA DE IMPACTO</t>
  </si>
  <si>
    <t>EQP000023</t>
  </si>
  <si>
    <t>MÁQUINA DE SOLDAR INVERSORA 10-225A MODELO: MEGA FORCE 225</t>
  </si>
  <si>
    <t>Z4210601361</t>
  </si>
  <si>
    <t>MAQUINA DE SOLDAR/ALIMENTADOR</t>
  </si>
  <si>
    <t>LINCOLN</t>
  </si>
  <si>
    <t>EQP000024</t>
  </si>
  <si>
    <t>MÁQUINA DE SOLDAR INVERSORA 250A MODELO: ARC 280C</t>
  </si>
  <si>
    <t>E0000391720</t>
  </si>
  <si>
    <t>WARC WELDING</t>
  </si>
  <si>
    <t>EQP000025</t>
  </si>
  <si>
    <t>E0000391754</t>
  </si>
  <si>
    <t>EQP000026</t>
  </si>
  <si>
    <t>MEDIDOR DE ESPESOR DE PINTURA MODELO: ST-01</t>
  </si>
  <si>
    <t>2G82135790385</t>
  </si>
  <si>
    <t>MEDIDOR ESPESOR DE PINTURA</t>
  </si>
  <si>
    <t>NICETY</t>
  </si>
  <si>
    <t>EQP000027</t>
  </si>
  <si>
    <t>MEGÓMETRO DIGITAL (1TΩ/500V-10TΩ/5000V) MODELO: 6305 IN</t>
  </si>
  <si>
    <t>MEGOHMETRO</t>
  </si>
  <si>
    <t>SEW</t>
  </si>
  <si>
    <t>EQP000028</t>
  </si>
  <si>
    <t>PINZA AMPERIMETRICA MODELO: 375FC</t>
  </si>
  <si>
    <t>60112228MV</t>
  </si>
  <si>
    <t>MULTIMETRO/PINZA AMPERIMETRICA/GENERADOR DE SEÑALES</t>
  </si>
  <si>
    <t>EQP000029</t>
  </si>
  <si>
    <t>PINZA AMPERIMETRICA MODELO: 376FC</t>
  </si>
  <si>
    <t>64040351MV</t>
  </si>
  <si>
    <t>EQP000030</t>
  </si>
  <si>
    <t>PISTOLA DE CALOR 1800W MODELO: STXH2000-B2</t>
  </si>
  <si>
    <t>PISTOLA DE CALOR</t>
  </si>
  <si>
    <t>STANLEY</t>
  </si>
  <si>
    <t>EQP000031</t>
  </si>
  <si>
    <t>POLEA DE ACERO DE 1 VIA MODELO: HPB-10</t>
  </si>
  <si>
    <t>EQUIPO P/ IZAJE</t>
  </si>
  <si>
    <t>POLEA</t>
  </si>
  <si>
    <t>EQP000032</t>
  </si>
  <si>
    <t>PRENSA TERMINAL HIDRAÚLICA (4, 6, 8, 10,16, 25, 35, 50 y 70) MOD: YQK-70</t>
  </si>
  <si>
    <t>EQUIPO P/ TENDIDO DE LINEA</t>
  </si>
  <si>
    <t>PRENSA TERMINAL</t>
  </si>
  <si>
    <t>JETECO TOOLS</t>
  </si>
  <si>
    <t>EQP000033</t>
  </si>
  <si>
    <t>RADIO COMUNICACIÓN PORTÁTIL MODELO: TC-508</t>
  </si>
  <si>
    <t>16D04A1874</t>
  </si>
  <si>
    <t>EQUIPO DE COMUNICACIÓN</t>
  </si>
  <si>
    <t>RADIO PORTATIL/BASE</t>
  </si>
  <si>
    <t>HYT</t>
  </si>
  <si>
    <t>EQP000034</t>
  </si>
  <si>
    <t>16D04A1879</t>
  </si>
  <si>
    <t>EQP000035</t>
  </si>
  <si>
    <t>ROTULADORA INDUSTRIAL PORTATIL MODELO: E110</t>
  </si>
  <si>
    <t>E77505K2H273888</t>
  </si>
  <si>
    <t>EQUIPO P/ OFICINA</t>
  </si>
  <si>
    <t>TAGEADOR DE CABLE</t>
  </si>
  <si>
    <t>BROTHER</t>
  </si>
  <si>
    <t>EQP000036</t>
  </si>
  <si>
    <t>ROTULADORA INDUSTRIAL PORTATIL MODELO: E550W</t>
  </si>
  <si>
    <t>E74011J3G461058</t>
  </si>
  <si>
    <t>EQP000037</t>
  </si>
  <si>
    <t>SIERRA CIRCULAR DE 7 1/4" DE 1050W MODELO: M5801</t>
  </si>
  <si>
    <t>TRONZADORA/SIERRA CIRCULAR/CALADORA</t>
  </si>
  <si>
    <t>MAKITA</t>
  </si>
  <si>
    <t>EQP000038</t>
  </si>
  <si>
    <t>TALADRO ATORNILLADOR PERCUTOR MOD GSB 180-LI + LLAVE IMPACTO 18V MOD GDX 180-LI</t>
  </si>
  <si>
    <t>325100496 / 325100014</t>
  </si>
  <si>
    <t>TALADRO/ROTOMARTILLO/TALADRO INALAMBRICO</t>
  </si>
  <si>
    <t>EQP000039</t>
  </si>
  <si>
    <t>TALADRO DE BASE MAGNÉTICA DE 1600W MODELO: DJC02-23</t>
  </si>
  <si>
    <t>DONGCHEN</t>
  </si>
  <si>
    <t>EQP000040</t>
  </si>
  <si>
    <t>EQP000041</t>
  </si>
  <si>
    <t>TALADRO ELECTRICO 750W MODELO: GSB 13-RE</t>
  </si>
  <si>
    <t>EQP000042</t>
  </si>
  <si>
    <t>EQP000043</t>
  </si>
  <si>
    <t>TARRAJA PARA TUBO ELÉCTRICA DE 1/2"-2" 1700W MODELO: SQ30-2C</t>
  </si>
  <si>
    <t>EQUIPO P/ HACER ROSCA</t>
  </si>
  <si>
    <t>TARRAJA</t>
  </si>
  <si>
    <t>HONGLI</t>
  </si>
  <si>
    <t>EQP000044</t>
  </si>
  <si>
    <t>TARRAJA PARA TUBO MANUAL DE 1/2"-1" MODELO: TA-058</t>
  </si>
  <si>
    <t>EQP000045</t>
  </si>
  <si>
    <t>TARRAJA PARA TUBO MANUAL DE 1/2"-2" MODELO: TA-851</t>
  </si>
  <si>
    <t>EQP000046</t>
  </si>
  <si>
    <t>TECLE DE CADENA DE 1.5 TON MODELO: HSZ-CB</t>
  </si>
  <si>
    <t>22.62.94</t>
  </si>
  <si>
    <t>TECLE CADENA/RACHET MANUAL</t>
  </si>
  <si>
    <t>ABLE</t>
  </si>
  <si>
    <t>EQP000047</t>
  </si>
  <si>
    <t>TRIPODE C/CADENA 1/8" - 6" MODELO: 460</t>
  </si>
  <si>
    <t>TRIPODE</t>
  </si>
  <si>
    <t>RIDGID</t>
  </si>
  <si>
    <t>EQP000048</t>
  </si>
  <si>
    <t>ESMERIL ANGULAR AMOLADORA DE 7" MODELO: GWS 2200-180</t>
  </si>
  <si>
    <t>$156.76</t>
  </si>
  <si>
    <t>EQP000049</t>
  </si>
  <si>
    <t>PISTOLA DE IMPACTO INALAMBRICA ENCASTRE DE 1/2" MODELO: GDS 18 V -LI HT</t>
  </si>
  <si>
    <t>$486.49</t>
  </si>
  <si>
    <t>EQP000050</t>
  </si>
  <si>
    <t>CALIBRADOR PIE DE REY VERNIER DE 12" C/N 530-115</t>
  </si>
  <si>
    <t>$240.54</t>
  </si>
  <si>
    <t>VERNIER</t>
  </si>
  <si>
    <t>MITUTOYO</t>
  </si>
  <si>
    <t>EQP000051</t>
  </si>
  <si>
    <t>TAMBOR RETRACTIL DOBLE NANO-LOK 3 M (10FT) MODELO: NB/KN- 3.0 M</t>
  </si>
  <si>
    <t>K&amp;N</t>
  </si>
  <si>
    <t>EQP000052</t>
  </si>
  <si>
    <t>EQP000053</t>
  </si>
  <si>
    <t>EQP000054</t>
  </si>
  <si>
    <t>EQP000055</t>
  </si>
  <si>
    <t>EQP000056</t>
  </si>
  <si>
    <t>EQP000057</t>
  </si>
  <si>
    <t>LINEA DE VIDA RETRACTIL VERTICAL C/ CABLE DE ACERO 3/16" DE 3 M MOD: GJ-3</t>
  </si>
  <si>
    <t>$186.49</t>
  </si>
  <si>
    <t>AMERICAN HOISTS</t>
  </si>
  <si>
    <t>EQP000058</t>
  </si>
  <si>
    <t>EQP000059</t>
  </si>
  <si>
    <t>EQP000060</t>
  </si>
  <si>
    <t>EQP000061</t>
  </si>
  <si>
    <t>TQ210160</t>
  </si>
  <si>
    <t>EQP000062</t>
  </si>
  <si>
    <t>TQ210165</t>
  </si>
  <si>
    <t>EQP000063</t>
  </si>
  <si>
    <t>TQ210166</t>
  </si>
  <si>
    <t>EQP000064</t>
  </si>
  <si>
    <t>TQ210167</t>
  </si>
  <si>
    <t>EQP000065</t>
  </si>
  <si>
    <t>TQ240141</t>
  </si>
  <si>
    <t>EQP000066</t>
  </si>
  <si>
    <t>TQ240170</t>
  </si>
  <si>
    <t>EQP000067</t>
  </si>
  <si>
    <t>EQP000068</t>
  </si>
  <si>
    <t>EQP000069</t>
  </si>
  <si>
    <t>ESMERIL ANGULAR AMOLADORA DE 4 1/2" MODELO: GWS 9-125 P</t>
  </si>
  <si>
    <t>$110.53</t>
  </si>
  <si>
    <t>EQP000070</t>
  </si>
  <si>
    <t>TALADRO INALAMBRICO</t>
  </si>
  <si>
    <t>$152.63</t>
  </si>
  <si>
    <t>EQP000071</t>
  </si>
  <si>
    <t>TALADRO INALAMBRICO DE 1/2"</t>
  </si>
  <si>
    <t>EQP000072</t>
  </si>
  <si>
    <t>MARTILLO DEMOLEDOR GSH 11 E-1500W</t>
  </si>
  <si>
    <t>$605.26</t>
  </si>
  <si>
    <t>EQPCOM000001</t>
  </si>
  <si>
    <t>ENMICADORA A4</t>
  </si>
  <si>
    <t>49.211.1</t>
  </si>
  <si>
    <t>EQUIPO DE COMPUTO</t>
  </si>
  <si>
    <t>IMPRESORA/ENMICADORA/PROYECTOR</t>
  </si>
  <si>
    <t>ALE</t>
  </si>
  <si>
    <t>EQPCOM000002</t>
  </si>
  <si>
    <t>IMPRESORA MULTIFUNCIONAL T/ A3 MODELO: MFC-T4500DW</t>
  </si>
  <si>
    <t>U65160F3H687095</t>
  </si>
  <si>
    <t>EQPCOM000003</t>
  </si>
  <si>
    <t>IMPRESORA MULTIFUNCIONAL T/ A4 MODELO: L3250</t>
  </si>
  <si>
    <t>H4H3505254</t>
  </si>
  <si>
    <t>EPSON</t>
  </si>
  <si>
    <t>EQPCOM000004</t>
  </si>
  <si>
    <t>MONITOR DE 24" MODELO: 24MS500-B</t>
  </si>
  <si>
    <t>403NTVSD4663</t>
  </si>
  <si>
    <t>MONITOR/PC/LAPTOP</t>
  </si>
  <si>
    <t>LG</t>
  </si>
  <si>
    <t>HER000001</t>
  </si>
  <si>
    <t>ADAPTADOR DE IMPACTO 1" HEMBRA X 3/4" MACHO</t>
  </si>
  <si>
    <t>HERRAMIENTA</t>
  </si>
  <si>
    <t>HERRAMIENTA MANUAL</t>
  </si>
  <si>
    <t>MECANICA (LLAVE DE BOCA, COLA, ETC)</t>
  </si>
  <si>
    <t>HER000002</t>
  </si>
  <si>
    <t>ADAPTADOR DE IMPACTO 1" MACHO X 3/4" HEMBRA</t>
  </si>
  <si>
    <t>HER000003</t>
  </si>
  <si>
    <t>ADAPTADOR DE IMPACTO 1/2" MACHO X 3/4" HEMBRA</t>
  </si>
  <si>
    <t>HER000004</t>
  </si>
  <si>
    <t>ADAPTADOR DE IMPACTO 3/4" MACHO X 1/2" HEMBRA</t>
  </si>
  <si>
    <t>HER000005</t>
  </si>
  <si>
    <t>ALICATE CORTE DIAGONAL 6" 1000 V</t>
  </si>
  <si>
    <t>HERRAMIENTA AISLADA (ELECTRICISTA)</t>
  </si>
  <si>
    <t>HER000006</t>
  </si>
  <si>
    <t>ALICATE DE PRESION CURVO 10"</t>
  </si>
  <si>
    <t>HER000007</t>
  </si>
  <si>
    <t>ALICATE EXTENSION ARTICULADO (PICO DE LORO) AISLADO 1000 V</t>
  </si>
  <si>
    <t>HER000008</t>
  </si>
  <si>
    <t>ALICATE PELACABLE AUTOMATICO</t>
  </si>
  <si>
    <t>HER000009</t>
  </si>
  <si>
    <t>ALICATE PRENSA TERMINAL MANUAL OJAL</t>
  </si>
  <si>
    <t>HER000010</t>
  </si>
  <si>
    <t>ALICATE PRENSA TERMINAL MANUAL TUBULAR</t>
  </si>
  <si>
    <t>HER000011</t>
  </si>
  <si>
    <t>ALICATE PUNTA Y CORTE 6" 1000 VOLT.</t>
  </si>
  <si>
    <t>HER000012</t>
  </si>
  <si>
    <t>ALICATE UNIVERSAL AISLADO 1000 V</t>
  </si>
  <si>
    <t>HER000013</t>
  </si>
  <si>
    <t>APLICADOR DE SILICONA GIRATORIO RIGIDO REFORZADO</t>
  </si>
  <si>
    <t>ALBAÑILERIA BADILEJO, PLANCHA, ESPÁTULA, APLICADOR</t>
  </si>
  <si>
    <t>HER000014</t>
  </si>
  <si>
    <t>APLICADOR HDM 500</t>
  </si>
  <si>
    <t>HILTI</t>
  </si>
  <si>
    <t>HER000015</t>
  </si>
  <si>
    <t>ARCO DE SIERRA FIJO DE 12"</t>
  </si>
  <si>
    <t>HERRAMIENTA DE CONSTRUCCIÓN</t>
  </si>
  <si>
    <t>HER000016</t>
  </si>
  <si>
    <t>ARCO DE SIERRA PARA LEÑADOR 60 CM</t>
  </si>
  <si>
    <t>HER000017</t>
  </si>
  <si>
    <t>AZADON LANE N° 3 DE 22 CM X 22 CM X 1 KG</t>
  </si>
  <si>
    <t>HER000018</t>
  </si>
  <si>
    <t>BADILEJO PARA ALBAÑIL DE 6" C/ MANGO DE MADERA</t>
  </si>
  <si>
    <t>HER000019</t>
  </si>
  <si>
    <t>BARRETA DE ACERO HEXAGONAL PUNTA/PLANA DE 1" X 1.80 M</t>
  </si>
  <si>
    <t>HER000020</t>
  </si>
  <si>
    <t>BARRETA DE ACERO HEXAGONAL PUNTA/PLANA DE 7/8" X 1.00 M</t>
  </si>
  <si>
    <t>HER000021</t>
  </si>
  <si>
    <t>BIOMBOS PROTECTORES PARA SOLDADURA 2.10 X 2.0 MT C/ ESTRUCTURA</t>
  </si>
  <si>
    <t>HER000022</t>
  </si>
  <si>
    <t>BIRBIQUI DE 12"</t>
  </si>
  <si>
    <t>HER000023</t>
  </si>
  <si>
    <t>BRUÑA DE CANTO</t>
  </si>
  <si>
    <t>HER000024</t>
  </si>
  <si>
    <t>BRUÑA DE CENTRO</t>
  </si>
  <si>
    <t>HER000025</t>
  </si>
  <si>
    <t>CAJA DE HERRAMIENTAS DE PLASTICO DE 26"</t>
  </si>
  <si>
    <t>ESTUCHE PORTAHERRAMIENTAS</t>
  </si>
  <si>
    <t>HER000026</t>
  </si>
  <si>
    <t>CAJON PORTA HERRAMIENTA METALICO GRANDE</t>
  </si>
  <si>
    <t>HER000027</t>
  </si>
  <si>
    <t>CANTEADORA EXTREMOS CURVOS</t>
  </si>
  <si>
    <t>HER000028</t>
  </si>
  <si>
    <t>CARRETILLA BUGGIE EMBUTIDA PESADA NEUMATICA C/RODAJE</t>
  </si>
  <si>
    <t>HER000029</t>
  </si>
  <si>
    <t>CARRITO PORTA BALON P/ EQUIPO DE OXICORTE C/ RUEDAS</t>
  </si>
  <si>
    <t>HER000030</t>
  </si>
  <si>
    <t>CEPILLO PARA DRYWALL / MADERA / LAMINADOS SURFORM 5.5" MOD: 21-399</t>
  </si>
  <si>
    <t>HER000031</t>
  </si>
  <si>
    <t>CINCEL ACERO HEXAGONAL PLANO CON CAPUCHON DE 3/4" X 10"</t>
  </si>
  <si>
    <t>HER000032</t>
  </si>
  <si>
    <t>CINCEL ACERO HEXAGONAL PUNTA CON CAPUCHON DE 3/4" X 10"</t>
  </si>
  <si>
    <t>HER000033</t>
  </si>
  <si>
    <t>CIZALLA DE 18"</t>
  </si>
  <si>
    <t>HER000034</t>
  </si>
  <si>
    <t>CIZALLA DE 24"</t>
  </si>
  <si>
    <t>HER000035</t>
  </si>
  <si>
    <t>CIZALLA DE 36"</t>
  </si>
  <si>
    <t>HER000036</t>
  </si>
  <si>
    <t>CLAVERA DE CUERO PARA CARPINTERO</t>
  </si>
  <si>
    <t>HER000037</t>
  </si>
  <si>
    <t>COMBA DE ACERO FORJADO DE 10 LBS C/ MANGO DE FIBRA DE VIDRIO</t>
  </si>
  <si>
    <t>HER000038</t>
  </si>
  <si>
    <t>COMBA DE ACERO FORJADO DE 10 LBS C/ MANGO DE MADERA</t>
  </si>
  <si>
    <t>HER000039</t>
  </si>
  <si>
    <t>COMBA DE ACERO FORJADO DE 12 LBS C/ MANGO DE FIBRA DE VIDRIO</t>
  </si>
  <si>
    <t>HER000040</t>
  </si>
  <si>
    <t>COMBA DE ACERO FORJADO DE 12 LBS C/ MANGO DE MADERA</t>
  </si>
  <si>
    <t>HER000041</t>
  </si>
  <si>
    <t>COMBA DE ACERO FORJADO DE 2 LBS C/ MANGO DE MADERA</t>
  </si>
  <si>
    <t>HER000042</t>
  </si>
  <si>
    <t>COMBA DE ACERO FORJADO DE 20 LBS C/ MANGO DE MADERA</t>
  </si>
  <si>
    <t>HER000043</t>
  </si>
  <si>
    <t>COMBA DE ACERO FORJADO DE 3 LBS C/ MANGO DE FIBRA DE VIDRIO</t>
  </si>
  <si>
    <t>HER000044</t>
  </si>
  <si>
    <t>COMBA DE ACERO FORJADO DE 3 LBS C/ MANGO DE MADERA</t>
  </si>
  <si>
    <t>HER000045</t>
  </si>
  <si>
    <t>COMBA DE ACERO FORJADO DE 4 LBS C/ MANGO DE FIBRA DE VIDRIO</t>
  </si>
  <si>
    <t>HER000046</t>
  </si>
  <si>
    <t>COMBA DE ACERO FORJADO DE 4 LBS C/ MANGO DE MADERA</t>
  </si>
  <si>
    <t>HER000047</t>
  </si>
  <si>
    <t>COMBA DE ACERO FORJADO DE 6 LBS C/ MANGO DE MADERA</t>
  </si>
  <si>
    <t>HER000048</t>
  </si>
  <si>
    <t>COMBA DE ACERO FORJADO DE 8 LBS C/ MANGO DE FIBRA DE VIDRIO</t>
  </si>
  <si>
    <t>HER000049</t>
  </si>
  <si>
    <t>COMBA DE ACERO FORJADO DE 8 LBS C/ MANGO DE MADERA</t>
  </si>
  <si>
    <t>HER000050</t>
  </si>
  <si>
    <t>COMBA DE GOMA DE 10 ONZ C/ MANGO DE MADERA</t>
  </si>
  <si>
    <t>HER000051</t>
  </si>
  <si>
    <t>CORTA CABLE TIPO CARRACA DE 240 MM MODELO: CC-325</t>
  </si>
  <si>
    <t>HER000052</t>
  </si>
  <si>
    <t>CORTA CABLE TIPO CARRACA MODELO: 759</t>
  </si>
  <si>
    <t>GREENLEE</t>
  </si>
  <si>
    <t>HER000053</t>
  </si>
  <si>
    <t>CORTADOR DE TUBERIA INOX 1/4" - 1 3/8" (TUBING) MODELO: 150-LS</t>
  </si>
  <si>
    <t>HERRAMIENTA DE MEDICIÓN</t>
  </si>
  <si>
    <t>HER000054</t>
  </si>
  <si>
    <t>CORTADORA DE CERAMICA</t>
  </si>
  <si>
    <t>RUBY</t>
  </si>
  <si>
    <t>HER000055</t>
  </si>
  <si>
    <t>CUCHILLA CON MANGO DIELECTRICO</t>
  </si>
  <si>
    <t>RUBICON</t>
  </si>
  <si>
    <t>HER000056</t>
  </si>
  <si>
    <t>CUCHILLA RETRACTIL</t>
  </si>
  <si>
    <t>LLAVE CORTE/CUCHILLA/TERMOMAGNETICO</t>
  </si>
  <si>
    <t>HER000057</t>
  </si>
  <si>
    <t>DADO DE IMPACTO CARDANICO ENCASTRE DE 1/2" DE 1/2"</t>
  </si>
  <si>
    <t>HER000058</t>
  </si>
  <si>
    <t>DADO DE IMPACTO CARDANICO ENCASTRE DE 3/4" DE 3/4"</t>
  </si>
  <si>
    <t>HER000059</t>
  </si>
  <si>
    <t>DADO DE IMPACTO CORTO HEXAGONAL ENCASTRE 1/2" DE 1 1/16"</t>
  </si>
  <si>
    <t>HER000060</t>
  </si>
  <si>
    <t>DADO DE IMPACTO CORTO HEXAGONAL ENCASTRE 1/2" DE 1 1/4"</t>
  </si>
  <si>
    <t>HER000061</t>
  </si>
  <si>
    <t>DADO DE IMPACTO CORTO HEXAGONAL ENCASTRE 1/2" DE 1 1/8"</t>
  </si>
  <si>
    <t>HER000062</t>
  </si>
  <si>
    <t>DADO DE IMPACTO CORTO HEXAGONAL ENCASTRE 1/2" DE 1 5/16"</t>
  </si>
  <si>
    <t>HER000063</t>
  </si>
  <si>
    <t>DADO DE IMPACTO CORTO HEXAGONAL ENCASTRE 1/2" DE 1"</t>
  </si>
  <si>
    <t>HER000064</t>
  </si>
  <si>
    <t>DADO DE IMPACTO CORTO HEXAGONAL ENCASTRE 1/2" DE 10 MM</t>
  </si>
  <si>
    <t>HER000065</t>
  </si>
  <si>
    <t>DADO DE IMPACTO CORTO HEXAGONAL ENCASTRE 1/2" DE 11 MM</t>
  </si>
  <si>
    <t>HER000066</t>
  </si>
  <si>
    <t>DADO DE IMPACTO CORTO HEXAGONAL ENCASTRE 1/2" DE 11/16"</t>
  </si>
  <si>
    <t>HER000067</t>
  </si>
  <si>
    <t>DADO DE IMPACTO CORTO HEXAGONAL ENCASTRE 1/2" DE 12 MM</t>
  </si>
  <si>
    <t>HER000068</t>
  </si>
  <si>
    <t>DADO DE IMPACTO CORTO HEXAGONAL ENCASTRE 1/2" DE 13 MM</t>
  </si>
  <si>
    <t>HER000069</t>
  </si>
  <si>
    <t>DADO DE IMPACTO CORTO HEXAGONAL ENCASTRE 1/2" DE 13/16"</t>
  </si>
  <si>
    <t>HER000070</t>
  </si>
  <si>
    <t>DADO DE IMPACTO CORTO HEXAGONAL ENCASTRE 1/2" DE 14 MM</t>
  </si>
  <si>
    <t>HER000071</t>
  </si>
  <si>
    <t>DADO DE IMPACTO CORTO HEXAGONAL ENCASTRE 1/2" DE 15 MM</t>
  </si>
  <si>
    <t>HER000072</t>
  </si>
  <si>
    <t>DADO DE IMPACTO CORTO HEXAGONAL ENCASTRE 1/2" DE 15/16"</t>
  </si>
  <si>
    <t>HER000073</t>
  </si>
  <si>
    <t>DADO DE IMPACTO CORTO HEXAGONAL ENCASTRE 1/2" DE 16 MM</t>
  </si>
  <si>
    <t>HER000074</t>
  </si>
  <si>
    <t>DADO DE IMPACTO CORTO HEXAGONAL ENCASTRE 1/2" DE 17 MM</t>
  </si>
  <si>
    <t>HER000075</t>
  </si>
  <si>
    <t>DADO DE IMPACTO CORTO HEXAGONAL ENCASTRE 1/2" DE 18 MM</t>
  </si>
  <si>
    <t>HER000076</t>
  </si>
  <si>
    <t>DADO DE IMPACTO CORTO HEXAGONAL ENCASTRE 1/2" DE 19 MM</t>
  </si>
  <si>
    <t>HER000077</t>
  </si>
  <si>
    <t>DADO DE IMPACTO CORTO HEXAGONAL ENCASTRE 1/2" DE 21 MM</t>
  </si>
  <si>
    <t>HER000078</t>
  </si>
  <si>
    <t>DADO DE IMPACTO CORTO HEXAGONAL ENCASTRE 1/2" DE 22 MM</t>
  </si>
  <si>
    <t>HER000079</t>
  </si>
  <si>
    <t>DADO DE IMPACTO CORTO HEXAGONAL ENCASTRE 1/2" DE 23 MM</t>
  </si>
  <si>
    <t>HER000080</t>
  </si>
  <si>
    <t>DADO DE IMPACTO CORTO HEXAGONAL ENCASTRE 1/2" DE 24 MM</t>
  </si>
  <si>
    <t>HER000081</t>
  </si>
  <si>
    <t>DADO DE IMPACTO CORTO HEXAGONAL ENCASTRE 1/2" DE 26 MM</t>
  </si>
  <si>
    <t>HER000082</t>
  </si>
  <si>
    <t>DADO DE IMPACTO CORTO HEXAGONAL ENCASTRE 1/2" DE 27 MM</t>
  </si>
  <si>
    <t>HER000083</t>
  </si>
  <si>
    <t>DADO DE IMPACTO CORTO HEXAGONAL ENCASTRE 1/2" DE 3/4"</t>
  </si>
  <si>
    <t>HER000084</t>
  </si>
  <si>
    <t>DADO DE IMPACTO CORTO HEXAGONAL ENCASTRE 1/2" DE 3/8"</t>
  </si>
  <si>
    <t>HER000085</t>
  </si>
  <si>
    <t>DADO DE IMPACTO CORTO HEXAGONAL ENCASTRE 1/2" DE 30 MM</t>
  </si>
  <si>
    <t>HER000086</t>
  </si>
  <si>
    <t>DADO DE IMPACTO CORTO HEXAGONAL ENCASTRE 1/2" DE 33 MM</t>
  </si>
  <si>
    <t>HER000087</t>
  </si>
  <si>
    <t>DADO DE IMPACTO CORTO HEXAGONAL ENCASTRE 1/2" DE 34 MM</t>
  </si>
  <si>
    <t>HER000088</t>
  </si>
  <si>
    <t>DADO DE IMPACTO CORTO HEXAGONAL ENCASTRE 1/2" DE 36 MM</t>
  </si>
  <si>
    <t>HER000089</t>
  </si>
  <si>
    <t>DADO DE IMPACTO CORTO HEXAGONAL ENCASTRE 1/2" DE 5/8"</t>
  </si>
  <si>
    <t>HER000090</t>
  </si>
  <si>
    <t>DADO DE IMPACTO CORTO HEXAGONAL ENCASTRE 1/2" DE 7/16"</t>
  </si>
  <si>
    <t>HER000091</t>
  </si>
  <si>
    <t>DADO DE IMPACTO CORTO HEXAGONAL ENCASTRE 1/2" DE 7/8"</t>
  </si>
  <si>
    <t>HER000092</t>
  </si>
  <si>
    <t>DADO DE IMPACTO CORTO HEXAGONAL ENCASTRE 1/2" DE 8 MM</t>
  </si>
  <si>
    <t>HER000093</t>
  </si>
  <si>
    <t>DADO DE IMPACTO CORTO HEXAGONAL ENCASTRE 1/2" DE 9 MM</t>
  </si>
  <si>
    <t>HER000094</t>
  </si>
  <si>
    <t>DADO DE IMPACTO CORTO HEXAGONAL ENCASTRE 1/2" DE 9/16"</t>
  </si>
  <si>
    <t>HER000095</t>
  </si>
  <si>
    <t>DADO DE IMPACTO CORTO HEXAGONAL ENCASTRE 3/4" DE 1 1/16"</t>
  </si>
  <si>
    <t>HER000096</t>
  </si>
  <si>
    <t>DADO DE IMPACTO CORTO HEXAGONAL ENCASTRE 3/4" DE 1 1/2"</t>
  </si>
  <si>
    <t>HER000097</t>
  </si>
  <si>
    <t>DADO DE IMPACTO CORTO HEXAGONAL ENCASTRE 3/4" DE 1 1/4"</t>
  </si>
  <si>
    <t>HER000098</t>
  </si>
  <si>
    <t>DADO DE IMPACTO CORTO HEXAGONAL ENCASTRE 3/4" DE 1 1/8"</t>
  </si>
  <si>
    <t>HER000099</t>
  </si>
  <si>
    <t>DADO DE IMPACTO CORTO HEXAGONAL ENCASTRE 3/4" DE 1 11/16"</t>
  </si>
  <si>
    <t>HER000100</t>
  </si>
  <si>
    <t>DADO DE IMPACTO CORTO HEXAGONAL ENCASTRE 3/4" DE 1 13/16"</t>
  </si>
  <si>
    <t>HER000101</t>
  </si>
  <si>
    <t>DADO DE IMPACTO CORTO HEXAGONAL ENCASTRE 3/4" DE 1 15/16"</t>
  </si>
  <si>
    <t>HER000102</t>
  </si>
  <si>
    <t>DADO DE IMPACTO CORTO HEXAGONAL ENCASTRE 3/4" DE 1 3/16"</t>
  </si>
  <si>
    <t>HER000103</t>
  </si>
  <si>
    <t>DADO DE IMPACTO CORTO HEXAGONAL ENCASTRE 3/4" DE 1 3/4"</t>
  </si>
  <si>
    <t>HER000104</t>
  </si>
  <si>
    <t>DADO DE IMPACTO CORTO HEXAGONAL ENCASTRE 3/4" DE 1 3/8"</t>
  </si>
  <si>
    <t>HER000105</t>
  </si>
  <si>
    <t>DADO DE IMPACTO CORTO HEXAGONAL ENCASTRE 3/4" DE 1 5/16"</t>
  </si>
  <si>
    <t>HER000106</t>
  </si>
  <si>
    <t>DADO DE IMPACTO CORTO HEXAGONAL ENCASTRE 3/4" DE 1 5/8"</t>
  </si>
  <si>
    <t>HER000107</t>
  </si>
  <si>
    <t>DADO DE IMPACTO CORTO HEXAGONAL ENCASTRE 3/4" DE 1 7/16"</t>
  </si>
  <si>
    <t>HER000108</t>
  </si>
  <si>
    <t>DADO DE IMPACTO CORTO HEXAGONAL ENCASTRE 3/4" DE 1 7/8"</t>
  </si>
  <si>
    <t>HER000109</t>
  </si>
  <si>
    <t>DADO DE IMPACTO CORTO HEXAGONAL ENCASTRE 3/4" DE 1 9/16"</t>
  </si>
  <si>
    <t>HER000110</t>
  </si>
  <si>
    <t>DADO DE IMPACTO CORTO HEXAGONAL ENCASTRE 3/4" DE 1"</t>
  </si>
  <si>
    <t>HER000111</t>
  </si>
  <si>
    <t>DADO DE IMPACTO CORTO HEXAGONAL ENCASTRE 3/4" DE 13/16"</t>
  </si>
  <si>
    <t>HER000112</t>
  </si>
  <si>
    <t>DADO DE IMPACTO CORTO HEXAGONAL ENCASTRE 3/4" DE 15/16"</t>
  </si>
  <si>
    <t>HER000113</t>
  </si>
  <si>
    <t>DADO DE IMPACTO CORTO HEXAGONAL ENCASTRE 3/4" DE 17 MM</t>
  </si>
  <si>
    <t>HER000114</t>
  </si>
  <si>
    <t>DADO DE IMPACTO CORTO HEXAGONAL ENCASTRE 3/4" DE 18 MM</t>
  </si>
  <si>
    <t>HER000115</t>
  </si>
  <si>
    <t>DADO DE IMPACTO CORTO HEXAGONAL ENCASTRE 3/4" DE 19 MM</t>
  </si>
  <si>
    <t>HER000116</t>
  </si>
  <si>
    <t>DADO DE IMPACTO CORTO HEXAGONAL ENCASTRE 3/4" DE 2 3/8"</t>
  </si>
  <si>
    <t>HER000117</t>
  </si>
  <si>
    <t>DADO DE IMPACTO CORTO HEXAGONAL ENCASTRE 3/4" DE 2"</t>
  </si>
  <si>
    <t>HER000118</t>
  </si>
  <si>
    <t>DADO DE IMPACTO CORTO HEXAGONAL ENCASTRE 3/4" DE 21 MM</t>
  </si>
  <si>
    <t>HER000119</t>
  </si>
  <si>
    <t>DADO DE IMPACTO CORTO HEXAGONAL ENCASTRE 3/4" DE 22 MM</t>
  </si>
  <si>
    <t>HER000120</t>
  </si>
  <si>
    <t>DADO DE IMPACTO CORTO HEXAGONAL ENCASTRE 3/4" DE 23 MM</t>
  </si>
  <si>
    <t>HER000121</t>
  </si>
  <si>
    <t>DADO DE IMPACTO CORTO HEXAGONAL ENCASTRE 3/4" DE 24 MM</t>
  </si>
  <si>
    <t>HER000122</t>
  </si>
  <si>
    <t>DADO DE IMPACTO CORTO HEXAGONAL ENCASTRE 3/4" DE 27 MM</t>
  </si>
  <si>
    <t>HER000123</t>
  </si>
  <si>
    <t>DADO DE IMPACTO CORTO HEXAGONAL ENCASTRE 3/4" DE 28 MM</t>
  </si>
  <si>
    <t>HER000124</t>
  </si>
  <si>
    <t>DADO DE IMPACTO CORTO HEXAGONAL ENCASTRE 3/4" DE 29 MM</t>
  </si>
  <si>
    <t>HER000125</t>
  </si>
  <si>
    <t>DADO DE IMPACTO CORTO HEXAGONAL ENCASTRE 3/4" DE 3/4"</t>
  </si>
  <si>
    <t>HER000126</t>
  </si>
  <si>
    <t>DADO DE IMPACTO CORTO HEXAGONAL ENCASTRE 3/4" DE 30 MM</t>
  </si>
  <si>
    <t>HER000127</t>
  </si>
  <si>
    <t>DADO DE IMPACTO CORTO HEXAGONAL ENCASTRE 3/4" DE 32 MM</t>
  </si>
  <si>
    <t>HER000128</t>
  </si>
  <si>
    <t>DADO DE IMPACTO CORTO HEXAGONAL ENCASTRE 3/4" DE 33 MM</t>
  </si>
  <si>
    <t>HER000129</t>
  </si>
  <si>
    <t>DADO DE IMPACTO CORTO HEXAGONAL ENCASTRE 3/4" DE 34 MM</t>
  </si>
  <si>
    <t>HER000130</t>
  </si>
  <si>
    <t>DADO DE IMPACTO CORTO HEXAGONAL ENCASTRE 3/4" DE 36 MM</t>
  </si>
  <si>
    <t>HER000131</t>
  </si>
  <si>
    <t>DADO DE IMPACTO CORTO HEXAGONAL ENCASTRE 3/4" DE 38 MM</t>
  </si>
  <si>
    <t>HER000132</t>
  </si>
  <si>
    <t>DADO DE IMPACTO CORTO HEXAGONAL ENCASTRE 3/4" DE 41 MM</t>
  </si>
  <si>
    <t>HER000133</t>
  </si>
  <si>
    <t>DADO DE IMPACTO CORTO HEXAGONAL ENCASTRE 3/4" DE 50 MM</t>
  </si>
  <si>
    <t>HER000134</t>
  </si>
  <si>
    <t>DADO DE IMPACTO CORTO HEXAGONAL ENCASTRE 3/4" DE 55 MM</t>
  </si>
  <si>
    <t>HER000135</t>
  </si>
  <si>
    <t>DADO DE IMPACTO CORTO HEXAGONAL ENCASTRE 3/4" DE 7/8"</t>
  </si>
  <si>
    <t>HER000136</t>
  </si>
  <si>
    <t>DADO DE IMPACTO PUNTA (ALLEN) ENCASTRE 1/2") DE 10 MM</t>
  </si>
  <si>
    <t>HER000137</t>
  </si>
  <si>
    <t>DADO DE IMPACTO PUNTA (ALLEN) ENCASTRE 1/2") DE 12 MM</t>
  </si>
  <si>
    <t>HER000138</t>
  </si>
  <si>
    <t>DADO DE IMPACTO PUNTA (ALLEN) ENCASTRE 1/2") DE 14 MM</t>
  </si>
  <si>
    <t>HER000139</t>
  </si>
  <si>
    <t>DADO DE IMPACTO PUNTA (ALLEN) ENCASTRE 1/2") DE 17 MM</t>
  </si>
  <si>
    <t>HER000140</t>
  </si>
  <si>
    <t>DADO DE IMPACTO PUNTA (ALLEN) ENCASTRE 1/2") DE 19 MM</t>
  </si>
  <si>
    <t>HER000141</t>
  </si>
  <si>
    <t>DADO DE IMPACTO PUNTA (ALLEN) ENCASTRE 1/2") DE 6 MM</t>
  </si>
  <si>
    <t>HER000142</t>
  </si>
  <si>
    <t>DADO DE IMPACTO PUNTA (ALLEN) ENCASTRE 1/2") DE 8 MM</t>
  </si>
  <si>
    <t>HER000143</t>
  </si>
  <si>
    <t>DADO DE IMPACTO PUNTA (ALLEN) ENCASTRE 3/4") DE 17 MM</t>
  </si>
  <si>
    <t>HER000144</t>
  </si>
  <si>
    <t>DADO DE IMPACTO PUNTA (ALLEN) ENCASTRE 3/4") DE 19 MM</t>
  </si>
  <si>
    <t>HER000145</t>
  </si>
  <si>
    <t>DADO DE IMPACTO PUNTA (ALLEN) ENCASTRE 3/4") DE 22 MM</t>
  </si>
  <si>
    <t>HER000146</t>
  </si>
  <si>
    <t>DADO DE IMPACTO TUBULAR HEXAGONAL ENCASTRE 1/2" DE 1 1/16"</t>
  </si>
  <si>
    <t>HER000147</t>
  </si>
  <si>
    <t>DADO DE IMPACTO TUBULAR HEXAGONAL ENCASTRE 1/2" DE 1 1/2"</t>
  </si>
  <si>
    <t>HER000148</t>
  </si>
  <si>
    <t>DADO DE IMPACTO TUBULAR HEXAGONAL ENCASTRE 1/2" DE 1 1/4"</t>
  </si>
  <si>
    <t>HER000149</t>
  </si>
  <si>
    <t>DADO DE IMPACTO TUBULAR HEXAGONAL ENCASTRE 1/2" DE 1 1/8"</t>
  </si>
  <si>
    <t>HER000150</t>
  </si>
  <si>
    <t>DADO DE IMPACTO TUBULAR HEXAGONAL ENCASTRE 1/2" DE 1 3/8"</t>
  </si>
  <si>
    <t>HER000151</t>
  </si>
  <si>
    <t>DADO DE IMPACTO TUBULAR HEXAGONAL ENCASTRE 1/2" DE 1 5/16"</t>
  </si>
  <si>
    <t>HER000152</t>
  </si>
  <si>
    <t>DADO DE IMPACTO TUBULAR HEXAGONAL ENCASTRE 1/2" DE 1 7/16"</t>
  </si>
  <si>
    <t>HER000153</t>
  </si>
  <si>
    <t>DADO DE IMPACTO TUBULAR HEXAGONAL ENCASTRE 1/2" DE 1"</t>
  </si>
  <si>
    <t>HER000154</t>
  </si>
  <si>
    <t>DADO DE IMPACTO TUBULAR HEXAGONAL ENCASTRE 1/2" DE 1/2"</t>
  </si>
  <si>
    <t>HER000155</t>
  </si>
  <si>
    <t>DADO DE IMPACTO TUBULAR HEXAGONAL ENCASTRE 1/2" DE 10 MM</t>
  </si>
  <si>
    <t>HER000156</t>
  </si>
  <si>
    <t>DADO DE IMPACTO TUBULAR HEXAGONAL ENCASTRE 1/2" DE 11 MM</t>
  </si>
  <si>
    <t>HER000157</t>
  </si>
  <si>
    <t>DADO DE IMPACTO TUBULAR HEXAGONAL ENCASTRE 1/2" DE 11/16"</t>
  </si>
  <si>
    <t>HER000158</t>
  </si>
  <si>
    <t>DADO DE IMPACTO TUBULAR HEXAGONAL ENCASTRE 1/2" DE 12 MM</t>
  </si>
  <si>
    <t>HER000159</t>
  </si>
  <si>
    <t>DADO DE IMPACTO TUBULAR HEXAGONAL ENCASTRE 1/2" DE 13 MM</t>
  </si>
  <si>
    <t>HER000160</t>
  </si>
  <si>
    <t>DADO DE IMPACTO TUBULAR HEXAGONAL ENCASTRE 1/2" DE 13/16"</t>
  </si>
  <si>
    <t>HER000161</t>
  </si>
  <si>
    <t>DADO DE IMPACTO TUBULAR HEXAGONAL ENCASTRE 1/2" DE 14 MM</t>
  </si>
  <si>
    <t>HER000162</t>
  </si>
  <si>
    <t>DADO DE IMPACTO TUBULAR HEXAGONAL ENCASTRE 1/2" DE 15 MM</t>
  </si>
  <si>
    <t>HER000163</t>
  </si>
  <si>
    <t>DADO DE IMPACTO TUBULAR HEXAGONAL ENCASTRE 1/2" DE 15/16"</t>
  </si>
  <si>
    <t>HER000164</t>
  </si>
  <si>
    <t>DADO DE IMPACTO TUBULAR HEXAGONAL ENCASTRE 1/2" DE 16 MM</t>
  </si>
  <si>
    <t>HER000165</t>
  </si>
  <si>
    <t>DADO DE IMPACTO TUBULAR HEXAGONAL ENCASTRE 1/2" DE 17 MM</t>
  </si>
  <si>
    <t>HER000166</t>
  </si>
  <si>
    <t>DADO DE IMPACTO TUBULAR HEXAGONAL ENCASTRE 1/2" DE 18 MM</t>
  </si>
  <si>
    <t>HER000167</t>
  </si>
  <si>
    <t>DADO DE IMPACTO TUBULAR HEXAGONAL ENCASTRE 1/2" DE 19 MM</t>
  </si>
  <si>
    <t>HER000168</t>
  </si>
  <si>
    <t>DADO DE IMPACTO TUBULAR HEXAGONAL ENCASTRE 1/2" DE 21 MM</t>
  </si>
  <si>
    <t>HER000169</t>
  </si>
  <si>
    <t>DADO DE IMPACTO TUBULAR HEXAGONAL ENCASTRE 1/2" DE 22 MM</t>
  </si>
  <si>
    <t>HER000170</t>
  </si>
  <si>
    <t>DADO DE IMPACTO TUBULAR HEXAGONAL ENCASTRE 1/2" DE 27 MM</t>
  </si>
  <si>
    <t>HER000171</t>
  </si>
  <si>
    <t>DADO DE IMPACTO TUBULAR HEXAGONAL ENCASTRE 1/2" DE 3/4"</t>
  </si>
  <si>
    <t>HER000172</t>
  </si>
  <si>
    <t>DADO DE IMPACTO TUBULAR HEXAGONAL ENCASTRE 1/2" DE 3/8"</t>
  </si>
  <si>
    <t>HER000173</t>
  </si>
  <si>
    <t>DADO DE IMPACTO TUBULAR HEXAGONAL ENCASTRE 1/2" DE 30 MM</t>
  </si>
  <si>
    <t>HER000174</t>
  </si>
  <si>
    <t>DADO DE IMPACTO TUBULAR HEXAGONAL ENCASTRE 1/2" DE 5/8"</t>
  </si>
  <si>
    <t>HER000175</t>
  </si>
  <si>
    <t>DADO DE IMPACTO TUBULAR HEXAGONAL ENCASTRE 1/2" DE 7/16"</t>
  </si>
  <si>
    <t>HER000176</t>
  </si>
  <si>
    <t>DADO DE IMPACTO TUBULAR HEXAGONAL ENCASTRE 1/2" DE 7/8"</t>
  </si>
  <si>
    <t>HER000177</t>
  </si>
  <si>
    <t>DADO DE IMPACTO TUBULAR HEXAGONAL ENCASTRE 1/2" DE 9/16"</t>
  </si>
  <si>
    <t>HER000178</t>
  </si>
  <si>
    <t>DADO DE IMPACTO TUBULAR HEXAGONAL ENCASTRE 3/4" DE 1 1/16"</t>
  </si>
  <si>
    <t>HER000179</t>
  </si>
  <si>
    <t>DADO DE IMPACTO TUBULAR HEXAGONAL ENCASTRE 3/4" DE 1 1/2"</t>
  </si>
  <si>
    <t>HER000180</t>
  </si>
  <si>
    <t>DADO DE IMPACTO TUBULAR HEXAGONAL ENCASTRE 3/4" DE 1 1/4"</t>
  </si>
  <si>
    <t>HER000181</t>
  </si>
  <si>
    <t>DADO DE IMPACTO TUBULAR HEXAGONAL ENCASTRE 3/4" DE 1 1/8"</t>
  </si>
  <si>
    <t>HER000182</t>
  </si>
  <si>
    <t>DADO DE IMPACTO TUBULAR HEXAGONAL ENCASTRE 3/4" DE 1 11/16"</t>
  </si>
  <si>
    <t>HER000183</t>
  </si>
  <si>
    <t>DADO DE IMPACTO TUBULAR HEXAGONAL ENCASTRE 3/4" DE 1 13/16"</t>
  </si>
  <si>
    <t>HER000184</t>
  </si>
  <si>
    <t>DADO DE IMPACTO TUBULAR HEXAGONAL ENCASTRE 3/4" DE 1 15/16"</t>
  </si>
  <si>
    <t>HER000185</t>
  </si>
  <si>
    <t>DADO DE IMPACTO TUBULAR HEXAGONAL ENCASTRE 3/4" DE 1 3/16"</t>
  </si>
  <si>
    <t>HER000186</t>
  </si>
  <si>
    <t>DADO DE IMPACTO TUBULAR HEXAGONAL ENCASTRE 3/4" DE 1 3/4"</t>
  </si>
  <si>
    <t>HER000187</t>
  </si>
  <si>
    <t>DADO DE IMPACTO TUBULAR HEXAGONAL ENCASTRE 3/4" DE 1 3/8"</t>
  </si>
  <si>
    <t>HER000188</t>
  </si>
  <si>
    <t>DADO DE IMPACTO TUBULAR HEXAGONAL ENCASTRE 3/4" DE 1 5/16"</t>
  </si>
  <si>
    <t>HER000189</t>
  </si>
  <si>
    <t>DADO DE IMPACTO TUBULAR HEXAGONAL ENCASTRE 3/4" DE 1 5/8"</t>
  </si>
  <si>
    <t>HER000190</t>
  </si>
  <si>
    <t>DADO DE IMPACTO TUBULAR HEXAGONAL ENCASTRE 3/4" DE 1 7/16"</t>
  </si>
  <si>
    <t>HER000191</t>
  </si>
  <si>
    <t>DADO DE IMPACTO TUBULAR HEXAGONAL ENCASTRE 3/4" DE 1 7/8"</t>
  </si>
  <si>
    <t>HER000192</t>
  </si>
  <si>
    <t>DADO DE IMPACTO TUBULAR HEXAGONAL ENCASTRE 3/4" DE 1 9/16"</t>
  </si>
  <si>
    <t>HER000193</t>
  </si>
  <si>
    <t>DADO DE IMPACTO TUBULAR HEXAGONAL ENCASTRE 3/4" DE 1"</t>
  </si>
  <si>
    <t>HER000194</t>
  </si>
  <si>
    <t>DADO DE IMPACTO TUBULAR HEXAGONAL ENCASTRE 3/4" DE 13/16"</t>
  </si>
  <si>
    <t>HER000195</t>
  </si>
  <si>
    <t>DADO DE IMPACTO TUBULAR HEXAGONAL ENCASTRE 3/4" DE 15/16"</t>
  </si>
  <si>
    <t>HER000196</t>
  </si>
  <si>
    <t>DADO DE IMPACTO TUBULAR HEXAGONAL ENCASTRE 3/4" DE 17 MM</t>
  </si>
  <si>
    <t>HER000197</t>
  </si>
  <si>
    <t>DADO DE IMPACTO TUBULAR HEXAGONAL ENCASTRE 3/4" DE 2"</t>
  </si>
  <si>
    <t>HER000198</t>
  </si>
  <si>
    <t>DADO DE IMPACTO TUBULAR HEXAGONAL ENCASTRE 3/4" DE 22 MM</t>
  </si>
  <si>
    <t>HER000199</t>
  </si>
  <si>
    <t>DADO DE IMPACTO TUBULAR HEXAGONAL ENCASTRE 3/4" DE 24 MM</t>
  </si>
  <si>
    <t>HER000200</t>
  </si>
  <si>
    <t>DADO DE IMPACTO TUBULAR HEXAGONAL ENCASTRE 3/4" DE 27 MM</t>
  </si>
  <si>
    <t>HER000201</t>
  </si>
  <si>
    <t>DADO DE IMPACTO TUBULAR HEXAGONAL ENCASTRE 3/4" DE 3/4"</t>
  </si>
  <si>
    <t>HER000202</t>
  </si>
  <si>
    <t>DADO DE IMPACTO TUBULAR HEXAGONAL ENCASTRE 3/4" DE 30 MM</t>
  </si>
  <si>
    <t>HER000203</t>
  </si>
  <si>
    <t>DADO DE IMPACTO TUBULAR HEXAGONAL ENCASTRE 3/4" DE 32 MM</t>
  </si>
  <si>
    <t>HER000204</t>
  </si>
  <si>
    <t>DADO DE IMPACTO TUBULAR HEXAGONAL ENCASTRE 3/4" DE 33 MM</t>
  </si>
  <si>
    <t>HER000205</t>
  </si>
  <si>
    <t>DADO DE IMPACTO TUBULAR HEXAGONAL ENCASTRE 3/4" DE 34 MM</t>
  </si>
  <si>
    <t>HER000206</t>
  </si>
  <si>
    <t>DADO DE IMPACTO TUBULAR HEXAGONAL ENCASTRE 3/4" DE 36 MM</t>
  </si>
  <si>
    <t>HER000207</t>
  </si>
  <si>
    <t>DADO DE IMPACTO TUBULAR HEXAGONAL ENCASTRE 3/4" DE 41 MM</t>
  </si>
  <si>
    <t>HER000208</t>
  </si>
  <si>
    <t>DADO DE IMPACTO TUBULAR HEXAGONAL ENCASTRE 3/4" DE 7/8"</t>
  </si>
  <si>
    <t>HER000209</t>
  </si>
  <si>
    <t>DADO DE IMPACTO X 10 PZS (19(02), 24, 27, 28, 33, 34, 36, 38, y 41)</t>
  </si>
  <si>
    <t>HER000210</t>
  </si>
  <si>
    <t>DESARMADOR ESTRELLA 1/4" X 8"</t>
  </si>
  <si>
    <t>HER000211</t>
  </si>
  <si>
    <t>DESARMADOR ESTRELLA AISLADO 1000V.#0 X 60 MM [44] 65-972</t>
  </si>
  <si>
    <t>HERRAMIENTA P/ TRABAJOS ELÉCTRICOS</t>
  </si>
  <si>
    <t>HER000212</t>
  </si>
  <si>
    <t>DESARMADOR ESTRELLA AISLADO 1000V.#3 X 150 MM [44] 65-975</t>
  </si>
  <si>
    <t>HER000213</t>
  </si>
  <si>
    <t>DESARMADOR PILOTO</t>
  </si>
  <si>
    <t>HER000214</t>
  </si>
  <si>
    <t>DESARMADOR PLANO 1/4" X 8"</t>
  </si>
  <si>
    <t>HER000215</t>
  </si>
  <si>
    <t>DESARMADOR PLANO AISLADO 1000V 3.0 MM X 100MM [44] 65-966</t>
  </si>
  <si>
    <t>HER000216</t>
  </si>
  <si>
    <t>DESARMADOR PLANO AISLADO 1000V 5.5 MM X 125MM [44] 65-968</t>
  </si>
  <si>
    <t>HER000217</t>
  </si>
  <si>
    <t>DESARMADOR PLANO DE GOLPE X 6 PZS KAMASA</t>
  </si>
  <si>
    <t>HER000218</t>
  </si>
  <si>
    <t>DESTORNILLADOR AISLADO 1000 V X 7 UND STANLEY MOD: STMT60175-LA</t>
  </si>
  <si>
    <t>HER000219</t>
  </si>
  <si>
    <t>DESTORNILLADORES DE PRECISION X 6 UND STANLEY MOD: 66-052</t>
  </si>
  <si>
    <t>HER000220</t>
  </si>
  <si>
    <t>ENSUNCHADORA DE CORTE Y AJUSTE PARA FLEJE DE ACERO INOX 1/4" - 3/4" MOD C-00169</t>
  </si>
  <si>
    <t>BAND-IT</t>
  </si>
  <si>
    <t>HER000221</t>
  </si>
  <si>
    <t>ESCALERA TIJERA DE FIBRA DE VIDRIO 3 PASOS CON PLATAFORMA Y BARANDA</t>
  </si>
  <si>
    <t>ESCALERA SIMPLE/TIJERA/TELESCOPICA</t>
  </si>
  <si>
    <t>HER000222</t>
  </si>
  <si>
    <t>ESCALERA TIJERA DE FIBRA DE VIDRIO 4 PASOS CON PLATAFORMA Y BARANDA</t>
  </si>
  <si>
    <t>HER000223</t>
  </si>
  <si>
    <t>ESCUADRA DE COMBINACION DE 12"</t>
  </si>
  <si>
    <t>HER000224</t>
  </si>
  <si>
    <t>ESCUADRA DE TOPE DE 10"</t>
  </si>
  <si>
    <t>HER000225</t>
  </si>
  <si>
    <t>ESCUADRA DE TOPE DE 12"</t>
  </si>
  <si>
    <t>HER000226</t>
  </si>
  <si>
    <t>ESCUADRA DE TOPE DE 6"</t>
  </si>
  <si>
    <t>HER000227</t>
  </si>
  <si>
    <t>ESCUADRA DE TOPE DE 8"</t>
  </si>
  <si>
    <t>HER000228</t>
  </si>
  <si>
    <t>ESCUADRA PLANA PROFESIONAL DE 24"</t>
  </si>
  <si>
    <t>HER000229</t>
  </si>
  <si>
    <t>ESPATULA DE 2" C/ MANGO DE MADERA</t>
  </si>
  <si>
    <t>HER000230</t>
  </si>
  <si>
    <t>ESPATULA DE 3" C/ MANGO DE MADERA</t>
  </si>
  <si>
    <t>HER000231</t>
  </si>
  <si>
    <t>ESPATULA DE 4" C/ MANGO DE MADERA</t>
  </si>
  <si>
    <t>HER000232</t>
  </si>
  <si>
    <t>ESPATULA ESQUINERA EXTERIOR PARA DRYWALL</t>
  </si>
  <si>
    <t>HER000233</t>
  </si>
  <si>
    <t>ESPATULA ESQUINERA INTERIOR PARA DRYWALL</t>
  </si>
  <si>
    <t>HER000234</t>
  </si>
  <si>
    <t>ESPATULA TAPIZADORA DE 10" ACERO AL MEDIO CARBONO</t>
  </si>
  <si>
    <t>HER000235</t>
  </si>
  <si>
    <t>EXTENSION PARA DADO DE IMPACTO DE 1/2" X 10"</t>
  </si>
  <si>
    <t>HER000236</t>
  </si>
  <si>
    <t>EXTENSION PARA DADO DE IMPACTO DE 3/4" X 10"</t>
  </si>
  <si>
    <t>HER000237</t>
  </si>
  <si>
    <t>EXTENSION PARA DADO DE IMPACTO DE 3/4" X 7"</t>
  </si>
  <si>
    <t>HER000238</t>
  </si>
  <si>
    <t>FORMON PARA MADERA DE 1 1/4"</t>
  </si>
  <si>
    <t>HER000239</t>
  </si>
  <si>
    <t>FORMON PARA MADERA DE 1"</t>
  </si>
  <si>
    <t>HER000240</t>
  </si>
  <si>
    <t>FORMON PARA MADERA DE 3/4"</t>
  </si>
  <si>
    <t>HER000241</t>
  </si>
  <si>
    <t>FORMON PARA MADERA DE 3/8"</t>
  </si>
  <si>
    <t>HER000242</t>
  </si>
  <si>
    <t>FORMON PARA MADERA DE 5/8"</t>
  </si>
  <si>
    <t>HER000243</t>
  </si>
  <si>
    <t>FRAGUADOR PROFESIONAL XL</t>
  </si>
  <si>
    <t>HER000244</t>
  </si>
  <si>
    <t>FRENO RETRACTIL VERTICAL PARA SOGA DE 1/2"-9/16"</t>
  </si>
  <si>
    <t>HER000245</t>
  </si>
  <si>
    <t>FRENO RETRACTIL VERTICAL PARA SOGA DE 3/8"</t>
  </si>
  <si>
    <t>HER000246</t>
  </si>
  <si>
    <t>FRENO RETRACTIL VERTICAL PARA SOGA DE 5/16"</t>
  </si>
  <si>
    <t>HER000247</t>
  </si>
  <si>
    <t>FROTACHO DE MADERA 18X27CM</t>
  </si>
  <si>
    <t>HER000248</t>
  </si>
  <si>
    <t>FROTACHO DE PLASTICO PARA ACABADO (SABLE) 18"</t>
  </si>
  <si>
    <t>HER000249</t>
  </si>
  <si>
    <t>INFLADOR PARA LLANTAS PORTATIL MANUAL</t>
  </si>
  <si>
    <t>HER000250</t>
  </si>
  <si>
    <t>JGO DE LIMAS X5PZ 8"</t>
  </si>
  <si>
    <t>KAMASA</t>
  </si>
  <si>
    <t>HER000251</t>
  </si>
  <si>
    <t>JUEGO 9 PZS LLAVES ALLEN MM TIPO NAVAJA DE 1.3, 1.5, 2, 2.5, 3, 4, 5, 5.5, 6 MM</t>
  </si>
  <si>
    <t>HER000252</t>
  </si>
  <si>
    <t>JUEGO 9 PZS LLAVES ALLEN PULG TIPO NAVAJA 5/64,3/32,7/64,1/8,9/64,5/32,3/16,1/4</t>
  </si>
  <si>
    <t>HER000253</t>
  </si>
  <si>
    <t>JUEGO DE DADOS DE 14 PZS MILIMETRICAS MODELO: 86-501</t>
  </si>
  <si>
    <t>HER000254</t>
  </si>
  <si>
    <t>JUEGO DE DADOS DE 25 PZS MILIMETRICAS/PULGADAS MODELO: 86-736</t>
  </si>
  <si>
    <t>HER000255</t>
  </si>
  <si>
    <t>JUEGO DE DADOS DE 25 PZS PULGADAS MODELO: 86-737</t>
  </si>
  <si>
    <t>HER000256</t>
  </si>
  <si>
    <t>JUEGO DE DADOS DE 27 PZS PULGADAS MODELO: 86-505</t>
  </si>
  <si>
    <t>HER000257</t>
  </si>
  <si>
    <t>JUEGO DE DADOS DE 29 PZS MILIMETRICAS MODELO: 86-504</t>
  </si>
  <si>
    <t>HER000258</t>
  </si>
  <si>
    <t>JUEGO DE DADOS HEXAGONAL MILIMETRICO DE 1/2" DE 10-19MM MODELO: DD/S10</t>
  </si>
  <si>
    <t>BAHCO</t>
  </si>
  <si>
    <t>HER000259</t>
  </si>
  <si>
    <t>JUEGO DE DADOS SEXTAVADOS AISLADOS DE 1/2" X 13 PZS DE 10-24MM MODELO: 60900</t>
  </si>
  <si>
    <t>TRAMONTINA</t>
  </si>
  <si>
    <t>HER000260</t>
  </si>
  <si>
    <t>JUEGO DE LLAVES MIXTAS COMBINADAS X 20 PZS (8MM-18MM) (1/4"-7/8")</t>
  </si>
  <si>
    <t>HER000261</t>
  </si>
  <si>
    <t>JUEGO DE LLAVES MIXTAS MILIMETRICAS 7-24 MM</t>
  </si>
  <si>
    <t>HER000262</t>
  </si>
  <si>
    <t>JUEGO DE LLAVES MIXTAS PULGADAS 3/8" - 1 1/4"</t>
  </si>
  <si>
    <t>HER000263</t>
  </si>
  <si>
    <t>JUEGO DE MACHO ROSCA NPT DE 1/2" X 03 UND</t>
  </si>
  <si>
    <t>HER000264</t>
  </si>
  <si>
    <t>JUEGO DE PUNZON HUECO X 9 PZS (2.5, 3, 4, 5, 6, 7, 8, 9, 10MM)</t>
  </si>
  <si>
    <t>HER000265</t>
  </si>
  <si>
    <t>LAMPA CUCHARA GRANDE C/ MANGO DE MADERA</t>
  </si>
  <si>
    <t>HER000266</t>
  </si>
  <si>
    <t>LAMPA CUCHARA GRANDE C/ MANGO DE MADERA - ANTICHISPA</t>
  </si>
  <si>
    <t>HER000267</t>
  </si>
  <si>
    <t>LAMPA CUCHARA RECTA C/ MANGO DE MADERA</t>
  </si>
  <si>
    <t>HER000268</t>
  </si>
  <si>
    <t>LANCHA PARA EMPASTAR DENTADA CON MANGO DE PLASTICO 11"X5"(RASPIN)</t>
  </si>
  <si>
    <t>HER000269</t>
  </si>
  <si>
    <t>LIMA MEDIA CAÑA C/ MANGO DE PLASTICO</t>
  </si>
  <si>
    <t>HER000270</t>
  </si>
  <si>
    <t>LIMA PLANA C/ MANGO DE PLASTICO</t>
  </si>
  <si>
    <t>HER000271</t>
  </si>
  <si>
    <t>LIMA REDONDA C/ MANGO DE PLASTICO</t>
  </si>
  <si>
    <t>HER000272</t>
  </si>
  <si>
    <t>LIMA TRIANGULAR C/ MANGO DE PLASTICO</t>
  </si>
  <si>
    <t>HER000273</t>
  </si>
  <si>
    <t>LLANA PLANA O PLANCHA DE EMPASTAR DE GOMA</t>
  </si>
  <si>
    <t>HER000274</t>
  </si>
  <si>
    <t>LLANA PLANA O PLANCHA DE EMPASTAR METAL</t>
  </si>
  <si>
    <t>HER000275</t>
  </si>
  <si>
    <t>LLAVE CARRACA PARA ANDAMIERO 19/22 MM</t>
  </si>
  <si>
    <t>HER000276</t>
  </si>
  <si>
    <t>LLAVE CORONA DE 3/4" CON MANGO DE COLA DE 1 1/2"</t>
  </si>
  <si>
    <t>HER000277</t>
  </si>
  <si>
    <t>LLAVE CORONA DE 3/4" CON MANGO DE COLA DE 1 1/8"</t>
  </si>
  <si>
    <t>HER000278</t>
  </si>
  <si>
    <t>LLAVE DE BOCA DE 1 1/2" CON MANGO DE COLA</t>
  </si>
  <si>
    <t>HER000279</t>
  </si>
  <si>
    <t>LLAVE DE BOCA DE 1 1/4" CON MANGO DE COLA</t>
  </si>
  <si>
    <t>HER000280</t>
  </si>
  <si>
    <t>LLAVE DE BOCA DE 1 1/8" CON MANGO DE COLA</t>
  </si>
  <si>
    <t>HER000281</t>
  </si>
  <si>
    <t>LLAVE DE BOCA DE 1" CON MANGO DE COLA</t>
  </si>
  <si>
    <t>HER000282</t>
  </si>
  <si>
    <t>LLAVE DE BOCA DE 3/4" CON MANGO DE COLA</t>
  </si>
  <si>
    <t>HER000283</t>
  </si>
  <si>
    <t>LLAVE DE BOCA DE 5/8" CON MANGO DE COLA</t>
  </si>
  <si>
    <t>HER000284</t>
  </si>
  <si>
    <t>LLAVE DE TUBO STILLSON DE 10"</t>
  </si>
  <si>
    <t>HER000285</t>
  </si>
  <si>
    <t>LLAVE DE TUBO STILLSON DE 12"</t>
  </si>
  <si>
    <t>HER000286</t>
  </si>
  <si>
    <t>LLAVE DE TUBO STILLSON DE 14"</t>
  </si>
  <si>
    <t>HER000287</t>
  </si>
  <si>
    <t>LLAVE DE TUBO STILLSON DE 18"</t>
  </si>
  <si>
    <t>HER000288</t>
  </si>
  <si>
    <t>LLAVE DE TUBO STILLSON DE 24"</t>
  </si>
  <si>
    <t>HER000289</t>
  </si>
  <si>
    <t>LLAVE DE TUBO STILLSON DE 36"</t>
  </si>
  <si>
    <t>HER000290</t>
  </si>
  <si>
    <t>LLAVE DE TUBO STILLSON DE 6"</t>
  </si>
  <si>
    <t>HER000291</t>
  </si>
  <si>
    <t>LLAVE DE TUBO STILLSON DE 8"</t>
  </si>
  <si>
    <t>HER000292</t>
  </si>
  <si>
    <t>LLAVE FRANCESA AJUSTABLE CROMADA 10"</t>
  </si>
  <si>
    <t>HER000293</t>
  </si>
  <si>
    <t>LLAVE FRANCESA AJUSTABLE CROMADA 12"</t>
  </si>
  <si>
    <t>HER000294</t>
  </si>
  <si>
    <t>LLAVE FRANCESA AJUSTABLE CROMADA 15"</t>
  </si>
  <si>
    <t>HER000295</t>
  </si>
  <si>
    <t>LLAVE FRANCESA AJUSTABLE CROMADA 18"</t>
  </si>
  <si>
    <t>HER000296</t>
  </si>
  <si>
    <t>LLAVE FRANCESA AJUSTABLE CROMADA 24"</t>
  </si>
  <si>
    <t>HER000297</t>
  </si>
  <si>
    <t>LLAVE FRANCESA AJUSTABLE CROMADA 36"</t>
  </si>
  <si>
    <t>HER000298</t>
  </si>
  <si>
    <t>LLAVE FRANCESA AJUSTABLE CROMADA 6"</t>
  </si>
  <si>
    <t>HER000299</t>
  </si>
  <si>
    <t>LLAVE FRANCESA AJUSTABLE CROMADA 8"</t>
  </si>
  <si>
    <t>HER000300</t>
  </si>
  <si>
    <t>LLAVE MIXTA BOCA/CORONA DE 1 1/16"</t>
  </si>
  <si>
    <t>HER000301</t>
  </si>
  <si>
    <t>LLAVE MIXTA BOCA/CORONA DE 1 1/2"</t>
  </si>
  <si>
    <t>HER000302</t>
  </si>
  <si>
    <t>LLAVE MIXTA BOCA/CORONA DE 1 1/4"</t>
  </si>
  <si>
    <t>HER000303</t>
  </si>
  <si>
    <t>LLAVE MIXTA BOCA/CORONA DE 1 1/8"</t>
  </si>
  <si>
    <t>HER000304</t>
  </si>
  <si>
    <t>LLAVE MIXTA BOCA/CORONA DE 1 11/16"</t>
  </si>
  <si>
    <t>HER000305</t>
  </si>
  <si>
    <t>LLAVE MIXTA BOCA/CORONA DE 1 13/16"</t>
  </si>
  <si>
    <t>HER000306</t>
  </si>
  <si>
    <t>LLAVE MIXTA BOCA/CORONA DE 1 15/16"</t>
  </si>
  <si>
    <t>HER000307</t>
  </si>
  <si>
    <t>LLAVE MIXTA BOCA/CORONA DE 1 3/16"</t>
  </si>
  <si>
    <t>HER000308</t>
  </si>
  <si>
    <t>LLAVE MIXTA BOCA/CORONA DE 1 3/4"</t>
  </si>
  <si>
    <t>HER000309</t>
  </si>
  <si>
    <t>LLAVE MIXTA BOCA/CORONA DE 1 3/8"</t>
  </si>
  <si>
    <t>HER000310</t>
  </si>
  <si>
    <t>LLAVE MIXTA BOCA/CORONA DE 1 5/16"</t>
  </si>
  <si>
    <t>HER000311</t>
  </si>
  <si>
    <t>LLAVE MIXTA BOCA/CORONA DE 1 5/8"</t>
  </si>
  <si>
    <t>HER000312</t>
  </si>
  <si>
    <t>LLAVE MIXTA BOCA/CORONA DE 1 7/16"</t>
  </si>
  <si>
    <t>HER000313</t>
  </si>
  <si>
    <t>LLAVE MIXTA BOCA/CORONA DE 1 7/8"</t>
  </si>
  <si>
    <t>HER000314</t>
  </si>
  <si>
    <t>LLAVE MIXTA BOCA/CORONA DE 1 9/16"</t>
  </si>
  <si>
    <t>HER000315</t>
  </si>
  <si>
    <t>LLAVE MIXTA BOCA/CORONA DE 1"</t>
  </si>
  <si>
    <t>HER000316</t>
  </si>
  <si>
    <t>LLAVE MIXTA BOCA/CORONA DE 1/2"</t>
  </si>
  <si>
    <t>HER000317</t>
  </si>
  <si>
    <t>LLAVE MIXTA BOCA/CORONA DE 1/4"</t>
  </si>
  <si>
    <t>HER000318</t>
  </si>
  <si>
    <t>LLAVE MIXTA BOCA/CORONA DE 10 MM</t>
  </si>
  <si>
    <t>HER000319</t>
  </si>
  <si>
    <t>LLAVE MIXTA BOCA/CORONA DE 11 MM</t>
  </si>
  <si>
    <t>HER000320</t>
  </si>
  <si>
    <t>LLAVE MIXTA BOCA/CORONA DE 11/16"</t>
  </si>
  <si>
    <t>HER000321</t>
  </si>
  <si>
    <t>LLAVE MIXTA BOCA/CORONA DE 12 MM</t>
  </si>
  <si>
    <t>HER000322</t>
  </si>
  <si>
    <t>LLAVE MIXTA BOCA/CORONA DE 13 MM</t>
  </si>
  <si>
    <t>HER000323</t>
  </si>
  <si>
    <t>LLAVE MIXTA BOCA/CORONA DE 13/16"</t>
  </si>
  <si>
    <t>HER000324</t>
  </si>
  <si>
    <t>LLAVE MIXTA BOCA/CORONA DE 14 MM</t>
  </si>
  <si>
    <t>HER000325</t>
  </si>
  <si>
    <t>LLAVE MIXTA BOCA/CORONA DE 15 MM</t>
  </si>
  <si>
    <t>HER000326</t>
  </si>
  <si>
    <t>LLAVE MIXTA BOCA/CORONA DE 15/16"</t>
  </si>
  <si>
    <t>HER000327</t>
  </si>
  <si>
    <t>LLAVE MIXTA BOCA/CORONA DE 16 MM</t>
  </si>
  <si>
    <t>HER000328</t>
  </si>
  <si>
    <t>LLAVE MIXTA BOCA/CORONA DE 17 MM</t>
  </si>
  <si>
    <t>HER000329</t>
  </si>
  <si>
    <t>LLAVE MIXTA BOCA/CORONA DE 18 MM</t>
  </si>
  <si>
    <t>HER000330</t>
  </si>
  <si>
    <t>LLAVE MIXTA BOCA/CORONA DE 19 MM</t>
  </si>
  <si>
    <t>HER000331</t>
  </si>
  <si>
    <t>LLAVE MIXTA BOCA/CORONA DE 2"</t>
  </si>
  <si>
    <t>HER000332</t>
  </si>
  <si>
    <t>LLAVE MIXTA BOCA/CORONA DE 20 MM</t>
  </si>
  <si>
    <t>HER000333</t>
  </si>
  <si>
    <t>LLAVE MIXTA BOCA/CORONA DE 21 MM</t>
  </si>
  <si>
    <t>HER000334</t>
  </si>
  <si>
    <t>LLAVE MIXTA BOCA/CORONA DE 22 MM</t>
  </si>
  <si>
    <t>HER000335</t>
  </si>
  <si>
    <t>LLAVE MIXTA BOCA/CORONA DE 23 MM</t>
  </si>
  <si>
    <t>HER000336</t>
  </si>
  <si>
    <t>LLAVE MIXTA BOCA/CORONA DE 24 MM</t>
  </si>
  <si>
    <t>HER000337</t>
  </si>
  <si>
    <t>LLAVE MIXTA BOCA/CORONA DE 25 MM</t>
  </si>
  <si>
    <t>HER000338</t>
  </si>
  <si>
    <t>LLAVE MIXTA BOCA/CORONA DE 26 MM</t>
  </si>
  <si>
    <t>HER000339</t>
  </si>
  <si>
    <t>LLAVE MIXTA BOCA/CORONA DE 27 MM</t>
  </si>
  <si>
    <t>HER000340</t>
  </si>
  <si>
    <t>LLAVE MIXTA BOCA/CORONA DE 28 MM</t>
  </si>
  <si>
    <t>HER000341</t>
  </si>
  <si>
    <t>LLAVE MIXTA BOCA/CORONA DE 29 MM</t>
  </si>
  <si>
    <t>HER000342</t>
  </si>
  <si>
    <t>LLAVE MIXTA BOCA/CORONA DE 3/4"</t>
  </si>
  <si>
    <t>HER000343</t>
  </si>
  <si>
    <t>LLAVE MIXTA BOCA/CORONA DE 3/8"</t>
  </si>
  <si>
    <t>HER000344</t>
  </si>
  <si>
    <t>LLAVE MIXTA BOCA/CORONA DE 30 MM</t>
  </si>
  <si>
    <t>HER000345</t>
  </si>
  <si>
    <t>LLAVE MIXTA BOCA/CORONA DE 32 MM</t>
  </si>
  <si>
    <t>HER000346</t>
  </si>
  <si>
    <t>LLAVE MIXTA BOCA/CORONA DE 36 MM</t>
  </si>
  <si>
    <t>HER000347</t>
  </si>
  <si>
    <t>LLAVE MIXTA BOCA/CORONA DE 38 MM</t>
  </si>
  <si>
    <t>HER000348</t>
  </si>
  <si>
    <t>LLAVE MIXTA BOCA/CORONA DE 41 MM</t>
  </si>
  <si>
    <t>HER000349</t>
  </si>
  <si>
    <t>LLAVE MIXTA BOCA/CORONA DE 42 MM</t>
  </si>
  <si>
    <t>HER000350</t>
  </si>
  <si>
    <t>LLAVE MIXTA BOCA/CORONA DE 46 MM</t>
  </si>
  <si>
    <t>HER000351</t>
  </si>
  <si>
    <t>LLAVE MIXTA BOCA/CORONA DE 48 MM</t>
  </si>
  <si>
    <t>HER000352</t>
  </si>
  <si>
    <t>LLAVE MIXTA BOCA/CORONA DE 5/16"</t>
  </si>
  <si>
    <t>HER000353</t>
  </si>
  <si>
    <t>LLAVE MIXTA BOCA/CORONA DE 5/8"</t>
  </si>
  <si>
    <t>HER000354</t>
  </si>
  <si>
    <t>LLAVE MIXTA BOCA/CORONA DE 50 MM</t>
  </si>
  <si>
    <t>HER000355</t>
  </si>
  <si>
    <t>LLAVE MIXTA BOCA/CORONA DE 55 MM</t>
  </si>
  <si>
    <t>HER000356</t>
  </si>
  <si>
    <t>LLAVE MIXTA BOCA/CORONA DE 6 MM</t>
  </si>
  <si>
    <t>HER000357</t>
  </si>
  <si>
    <t>LLAVE MIXTA BOCA/CORONA DE 60 MM</t>
  </si>
  <si>
    <t>HER000358</t>
  </si>
  <si>
    <t>LLAVE MIXTA BOCA/CORONA DE 7 MM</t>
  </si>
  <si>
    <t>HER000359</t>
  </si>
  <si>
    <t>LLAVE MIXTA BOCA/CORONA DE 7/16"</t>
  </si>
  <si>
    <t>HER000360</t>
  </si>
  <si>
    <t>LLAVE MIXTA BOCA/CORONA DE 7/8"</t>
  </si>
  <si>
    <t>HER000361</t>
  </si>
  <si>
    <t>LLAVE MIXTA BOCA/CORONA DE 8 MM</t>
  </si>
  <si>
    <t>HER000362</t>
  </si>
  <si>
    <t>LLAVE MIXTA BOCA/CORONA DE 9 MM</t>
  </si>
  <si>
    <t>HER000363</t>
  </si>
  <si>
    <t>LLAVE MIXTA BOCA/CORONA DE 9/16"</t>
  </si>
  <si>
    <t>HER000364</t>
  </si>
  <si>
    <t>LLAVE PALANCA DADOS "L" ENCASTRE 1/2"</t>
  </si>
  <si>
    <t>HER000365</t>
  </si>
  <si>
    <t>LLAVE PALANCA DADOS "L" ENCASTRE 3/4"</t>
  </si>
  <si>
    <t>HER000366</t>
  </si>
  <si>
    <t>LLAVE PLEGABLE TORX (JGO: 8 PZS)</t>
  </si>
  <si>
    <t>HER000367</t>
  </si>
  <si>
    <t>MALETA DE HERRAMIENTAS PARA INSTRUMENTISTA</t>
  </si>
  <si>
    <t>HER000368</t>
  </si>
  <si>
    <t>MALETA DE HERRAMIENTAS PARA MECANICO</t>
  </si>
  <si>
    <t>HER000369</t>
  </si>
  <si>
    <t>MALETA PORTA HERRAMIENTAS PLASTICA DE 23"</t>
  </si>
  <si>
    <t>HER000370</t>
  </si>
  <si>
    <t>MARTILLO DE BOLA C/MANGO MADERA 16 OZ.</t>
  </si>
  <si>
    <t>HER000371</t>
  </si>
  <si>
    <t>MARTILLO DE BOLA C/MANGO MADERA 24 OZ.</t>
  </si>
  <si>
    <t>HER000372</t>
  </si>
  <si>
    <t>MARTILLO DE BOLA C/MANGO MADERA 32 OZ.</t>
  </si>
  <si>
    <t>HER000373</t>
  </si>
  <si>
    <t>MARTILLO DE UÑA PARA CARPINTERO DE 21 OZ</t>
  </si>
  <si>
    <t>HER000374</t>
  </si>
  <si>
    <t>MARTILLO PARA ANDAMIERO ANTIVIBRATORIO DE 600 G X 340 MM</t>
  </si>
  <si>
    <t>HER000375</t>
  </si>
  <si>
    <t>MOCHILA PULVERIZADORA MANUAL DE 20 L</t>
  </si>
  <si>
    <t>MATERIAL DE FERRETERIA</t>
  </si>
  <si>
    <t>MATERIAL DE LIMPIEZA</t>
  </si>
  <si>
    <t>HER000376</t>
  </si>
  <si>
    <t>NIVEL DE ALUMINIO DE 12"</t>
  </si>
  <si>
    <t>HER000377</t>
  </si>
  <si>
    <t>NIVEL DE ALUMINIO DE 14"</t>
  </si>
  <si>
    <t>HER000378</t>
  </si>
  <si>
    <t>NIVEL DE ALUMINIO DE 18"</t>
  </si>
  <si>
    <t>HER000379</t>
  </si>
  <si>
    <t>NIVEL DE ALUMINIO DE 24"</t>
  </si>
  <si>
    <t>HER000380</t>
  </si>
  <si>
    <t>NIVEL DE ALUMINIO DE 36"</t>
  </si>
  <si>
    <t>HER000381</t>
  </si>
  <si>
    <t>NIVEL DE ALUMINIO DE 48"</t>
  </si>
  <si>
    <t>HER000382</t>
  </si>
  <si>
    <t>NIVEL DE ALUMINIO DE 500MM</t>
  </si>
  <si>
    <t>HER000383</t>
  </si>
  <si>
    <t>NIVEL TORPEDO MAGNETICO 8"</t>
  </si>
  <si>
    <t>HER000384</t>
  </si>
  <si>
    <t>NIVEL TORPEDO MAGNETICO DE 9"</t>
  </si>
  <si>
    <t>HER000385</t>
  </si>
  <si>
    <t>PALA DE MANO ANCHA GARDENA</t>
  </si>
  <si>
    <t>HER000386</t>
  </si>
  <si>
    <t>PALA DOBLE P/ HACER HOYOS C/ MANGO DE MADERA</t>
  </si>
  <si>
    <t>HER000387</t>
  </si>
  <si>
    <t>PATA DE CABRA DE ACERO HEXAGONAL DE 3/4" X 90 CM</t>
  </si>
  <si>
    <t>HER000388</t>
  </si>
  <si>
    <t>PICO PUNTA Y PALA ANGOSTA 90 CM</t>
  </si>
  <si>
    <t>HER000389</t>
  </si>
  <si>
    <t>PICO PUNTA Y PALA ANGOSTA 90 CM - ANTICHISPA</t>
  </si>
  <si>
    <t>HER000390</t>
  </si>
  <si>
    <t>PICOTA DE GEOLOGO DE 18 CM C/ MANGO FIBRA DE VIDRIO</t>
  </si>
  <si>
    <t>HER000391</t>
  </si>
  <si>
    <t>PISTOLA P/ CALAFATEO DE 600 ML (APLICADOR DE SILICONA)</t>
  </si>
  <si>
    <t>SIKA</t>
  </si>
  <si>
    <t>HER000392</t>
  </si>
  <si>
    <t>PLANCHA DE BATIR</t>
  </si>
  <si>
    <t>HER000393</t>
  </si>
  <si>
    <t>PLANCHA DE EMPASTAR</t>
  </si>
  <si>
    <t>HER000394</t>
  </si>
  <si>
    <t>PRENSA NODULAR PARA CARPINTERO TIPO "C" DE 12"</t>
  </si>
  <si>
    <t>HER000395</t>
  </si>
  <si>
    <t>PRENSA NODULAR PARA CARPINTERO TIPO "C" DE 2"</t>
  </si>
  <si>
    <t>HER000396</t>
  </si>
  <si>
    <t>PRENSA NODULAR PARA CARPINTERO TIPO "C" DE 3"</t>
  </si>
  <si>
    <t>HER000397</t>
  </si>
  <si>
    <t>PRENSA NODULAR PARA CARPINTERO TIPO "C" DE 4"</t>
  </si>
  <si>
    <t>HER000398</t>
  </si>
  <si>
    <t>PRENSA NODULAR PARA CARPINTERO TIPO "C" DE 6"</t>
  </si>
  <si>
    <t>HER000399</t>
  </si>
  <si>
    <t>PRENSA NODULAR PARA CARPINTERO TIPO "C" DE 8"</t>
  </si>
  <si>
    <t>HER000400</t>
  </si>
  <si>
    <t>QUITADOR DE FRAGUA</t>
  </si>
  <si>
    <t>HER000401</t>
  </si>
  <si>
    <t>RASTRILLO DE 120 CM 14 DIENTES 35 CM ANCHO DE CABEZAL METAL C/ MANGO DE MADERA</t>
  </si>
  <si>
    <t>HER000402</t>
  </si>
  <si>
    <t>REMACHADOR TIPO ACORDEON</t>
  </si>
  <si>
    <t>HER000403</t>
  </si>
  <si>
    <t>REMACHADORA</t>
  </si>
  <si>
    <t>HER000404</t>
  </si>
  <si>
    <t>SERRUCHO DE CARPINTERO DE 20"</t>
  </si>
  <si>
    <t>HER000405</t>
  </si>
  <si>
    <t>SIERRA COPA BIMETALICA (3/4", 7/8", 1 1/8", 1 1/2", 1 3/4" y 2 1/4") MOD: 15405</t>
  </si>
  <si>
    <t>HER000406</t>
  </si>
  <si>
    <t>SIERRA DE COPA P/ MADERA DE 7/8"-4" MODELO: KM-455</t>
  </si>
  <si>
    <t>HER000407</t>
  </si>
  <si>
    <t>SIERRA COPAS (7/8, 1 1/8, 1 3/8, 1 3/4, 2 y 2 1/2) 10 PZS MOD: 2 607 011 477</t>
  </si>
  <si>
    <t>HER000408</t>
  </si>
  <si>
    <t>TENAZA PARA ZUNCHO DE 3/4"</t>
  </si>
  <si>
    <t>MATERIAL DE EMBALAJE</t>
  </si>
  <si>
    <t>HER000409</t>
  </si>
  <si>
    <t>TENAZA PARA ZUNCHO DE 5/8"</t>
  </si>
  <si>
    <t>HER000410</t>
  </si>
  <si>
    <t>TENZADORA PARA ZUNCHO METALICO 3/4"</t>
  </si>
  <si>
    <t>HER000411</t>
  </si>
  <si>
    <t>TENZADORA PARA ZUNCHO PLASTICO 3/4"</t>
  </si>
  <si>
    <t>HER000412</t>
  </si>
  <si>
    <t>TIJERA CORTA LATA</t>
  </si>
  <si>
    <t>HER000413</t>
  </si>
  <si>
    <t>TORTOL AMARRADOR DE VARILLAS DE 3/8"</t>
  </si>
  <si>
    <t>HER000414</t>
  </si>
  <si>
    <t>TRAMPA DE ACERO DE 12 X 12 CM P/ ACERO DE 1/2"</t>
  </si>
  <si>
    <t>HER000415</t>
  </si>
  <si>
    <t>TRAMPA DE ACERO DE 12 X 12 CM P/ ACERO DE 3/8"</t>
  </si>
  <si>
    <t>HER000416</t>
  </si>
  <si>
    <t>TRAMPA DE ACERO DE 12 X 12 CM P/ ACERO DE 5/8"</t>
  </si>
  <si>
    <t>HER000417</t>
  </si>
  <si>
    <t>WINCHA - CINTA METRICA METALICA 5 M (FLEXOMETRO)</t>
  </si>
  <si>
    <t>HER000418</t>
  </si>
  <si>
    <t>WINCHA - CINTA METRICA METALICA 8 M (FLEXOMETRO)</t>
  </si>
  <si>
    <t>HER000419</t>
  </si>
  <si>
    <t>WINCHA - CINTA METRICA PLASTICO 30 M</t>
  </si>
  <si>
    <t>HER000420</t>
  </si>
  <si>
    <t>WINCHA - CINTA METRICA PLASTICO 50 M</t>
  </si>
  <si>
    <t>HER000421</t>
  </si>
  <si>
    <t>WINCHA PASACABLE CABLE ACERO DE 30 M</t>
  </si>
  <si>
    <t>HER000422</t>
  </si>
  <si>
    <t>REFLECTOR PORTATIL LED, OPALUX 50W, 1500LM, RECARGABLE</t>
  </si>
  <si>
    <t>$30.27</t>
  </si>
  <si>
    <t>MATERIAL ELECTRICO</t>
  </si>
  <si>
    <t>EQUIPO DE ILUMINACION (ALUMB. INTERIOR)</t>
  </si>
  <si>
    <t>OPALUX</t>
  </si>
  <si>
    <t>HER000423</t>
  </si>
  <si>
    <t>LINTERNA PARA CASCO 300 LUMEN MARCA: TRUPER</t>
  </si>
  <si>
    <t>$15.68</t>
  </si>
  <si>
    <t>OTRO ARTICULO DE SEGURIDAD</t>
  </si>
  <si>
    <t>HER000424</t>
  </si>
  <si>
    <t>CALIBRADOR ESPESOR 0.0038-0.889MM 32H 78-22</t>
  </si>
  <si>
    <t>$9.46</t>
  </si>
  <si>
    <t>HER000425</t>
  </si>
  <si>
    <t>MAQUINA ENZUNCHADORA TENAZA Y TENSIONADOR</t>
  </si>
  <si>
    <t>$25.51</t>
  </si>
  <si>
    <t>HER000426</t>
  </si>
  <si>
    <t>WINCHA - CINTA METRICA METALICA 10 M (FLEXOMETRO)</t>
  </si>
  <si>
    <t>$11.35</t>
  </si>
  <si>
    <t>HER000427</t>
  </si>
  <si>
    <t>LLAVE RACHET ENCASTRE DE 1/2" X 12"</t>
  </si>
  <si>
    <t>$5.41</t>
  </si>
  <si>
    <t>HER000428</t>
  </si>
  <si>
    <t>DADO CROMADO TUBULAR HEXAGONAL ENCASTRE DE 1/2" DE 19 MM</t>
  </si>
  <si>
    <t>$3.59</t>
  </si>
  <si>
    <t>HER000429</t>
  </si>
  <si>
    <t>DADO CROMADO TUBULAR HEXAGONAL ENCASTRE DE 1/2" DE 20 MM</t>
  </si>
  <si>
    <t>$3.73</t>
  </si>
  <si>
    <t>HER000430</t>
  </si>
  <si>
    <t>DADO CROMADO TUBULAR HEXAGONAL ENCASTRE DE 1/2" DE 21 MM</t>
  </si>
  <si>
    <t>HER000431</t>
  </si>
  <si>
    <t>BALDE DE LINIERO DE LONA DE 20 L</t>
  </si>
  <si>
    <t>$6.49</t>
  </si>
  <si>
    <t>MAT000001</t>
  </si>
  <si>
    <t>ABRAZADERA AJUSTABLE ACERO INOX DE 1 1/2"</t>
  </si>
  <si>
    <t>MATERIAL</t>
  </si>
  <si>
    <t>MANGUERA</t>
  </si>
  <si>
    <t>ACCESORIO PARA MANGUERA</t>
  </si>
  <si>
    <t>MAT000002</t>
  </si>
  <si>
    <t>ABRAZADERA AJUSTABLE ACERO INOX DE 1"</t>
  </si>
  <si>
    <t>MAT000003</t>
  </si>
  <si>
    <t>ABRAZADERA AJUSTABLE ACERO INOX DE 1/2"</t>
  </si>
  <si>
    <t>MAT000004</t>
  </si>
  <si>
    <t>ABRAZADERA AJUSTABLE ACERO INOX DE 2"</t>
  </si>
  <si>
    <t>MAT000005</t>
  </si>
  <si>
    <t>ABRAZADERA AJUSTABLE ACERO INOX DE 3"</t>
  </si>
  <si>
    <t>MAT000006</t>
  </si>
  <si>
    <t>ABRAZADERA AJUSTABLE ACERO INOX DE 3/4"</t>
  </si>
  <si>
    <t>MAT000007</t>
  </si>
  <si>
    <t>ABRAZADERA AJUSTABLE ACERO INOX DE 4"</t>
  </si>
  <si>
    <t>MAT000008</t>
  </si>
  <si>
    <t>ABRAZADERA DE BANDEJA A TUBO CONDUIT 1 1/2'' LCC</t>
  </si>
  <si>
    <t>ACCESORIO PARA TUBERIA</t>
  </si>
  <si>
    <t>ACCESORIO PARA TUBERIA CONDUIT</t>
  </si>
  <si>
    <t>MAT000009</t>
  </si>
  <si>
    <t>ABRAZADERA DE BANDEJA A TUBO CONDUIT 1'' LCC</t>
  </si>
  <si>
    <t>MAT000010</t>
  </si>
  <si>
    <t>ABRAZADERA DE BANDEJA A TUBO CONDUIT 1/2'' LCC</t>
  </si>
  <si>
    <t>MAT000011</t>
  </si>
  <si>
    <t>ABRAZADERA DE BANDEJA A TUBO CONDUIT 2'' LCC</t>
  </si>
  <si>
    <t>MAT000012</t>
  </si>
  <si>
    <t>ABRAZADERA DE BANDEJA A TUBO CONDUIT 3/4'' LCC</t>
  </si>
  <si>
    <t>MAT000013</t>
  </si>
  <si>
    <t>ABRAZADERA ELECTROSOLDADA UNISTRUT DE 1/2" - CUSH A CLAMP</t>
  </si>
  <si>
    <t>MAT000014</t>
  </si>
  <si>
    <t>ABRAZADERA METALICA C/ 1 OREJA P/ TUBO 1 1/2"</t>
  </si>
  <si>
    <t>MAT000015</t>
  </si>
  <si>
    <t>ABRAZADERA METALICA C/ 1 OREJA P/ TUBO 1"</t>
  </si>
  <si>
    <t>MAT000016</t>
  </si>
  <si>
    <t>ABRAZADERA METALICA C/ 1 OREJA P/ TUBO 1/2"</t>
  </si>
  <si>
    <t>MAT000017</t>
  </si>
  <si>
    <t>ABRAZADERA METALICA C/ 1 OREJA P/ TUBO 2"</t>
  </si>
  <si>
    <t>MAT000018</t>
  </si>
  <si>
    <t>ABRAZADERA METALICA C/ 1 OREJA P/ TUBO 3/4"</t>
  </si>
  <si>
    <t>MAT000019</t>
  </si>
  <si>
    <t>ABRAZADERA METALICA C/ 2 OREJAS P TUBO 1 1/2"</t>
  </si>
  <si>
    <t>MAT000020</t>
  </si>
  <si>
    <t>ABRAZADERA METALICA C/ 2 OREJAS P TUBO 1"</t>
  </si>
  <si>
    <t>MAT000021</t>
  </si>
  <si>
    <t>ABRAZADERA METALICA C/ 2 OREJAS P TUBO 1/2"</t>
  </si>
  <si>
    <t>MAT000022</t>
  </si>
  <si>
    <t>ABRAZADERA METALICA C/ 2 OREJAS P TUBO 2"</t>
  </si>
  <si>
    <t>MAT000023</t>
  </si>
  <si>
    <t>ABRAZADERA METALICA C/ 2 OREJAS P TUBO 3/4"</t>
  </si>
  <si>
    <t>MAT000024</t>
  </si>
  <si>
    <t>ABRAZADERA METALICA C/ 2 OREJAS P/ TUBO DE 4"</t>
  </si>
  <si>
    <t>MAT000025</t>
  </si>
  <si>
    <t>ABRAZADERA P/RIEL UNISTRUIT C/FORRO DE PVC DE 3/4"</t>
  </si>
  <si>
    <t>PROCOAT</t>
  </si>
  <si>
    <t>MAT000026</t>
  </si>
  <si>
    <t>ABRAZADERA P/RIEL UNISTRUT C/FORRO DE PVC DE 1 1/2"</t>
  </si>
  <si>
    <t>MAT000027</t>
  </si>
  <si>
    <t>ABRAZADERA P/RIEL UNISTRUT C/FORRO DE PVC DE 1"</t>
  </si>
  <si>
    <t>MAT000028</t>
  </si>
  <si>
    <t>ABRAZADERA P/RIEL UNISTRUT C/FORRO DE PVC DE 1/2"</t>
  </si>
  <si>
    <t>MAT000029</t>
  </si>
  <si>
    <t>ABRAZADERA P/RIEL UNISTRUT C/FORRO DE PVC DE 2"</t>
  </si>
  <si>
    <t>MAT000030</t>
  </si>
  <si>
    <t>ABRAZADERA P/RIEL UNISTRUT DE 1 1/2"</t>
  </si>
  <si>
    <t>MAT000031</t>
  </si>
  <si>
    <t>ABRAZADERA P/RIEL UNISTRUT DE 1"</t>
  </si>
  <si>
    <t>MAT000032</t>
  </si>
  <si>
    <t>ABRAZADERA P/RIEL UNISTRUT DE 1/2"</t>
  </si>
  <si>
    <t>MAT000033</t>
  </si>
  <si>
    <t>ABRAZADERA P/RIEL UNISTRUT DE 2 1/2"</t>
  </si>
  <si>
    <t>MAT000034</t>
  </si>
  <si>
    <t>ABRAZADERA P/RIEL UNISTRUT DE 2"</t>
  </si>
  <si>
    <t>MAT000035</t>
  </si>
  <si>
    <t>ABRAZADERA P/RIEL UNISTRUT DE 3"</t>
  </si>
  <si>
    <t>MAT000036</t>
  </si>
  <si>
    <t>ABRAZADERA P/RIEL UNISTRUT DE 3/4"</t>
  </si>
  <si>
    <t>MAT000037</t>
  </si>
  <si>
    <t>ABRAZADERA P/RIEL UNISTRUT DE 4"</t>
  </si>
  <si>
    <t>MAT000038</t>
  </si>
  <si>
    <t>ABRAZADERA P/RIEL UNISTRUT DE 6"</t>
  </si>
  <si>
    <t>MAT000039</t>
  </si>
  <si>
    <t>ACEITE DE MOTOR SAE 20W-50 X 1/4 GAL 946 ML</t>
  </si>
  <si>
    <t>LUBRICANTE</t>
  </si>
  <si>
    <t>MAT000040</t>
  </si>
  <si>
    <t>ACEITE DE USO MULTIPLE MODELO: 3EN1 DE 90 ML</t>
  </si>
  <si>
    <t>3-EN-UNO</t>
  </si>
  <si>
    <t>MAT000041</t>
  </si>
  <si>
    <t>ACEITE MULTIGRADO 20W-50</t>
  </si>
  <si>
    <t>GAL</t>
  </si>
  <si>
    <t>MAT000042</t>
  </si>
  <si>
    <t>ACELERADOR DE FRAGUADO SIKA 3 X 4 L</t>
  </si>
  <si>
    <t>CEMENTO Y ADITIVO</t>
  </si>
  <si>
    <t>ADITIVO PARA CEMENTO/ENCONFRADO</t>
  </si>
  <si>
    <t>MAT000043</t>
  </si>
  <si>
    <t>ACELERANTE DE FRAGUA PARA CONCRETO ARMADO CHEMA 3 X 20 LTS</t>
  </si>
  <si>
    <t>CHEMA</t>
  </si>
  <si>
    <t>MAT000044</t>
  </si>
  <si>
    <t>ACERO CORRUGADO G60 FY=4200 KG/CM2 1/2" X 9 M</t>
  </si>
  <si>
    <t>MATERIAL DE CONSTRUCCION</t>
  </si>
  <si>
    <t>VARILLA</t>
  </si>
  <si>
    <t>ACEROS AREQUIPA</t>
  </si>
  <si>
    <t>MAT000045</t>
  </si>
  <si>
    <t>ACERO CORRUGADO G60 FY=4200 KG/CM2 1/4" X 9 M</t>
  </si>
  <si>
    <t>MAT000046</t>
  </si>
  <si>
    <t>ACERO CORRUGADO G60 FY=4200 KG/CM2 3/4" X 9 M</t>
  </si>
  <si>
    <t>MAT000047</t>
  </si>
  <si>
    <t>ACERO CORRUGADO G60 FY=4200 KG/CM2 3/8" X 9 M</t>
  </si>
  <si>
    <t>MAT000048</t>
  </si>
  <si>
    <t>ACERO CORRUGADO G60 FY=4200 KG/CM2 5/8" X 9 M</t>
  </si>
  <si>
    <t>MAT000049</t>
  </si>
  <si>
    <t>ACETILENO INDUSTRIAL DE 9 KG</t>
  </si>
  <si>
    <t>BLN</t>
  </si>
  <si>
    <t>COMBUSTIBLE</t>
  </si>
  <si>
    <t>GAS</t>
  </si>
  <si>
    <t>MAT000050</t>
  </si>
  <si>
    <t>ACOPLE FLEXIBLE DE 1" ESTILO 77</t>
  </si>
  <si>
    <t>TUBERIA VICTAULIC</t>
  </si>
  <si>
    <t>ACCESORIOS P/ TUBERIA VICTAULIC</t>
  </si>
  <si>
    <t>MAT000051</t>
  </si>
  <si>
    <t>ACOPLE FLEXIBLE DE 2" ESTILO 77</t>
  </si>
  <si>
    <t>MAT000052</t>
  </si>
  <si>
    <t>ACOPLE FLEXIBLE DE 3" ESTILO 77</t>
  </si>
  <si>
    <t>MAT000053</t>
  </si>
  <si>
    <t>ACOPLE FLEXIBLE DE 4" ESTILO 77</t>
  </si>
  <si>
    <t>MAT000054</t>
  </si>
  <si>
    <t>ACOPLE FLEXIBLE DE 8" ESTILO 77</t>
  </si>
  <si>
    <t>MAT000055</t>
  </si>
  <si>
    <t>ACOPLE TIPO GARRA ROSCADO EXTERIOR DE 1"</t>
  </si>
  <si>
    <t>MAT000056</t>
  </si>
  <si>
    <t>ACOPLE TIPO GARRA ROSCADO EXTERIOR DE 1/2"</t>
  </si>
  <si>
    <t>MAT000057</t>
  </si>
  <si>
    <t>ACOPLE TIPO GARRA ROSCADO EXTERIOR DE 3/4"</t>
  </si>
  <si>
    <t>MAT000058</t>
  </si>
  <si>
    <t>ACOPLE TIPO GARRA ROSCADO INTERIOR DE 1"</t>
  </si>
  <si>
    <t>MAT000059</t>
  </si>
  <si>
    <t>ACOPLE TIPO GARRA ROSCADO INTERIOR DE 1/2"</t>
  </si>
  <si>
    <t>MAT000060</t>
  </si>
  <si>
    <t>ACOPLE TIPO GARRA ROSCADO INTERIOR DE 3/4"</t>
  </si>
  <si>
    <t>MAT000061</t>
  </si>
  <si>
    <t>ADAPTADOR MAGNETICO (COPA) PARA AUTOPERFORANTE DE 1/2"</t>
  </si>
  <si>
    <t>ACCESORIO PARA EQUIPO ELECTRICO</t>
  </si>
  <si>
    <t>PUNTA PARA ATORNILLAR</t>
  </si>
  <si>
    <t>MAT000062</t>
  </si>
  <si>
    <t>ADAPTADOR MAGNETICO (COPA) PARA AUTOPERFORANTE DE 1/4"</t>
  </si>
  <si>
    <t>MAT000063</t>
  </si>
  <si>
    <t>ADAPTADOR MAGNETICO (COPA) PARA AUTOPERFORANTE DE 3/16"</t>
  </si>
  <si>
    <t>MAT000064</t>
  </si>
  <si>
    <t>ADAPTADOR MAGNETICO (COPA) PARA AUTOPERFORANTE DE 3/8"</t>
  </si>
  <si>
    <t>MAT000065</t>
  </si>
  <si>
    <t>ADAPTADOR MAGNETICO (COPA) PARA AUTOPERFORANTE DE 5/16"</t>
  </si>
  <si>
    <t>MAT000066</t>
  </si>
  <si>
    <t xml:space="preserve">ADAPTADOR MULTIPLE "Y" DE 32 AMP 3P+T 415V ROJO 6H IP44 </t>
  </si>
  <si>
    <t>TOMACORRIENTE/INTERRUPTOR</t>
  </si>
  <si>
    <t>MENNEKES</t>
  </si>
  <si>
    <t>MAT000067</t>
  </si>
  <si>
    <t>ADHESIVO SIKA GROUT 110 X 30 KG</t>
  </si>
  <si>
    <t>MAT000068</t>
  </si>
  <si>
    <t>ADHESIVO SIKA GROUT 212 X 30 KG</t>
  </si>
  <si>
    <t>BOL</t>
  </si>
  <si>
    <t>MAT000069</t>
  </si>
  <si>
    <t>ADHESIVO SIKADUR 32 GEL (A+B) X 5 KG</t>
  </si>
  <si>
    <t>MAT000070</t>
  </si>
  <si>
    <t>AFLOJATODO WD-40 X 400 ML</t>
  </si>
  <si>
    <t>WD</t>
  </si>
  <si>
    <t>MAT000071</t>
  </si>
  <si>
    <t>AGUA MINERAL X 20 LTS</t>
  </si>
  <si>
    <t>CAJ</t>
  </si>
  <si>
    <t>ARTICULO DE OFICINA</t>
  </si>
  <si>
    <t>UTILES DE OFICINA</t>
  </si>
  <si>
    <t>MAT000072</t>
  </si>
  <si>
    <t>AGUA MINERAL X 500 ML</t>
  </si>
  <si>
    <t>MAT000073</t>
  </si>
  <si>
    <t>ALAMBRE DE ACERO GALVANIZADO N° 12</t>
  </si>
  <si>
    <t>KG</t>
  </si>
  <si>
    <t>ALAMBRE</t>
  </si>
  <si>
    <t>MAT000074</t>
  </si>
  <si>
    <t>ALAMBRE DE ACERO GALVANIZADO N° 16</t>
  </si>
  <si>
    <t>MAT000075</t>
  </si>
  <si>
    <t>ALAMBRE DE ACERO GALVANIZADO N° 8</t>
  </si>
  <si>
    <t>MAT000076</t>
  </si>
  <si>
    <t>ALAMBRE DE F°N° RECOCIDO N° 08</t>
  </si>
  <si>
    <t>MAT000077</t>
  </si>
  <si>
    <t>ALAMBRE DE F°N° RECOCIDO N° 16</t>
  </si>
  <si>
    <t>MAT000078</t>
  </si>
  <si>
    <t>ALAMBRE DE PUAS X 150MT</t>
  </si>
  <si>
    <t>ROL</t>
  </si>
  <si>
    <t>MAT000079</t>
  </si>
  <si>
    <t>ALAMBRE TUBULAR EXATUB 71 DE 1/16"/1.6MM X 15 KG</t>
  </si>
  <si>
    <t>SOLDADURA</t>
  </si>
  <si>
    <t>SOLDADURA PARA ACERO</t>
  </si>
  <si>
    <t>MAT000080</t>
  </si>
  <si>
    <t>ALCOHOL ISOPROPILICO X GALON</t>
  </si>
  <si>
    <t>MAT000081</t>
  </si>
  <si>
    <t>ALCOHOL MEDICINAL (MÍNIMO 70°) X GALÓN</t>
  </si>
  <si>
    <t>MEDICINA</t>
  </si>
  <si>
    <t>ACCESORIO PARA BOTIQUIN</t>
  </si>
  <si>
    <t>MAT000082</t>
  </si>
  <si>
    <t>ALCOHOL MEDICINAL (MÍNIMO 70°) X LITRO</t>
  </si>
  <si>
    <t>MAT000083</t>
  </si>
  <si>
    <t>AMBIENTADOR EN SPRAY SAPOLIO X 360 ML</t>
  </si>
  <si>
    <t>MAT000084</t>
  </si>
  <si>
    <t>AMONIO CUATERNARIO QUINTA GENERACIÓN DMQ X GAL</t>
  </si>
  <si>
    <t>DESINFECTANTE</t>
  </si>
  <si>
    <t>MAT000085</t>
  </si>
  <si>
    <t>ANCLAJE ADHESIVO EPOXICO RE 500 V3</t>
  </si>
  <si>
    <t>OTRO CEMENTO</t>
  </si>
  <si>
    <t>MAT000086</t>
  </si>
  <si>
    <t>ANCLAJE QUIMICO RE-500</t>
  </si>
  <si>
    <t>MAT000087</t>
  </si>
  <si>
    <t>ANGULO DE F°N° 1/4" x 1 1/2" x 6 M</t>
  </si>
  <si>
    <t>PERFIL Y PLANCHA METALICA</t>
  </si>
  <si>
    <t>ANGULO</t>
  </si>
  <si>
    <t>MAT000088</t>
  </si>
  <si>
    <t>ANGULO DE F°N° 1/4" x 1" x 6 M</t>
  </si>
  <si>
    <t>MAT000089</t>
  </si>
  <si>
    <t>ANGULO DE F°N° 1/4" x 2" x 6 M</t>
  </si>
  <si>
    <t>MAT000090</t>
  </si>
  <si>
    <t>ANGULO DE F°N° 1/4" x 3" x 6 M</t>
  </si>
  <si>
    <t>MAT000091</t>
  </si>
  <si>
    <t>ANGULO DE F°N° 1/4" x 4" x 6 M</t>
  </si>
  <si>
    <t>MAT000092</t>
  </si>
  <si>
    <t>ANGULO DE F°N° 1/8" x 1 1/2" x 6 M</t>
  </si>
  <si>
    <t>MAT000093</t>
  </si>
  <si>
    <t>ANGULO DE F°N° 1/8" x 1" x 6 M</t>
  </si>
  <si>
    <t>MAT000094</t>
  </si>
  <si>
    <t>ANGULO DE F°N° 1/8" x 2" x 6 M</t>
  </si>
  <si>
    <t>MAT000095</t>
  </si>
  <si>
    <t>ANGULO DE F°N° 1/8" x 3" x 6 M</t>
  </si>
  <si>
    <t>MAT000096</t>
  </si>
  <si>
    <t>ANGULO DE F°N° 1/8" x 3/4" x 6 M</t>
  </si>
  <si>
    <t>MAT000097</t>
  </si>
  <si>
    <t>ANGULO DE F°N° 1/8" x 4" x 6 M</t>
  </si>
  <si>
    <t>MAT000098</t>
  </si>
  <si>
    <t>ANGULO DE F°N° 3/16" x 1 1/2" x 6 M</t>
  </si>
  <si>
    <t>MAT000099</t>
  </si>
  <si>
    <t>ANGULO DE F°N° 3/16" x 1" x 6 M</t>
  </si>
  <si>
    <t>MAT000100</t>
  </si>
  <si>
    <t>ANGULO DE F°N° 3/16" x 2" x 6 M</t>
  </si>
  <si>
    <t>MAT000101</t>
  </si>
  <si>
    <t>ANGULO DE F°N° 3/16" x 3" x 6 M</t>
  </si>
  <si>
    <t>MAT000102</t>
  </si>
  <si>
    <t>ANGULO DE F°N° 3/8" x 1" x 6 M</t>
  </si>
  <si>
    <t>MAT000103</t>
  </si>
  <si>
    <t>ANGULO DE F°N° 3/8" x 2" x 6 M</t>
  </si>
  <si>
    <t>MAT000104</t>
  </si>
  <si>
    <t>ANGULO DE F°N° 3/8" x 3" x 6 M</t>
  </si>
  <si>
    <t>MAT000105</t>
  </si>
  <si>
    <t>ANGULO DE F°N° 3/8" x 4" x 6 M</t>
  </si>
  <si>
    <t>MAT000106</t>
  </si>
  <si>
    <t>ANGULO ESQUINERO DE 300MM X 300 MM X 3 M P/ DRYWALL</t>
  </si>
  <si>
    <t>PANEL EN ALUZINC/PREFABRICADO Y ACCESORIO</t>
  </si>
  <si>
    <t>MAT000107</t>
  </si>
  <si>
    <t>ANTI LATIGAZO P/ MANGUERA DE 3/4"</t>
  </si>
  <si>
    <t>MAT000108</t>
  </si>
  <si>
    <t>APÓSITO CON GEL PARA QUEMADURAS</t>
  </si>
  <si>
    <t>MAT000109</t>
  </si>
  <si>
    <t>APOSITO O PARCHE OCULAR ADHESIVO</t>
  </si>
  <si>
    <t>MAT000110</t>
  </si>
  <si>
    <t>APOSITOS DE GASA Y ALGODON 10X10CM</t>
  </si>
  <si>
    <t>MAT000111</t>
  </si>
  <si>
    <t>APOSITOS DE GASA Y ALGODON 10X20CM</t>
  </si>
  <si>
    <t>MAT000112</t>
  </si>
  <si>
    <t>ARANDELA DE PRESION DE F°G° DE 1"</t>
  </si>
  <si>
    <t>PERNERIA</t>
  </si>
  <si>
    <t>ARANDELA</t>
  </si>
  <si>
    <t>MAT000113</t>
  </si>
  <si>
    <t>ARANDELA DE PRESION DE F°G° DE 1/2"</t>
  </si>
  <si>
    <t>MAT000114</t>
  </si>
  <si>
    <t>ARANDELA DE PRESION DE F°G° DE 1/4"</t>
  </si>
  <si>
    <t>MAT000115</t>
  </si>
  <si>
    <t>ARANDELA DE PRESION DE F°G° DE 1/8"</t>
  </si>
  <si>
    <t>MAT000116</t>
  </si>
  <si>
    <t>ARANDELA DE PRESION DE F°G° DE 3/4"</t>
  </si>
  <si>
    <t>MAT000117</t>
  </si>
  <si>
    <t>ARANDELA DE PRESION DE F°G° DE 3/8"</t>
  </si>
  <si>
    <t>MAT000118</t>
  </si>
  <si>
    <t>ARANDELA DE PRESION DE F°G° DE 5/8"</t>
  </si>
  <si>
    <t>MAT000119</t>
  </si>
  <si>
    <t>ARANDELA DE PRESION DE F°G° DE 7/8"</t>
  </si>
  <si>
    <t>MAT000120</t>
  </si>
  <si>
    <t>ARANDELA DE PRESION DE F°N° DE 1"</t>
  </si>
  <si>
    <t>MAT000121</t>
  </si>
  <si>
    <t>ARANDELA DE PRESION DE F°N° DE 1/2"</t>
  </si>
  <si>
    <t>MAT000122</t>
  </si>
  <si>
    <t>ARANDELA DE PRESION DE F°N° DE 1/4"</t>
  </si>
  <si>
    <t>MAT000123</t>
  </si>
  <si>
    <t>ARANDELA DE PRESION DE F°N° DE 1/8"</t>
  </si>
  <si>
    <t>MAT000124</t>
  </si>
  <si>
    <t>ARANDELA DE PRESION DE F°N° DE 3/4"</t>
  </si>
  <si>
    <t>MAT000125</t>
  </si>
  <si>
    <t>ARANDELA DE PRESION DE F°N° DE 3/8"</t>
  </si>
  <si>
    <t>MAT000126</t>
  </si>
  <si>
    <t>ARANDELA DE PRESION DE F°N° DE 5/8"</t>
  </si>
  <si>
    <t>MAT000127</t>
  </si>
  <si>
    <t>ARANDELA DE PRESION DE F°N° DE 7/8"</t>
  </si>
  <si>
    <t>MAT000128</t>
  </si>
  <si>
    <t>ARANDELA DE PRESION INOX DE 1"</t>
  </si>
  <si>
    <t>MAT000129</t>
  </si>
  <si>
    <t>ARANDELA DE PRESION INOX DE 1/2"</t>
  </si>
  <si>
    <t>MAT000130</t>
  </si>
  <si>
    <t>ARANDELA DE PRESION INOX DE 1/4"</t>
  </si>
  <si>
    <t>MAT000131</t>
  </si>
  <si>
    <t>ARANDELA DE PRESION INOX DE 1/8"</t>
  </si>
  <si>
    <t>MAT000132</t>
  </si>
  <si>
    <t>ARANDELA DE PRESION INOX DE 3/4"</t>
  </si>
  <si>
    <t>MAT000133</t>
  </si>
  <si>
    <t>ARANDELA DE PRESION INOX DE 3/8"</t>
  </si>
  <si>
    <t>MAT000134</t>
  </si>
  <si>
    <t>ARANDELA DE PRESION INOX DE 5/8"</t>
  </si>
  <si>
    <t>MAT000135</t>
  </si>
  <si>
    <t>ARANDELA DE PRESION INOX DE 7/8"</t>
  </si>
  <si>
    <t>MAT000136</t>
  </si>
  <si>
    <t>ARANDELA DE PRESION ZINCADO DE 1"</t>
  </si>
  <si>
    <t>MAT000137</t>
  </si>
  <si>
    <t>ARANDELA DE PRESION ZINCADO DE 1/2"</t>
  </si>
  <si>
    <t>MAT000138</t>
  </si>
  <si>
    <t>ARANDELA DE PRESION ZINCADO DE 1/4"</t>
  </si>
  <si>
    <t>MAT000139</t>
  </si>
  <si>
    <t>ARANDELA DE PRESION ZINCADO DE 1/8"</t>
  </si>
  <si>
    <t>MAT000140</t>
  </si>
  <si>
    <t>ARANDELA DE PRESION ZINCADO DE 3/4"</t>
  </si>
  <si>
    <t>MAT000141</t>
  </si>
  <si>
    <t>ARANDELA DE PRESION ZINCADO DE 3/8"</t>
  </si>
  <si>
    <t>MAT000142</t>
  </si>
  <si>
    <t>ARANDELA DE PRESION ZINCADO DE 5/8"</t>
  </si>
  <si>
    <t>MAT000143</t>
  </si>
  <si>
    <t>ARANDELA DE PRESION ZINCADO DE 7/8"</t>
  </si>
  <si>
    <t>MAT000144</t>
  </si>
  <si>
    <t>ARANDELA PLANA REDONDA DE F°G° DE 1"</t>
  </si>
  <si>
    <t>MAT000145</t>
  </si>
  <si>
    <t>ARANDELA PLANA REDONDA DE F°G° DE 1/2"</t>
  </si>
  <si>
    <t>MAT000146</t>
  </si>
  <si>
    <t>ARANDELA PLANA REDONDA DE F°G° DE 1/4"</t>
  </si>
  <si>
    <t>MAT000147</t>
  </si>
  <si>
    <t>ARANDELA PLANA REDONDA DE F°G° DE 1/8"</t>
  </si>
  <si>
    <t>MAT000148</t>
  </si>
  <si>
    <t>ARANDELA PLANA REDONDA DE F°G° DE 3/4"</t>
  </si>
  <si>
    <t>MAT000149</t>
  </si>
  <si>
    <t>ARANDELA PLANA REDONDA DE F°G° DE 3/8"</t>
  </si>
  <si>
    <t>MAT000150</t>
  </si>
  <si>
    <t>ARANDELA PLANA REDONDA DE F°G° DE 5/8"</t>
  </si>
  <si>
    <t>MAT000151</t>
  </si>
  <si>
    <t>ARANDELA PLANA REDONDA DE F°G° DE 7/8"</t>
  </si>
  <si>
    <t>MAT000152</t>
  </si>
  <si>
    <t>ARANDELA PLANA REDONDA DE F°N° DE 1"</t>
  </si>
  <si>
    <t>MAT000153</t>
  </si>
  <si>
    <t>ARANDELA PLANA REDONDA DE F°N° DE 1/2"</t>
  </si>
  <si>
    <t>MAT000154</t>
  </si>
  <si>
    <t>ARANDELA PLANA REDONDA DE F°N° DE 1/4"</t>
  </si>
  <si>
    <t>MAT000155</t>
  </si>
  <si>
    <t>ARANDELA PLANA REDONDA DE F°N° DE 1/8"</t>
  </si>
  <si>
    <t>MAT000156</t>
  </si>
  <si>
    <t>ARANDELA PLANA REDONDA DE F°N° DE 3/4"</t>
  </si>
  <si>
    <t>MAT000157</t>
  </si>
  <si>
    <t>ARANDELA PLANA REDONDA DE F°N° DE 3/8"</t>
  </si>
  <si>
    <t>MAT000158</t>
  </si>
  <si>
    <t>ARANDELA PLANA REDONDA DE F°N° DE 5/8"</t>
  </si>
  <si>
    <t>MAT000159</t>
  </si>
  <si>
    <t>ARANDELA PLANA REDONDA DE F°N° DE 7/8"</t>
  </si>
  <si>
    <t>MAT000160</t>
  </si>
  <si>
    <t>ARANDELA PLANA REDONDA INOX DE 1"</t>
  </si>
  <si>
    <t>MAT000161</t>
  </si>
  <si>
    <t>ARANDELA PLANA REDONDA INOX DE 1/2"</t>
  </si>
  <si>
    <t>MAT000162</t>
  </si>
  <si>
    <t>ARANDELA PLANA REDONDA INOX DE 1/4"</t>
  </si>
  <si>
    <t>MAT000163</t>
  </si>
  <si>
    <t>ARANDELA PLANA REDONDA INOX DE 1/8"</t>
  </si>
  <si>
    <t>MAT000164</t>
  </si>
  <si>
    <t>ARANDELA PLANA REDONDA INOX DE 3/4"</t>
  </si>
  <si>
    <t>MAT000165</t>
  </si>
  <si>
    <t>ARANDELA PLANA REDONDA INOX DE 3/8"</t>
  </si>
  <si>
    <t>MAT000166</t>
  </si>
  <si>
    <t>ARANDELA PLANA REDONDA INOX DE 5/8"</t>
  </si>
  <si>
    <t>MAT000167</t>
  </si>
  <si>
    <t>ARANDELA PLANA REDONDA INOX DE 7/8"</t>
  </si>
  <si>
    <t>MAT000168</t>
  </si>
  <si>
    <t>ARANDELA PLANA REDONDA ZINCADO DE 1"</t>
  </si>
  <si>
    <t>MAT000169</t>
  </si>
  <si>
    <t>ARANDELA PLANA REDONDA ZINCADO DE 1/2"</t>
  </si>
  <si>
    <t>MAT000170</t>
  </si>
  <si>
    <t>ARANDELA PLANA REDONDA ZINCADO DE 1/4"</t>
  </si>
  <si>
    <t>MAT000171</t>
  </si>
  <si>
    <t>ARANDELA PLANA REDONDA ZINCADO DE 1/8"</t>
  </si>
  <si>
    <t>MAT000172</t>
  </si>
  <si>
    <t>ARANDELA PLANA REDONDA ZINCADO DE 3/4"</t>
  </si>
  <si>
    <t>MAT000173</t>
  </si>
  <si>
    <t>ARANDELA PLANA REDONDA ZINCADO DE 3/8"</t>
  </si>
  <si>
    <t>MAT000174</t>
  </si>
  <si>
    <t>ARANDELA PLANA REDONDA ZINCADO DE 5/8"</t>
  </si>
  <si>
    <t>MAT000175</t>
  </si>
  <si>
    <t>ARANDELA PLANA REDONDA ZINCADO DE 7/8"</t>
  </si>
  <si>
    <t>MAT000176</t>
  </si>
  <si>
    <t>ARCHIVADOR TAMAÑO 1/2 OFICIO LOMO ANCHO</t>
  </si>
  <si>
    <t>MAT000177</t>
  </si>
  <si>
    <t>ARCHIVADOR TAMAÑO OFICIO LOMO ANCHO</t>
  </si>
  <si>
    <t>MAT000178</t>
  </si>
  <si>
    <t>ARENA FINA</t>
  </si>
  <si>
    <t>M3</t>
  </si>
  <si>
    <t>AGREGADO PARA CONSTRUCCION</t>
  </si>
  <si>
    <t>MAT000179</t>
  </si>
  <si>
    <t>ARENA GRUESA PARA CONSTRUCCION</t>
  </si>
  <si>
    <t>MAT000180</t>
  </si>
  <si>
    <t>ARGON DE 10 M3</t>
  </si>
  <si>
    <t>MAT000181</t>
  </si>
  <si>
    <t>ASERRIN FINO</t>
  </si>
  <si>
    <t>MADERA</t>
  </si>
  <si>
    <t>MADERA TERCIADA (TRIPLAY)</t>
  </si>
  <si>
    <t>MAT000182</t>
  </si>
  <si>
    <t>BACKING RING DUCTIL DE 8"</t>
  </si>
  <si>
    <t>HDPE</t>
  </si>
  <si>
    <t>ACCESORIO P/ HDPE</t>
  </si>
  <si>
    <t>MAT000183</t>
  </si>
  <si>
    <t>BALDE DE PLASTICO DE 1 GLN</t>
  </si>
  <si>
    <t>MAT000184</t>
  </si>
  <si>
    <t>BALDE DE PLASTICO DE 20 LTS</t>
  </si>
  <si>
    <t>MAT000185</t>
  </si>
  <si>
    <t>BALDE PARA TRAPEAR</t>
  </si>
  <si>
    <t>MAT000186</t>
  </si>
  <si>
    <t>BANDEJA DE GEOMEMBRANA PARA DERRAME DE 1 M X 1 M</t>
  </si>
  <si>
    <t>OTRO MATERIAL DE SEGURIDAD</t>
  </si>
  <si>
    <t>MAT000187</t>
  </si>
  <si>
    <t>BANDEJA DE PLASTICO P/ RODILLO DE 9"</t>
  </si>
  <si>
    <t>MATERIAL PARA PINTURA</t>
  </si>
  <si>
    <t>BROCHA/RODILLO Y ACCESORIO</t>
  </si>
  <si>
    <t>MAT000188</t>
  </si>
  <si>
    <t>BANDEJA PORTAPAPELES 2 CUERPOS</t>
  </si>
  <si>
    <t>MAT000189</t>
  </si>
  <si>
    <t>BANDERITAS POST-IT COLORES TRADICIONALES (4 X 35) 11,9MMX43,1MM</t>
  </si>
  <si>
    <t>POST-IT</t>
  </si>
  <si>
    <t>MAT000190</t>
  </si>
  <si>
    <t>BANNER DE 100 CM X 150 CM</t>
  </si>
  <si>
    <t>SEÑAL DE SEGURIDAD</t>
  </si>
  <si>
    <t>MAT000191</t>
  </si>
  <si>
    <t>BARNIZ ACRILICO AISLANTE MODELO: N1 X 250 ML</t>
  </si>
  <si>
    <t>LIQUIDO PARA MANTENIMIENTO DE EQUIPO</t>
  </si>
  <si>
    <t>AISLARCO</t>
  </si>
  <si>
    <t>MAT000192</t>
  </si>
  <si>
    <t>BARNIZ TRANSPARENTE X 1 GLN</t>
  </si>
  <si>
    <t>PEGAMENTO, PINTURA Y BARNIZ</t>
  </si>
  <si>
    <t>PINTURA INDUSTRIAL</t>
  </si>
  <si>
    <t>MAT000193</t>
  </si>
  <si>
    <t>BARRA LUMINOSA DE SEÑALIZACION COLOR: NARANJA</t>
  </si>
  <si>
    <t>MAT000194</t>
  </si>
  <si>
    <t>BARRA LUMINOSA DE SEÑALIZACION COLOR: ROJO</t>
  </si>
  <si>
    <t>MAT000195</t>
  </si>
  <si>
    <t>BARRA LUMINOSA DE SEÑALIZACION COLOR: VERDE</t>
  </si>
  <si>
    <t>MAT000196</t>
  </si>
  <si>
    <t>BARRA REDONDA LISA 1" X 6M, A-36</t>
  </si>
  <si>
    <t>MAT000197</t>
  </si>
  <si>
    <t>BARRA REDONDA LISA 1/2" X 6M, A-36</t>
  </si>
  <si>
    <t>MAT000198</t>
  </si>
  <si>
    <t>BARRA REDONDA LISA 1/4" X 6M, A-36</t>
  </si>
  <si>
    <t>MAT000199</t>
  </si>
  <si>
    <t>BARRA REDONDA LISA 3/4" X 6M, A-36</t>
  </si>
  <si>
    <t>MAT000200</t>
  </si>
  <si>
    <t>BARRA REDONDA LISA 3/8" X 6M, A-36</t>
  </si>
  <si>
    <t>MAT000201</t>
  </si>
  <si>
    <t>BARRA REDONDA LISA 5/8" X 6M, A-36</t>
  </si>
  <si>
    <t>MAT000202</t>
  </si>
  <si>
    <t>BARRA RETRÁCTIL DE SEÑALIZACIÓN COLOR NEGRO/AMARILLO 1.3 M - 2.2 M</t>
  </si>
  <si>
    <t>MAT000203</t>
  </si>
  <si>
    <t>BARRERA PLASTICA NEW JERSEY DE 1000X400X700CM COLOR: BLANCO</t>
  </si>
  <si>
    <t>MAT000204</t>
  </si>
  <si>
    <t>BARRERA PLASTICA NEW JERSEY DE 1000X400X700CM COLOR: ROJO</t>
  </si>
  <si>
    <t>MAT000205</t>
  </si>
  <si>
    <t>BARRERA RESPIRATORIA P/ EVITAR CONTACTO ENTRE PERSONAS (VICTIMA Y RESCATISTA)</t>
  </si>
  <si>
    <t>MAT000206</t>
  </si>
  <si>
    <t>BASE ADHESIVA PARA SUJETAR CABLE COLOR BLANCO 20MM x 20MM X 100 UND</t>
  </si>
  <si>
    <t>76.9/3.7</t>
  </si>
  <si>
    <t>CODIFICADORES PARA CABLE, MARCADOR (ROTULACION)</t>
  </si>
  <si>
    <t>MAT000207</t>
  </si>
  <si>
    <t>BEBIDA REHIDRATANTE X 500 ML (EMPAQUE PLÁSTICO) X 12 UND</t>
  </si>
  <si>
    <t>PAQ</t>
  </si>
  <si>
    <t>SPORADE</t>
  </si>
  <si>
    <t>MAT000208</t>
  </si>
  <si>
    <t>BENTONITA SODICA PARA POZO A TIERRA BLS X 30 KG</t>
  </si>
  <si>
    <t>MATERIAL PARA PUESTA A TIERRA</t>
  </si>
  <si>
    <t>MAT000209</t>
  </si>
  <si>
    <t>BISAGRA DE 2 ALAS DE 2"</t>
  </si>
  <si>
    <t>MATERIAL ACABADO, CERRAJERIA</t>
  </si>
  <si>
    <t>CERRAJERIA (BISAGRA,TOPE)</t>
  </si>
  <si>
    <t>MAT000210</t>
  </si>
  <si>
    <t>BISAGRA DE 2 ALAS DE 3"</t>
  </si>
  <si>
    <t>MAT000211</t>
  </si>
  <si>
    <t>BISAGRA DE 2 ALAS DE 4"</t>
  </si>
  <si>
    <t>MAT000212</t>
  </si>
  <si>
    <t>BLOQUEADOR (PROTECTOR) SOLAR FPS 50 UVB/UVA POTE DE 1 L</t>
  </si>
  <si>
    <t>MAT000213</t>
  </si>
  <si>
    <t>BLOQUEADOR (PROTECTOR) SOLAR FPS 50 UVB/UVA POTE DE 110 ML</t>
  </si>
  <si>
    <t>MAT000214</t>
  </si>
  <si>
    <t>BOLÍGRAFO 031 PUNTA FINA TRI/HEX - AZUL (LAPICERO)</t>
  </si>
  <si>
    <t>FABER CASTELL</t>
  </si>
  <si>
    <t>MAT000215</t>
  </si>
  <si>
    <t>BOLSA DE BASURA X 100 UND DE 140 L COLOR AMARILLO</t>
  </si>
  <si>
    <t>MAT000216</t>
  </si>
  <si>
    <t>BOLSA DE BASURA X 100 UND DE 140 L COLOR AZUL</t>
  </si>
  <si>
    <t>MAT000217</t>
  </si>
  <si>
    <t>BOLSA DE BASURA X 100 UND DE 140 L COLOR BLANCO</t>
  </si>
  <si>
    <t>MAT000218</t>
  </si>
  <si>
    <t>BOLSA DE BASURA X 100 UND DE 140 L COLOR MARRON</t>
  </si>
  <si>
    <t>MAT000219</t>
  </si>
  <si>
    <t>BOLSA DE BASURA X 100 UND DE 140 L COLOR NEGRO</t>
  </si>
  <si>
    <t>MAT000220</t>
  </si>
  <si>
    <t>BOLSA DE BASURA X 100 UND DE 140 L COLOR ROJO</t>
  </si>
  <si>
    <t>MAT000221</t>
  </si>
  <si>
    <t>BOLSA DE BASURA X 100 UND DE 140 L COLOR VERDE</t>
  </si>
  <si>
    <t>MAT000222</t>
  </si>
  <si>
    <t>BOLSA DE BASURA X 100 UND DE 50 LITROS COLOR AMARILLO</t>
  </si>
  <si>
    <t>MAT000223</t>
  </si>
  <si>
    <t>BOLSA DE BASURA X 100 UND DE 50 LITROS COLOR AZUL</t>
  </si>
  <si>
    <t>MAT000224</t>
  </si>
  <si>
    <t>BOLSA DE BASURA X 100 UND DE 50 LITROS COLOR BLANCO</t>
  </si>
  <si>
    <t>MAT000225</t>
  </si>
  <si>
    <t>BOLSA DE BASURA X 100 UND DE 50 LITROS COLOR NEGRO</t>
  </si>
  <si>
    <t>MAT000226</t>
  </si>
  <si>
    <t>BOLSA DE BASURA X 100 UND DE 50 LITROS COLOR ROJO</t>
  </si>
  <si>
    <t>MAT000227</t>
  </si>
  <si>
    <t>BOLSA DE BASURA X 100 UND DE 50 LITROS COLOR VERDE</t>
  </si>
  <si>
    <t>MAT000228</t>
  </si>
  <si>
    <t>BOLSA DE PLASTICO GRUESA TRANSPARENTE DE 20" x 30" x 8 MIC</t>
  </si>
  <si>
    <t>MAT000229</t>
  </si>
  <si>
    <t>BOQUILLA DE CERAMICA PARA SOLDAR TIG N° 4 X 10 UND</t>
  </si>
  <si>
    <t>MAT000230</t>
  </si>
  <si>
    <t>BOQUILLA DE CERAMICA PARA SOLDAR TIG N° 6 X 10 UND</t>
  </si>
  <si>
    <t>MAT000231</t>
  </si>
  <si>
    <t>BOQUILLA DE CERAMICA PARA SOLDAR TIG N° 8 X 10 UND</t>
  </si>
  <si>
    <t>MAT000232</t>
  </si>
  <si>
    <t>BOQUILLA DE GAS PROPANO MARCA: VICTOR N° 02</t>
  </si>
  <si>
    <t>MAT000233</t>
  </si>
  <si>
    <t>BOQUILLA DE GAS PROPANO MARCA: VICTOR N° 03</t>
  </si>
  <si>
    <t>MAT000234</t>
  </si>
  <si>
    <t>BOQUILLA PARA OXICORTE N° 1</t>
  </si>
  <si>
    <t>MAT000235</t>
  </si>
  <si>
    <t>BOQUILLA PARA OXICORTE N° 2</t>
  </si>
  <si>
    <t>MAT000236</t>
  </si>
  <si>
    <t>BOQUILLA PARA OXICORTE N° 3</t>
  </si>
  <si>
    <t>MAT000237</t>
  </si>
  <si>
    <t>BOQUILLA PARA OXICORTE N° 4</t>
  </si>
  <si>
    <t>MAT000238</t>
  </si>
  <si>
    <t>BOQUILLA PARA OXICORTE N° 5</t>
  </si>
  <si>
    <t>MAT000239</t>
  </si>
  <si>
    <t>BOQUILLA PARA OXICORTE N° 6</t>
  </si>
  <si>
    <t>MAT000240</t>
  </si>
  <si>
    <t>BOQUILLA PARA PRUEBA DE ALCOHOL EN ALIENTO X 100 UND</t>
  </si>
  <si>
    <t>MAT000241</t>
  </si>
  <si>
    <t>BORNE DE CONEXIÓN 10MM2 PARA 1 CONEXIÓN SIMPLE VIKING3</t>
  </si>
  <si>
    <t>LEGRAND</t>
  </si>
  <si>
    <t>MAT000242</t>
  </si>
  <si>
    <t>BORNE DE CONEXIÓN 16MM2 PARA 1 CONEXIÓN SIMPLE VIKING3</t>
  </si>
  <si>
    <t>MAT000243</t>
  </si>
  <si>
    <t>BORNE DE CONEXIÓN 2.5MM2 PARA 1 CONEXIÓN SIMPLE VIKING3</t>
  </si>
  <si>
    <t>MAT000244</t>
  </si>
  <si>
    <t>BORNE DE CONEXIÓN 2.5MM2 PARA 2 CONEXIÓN SIMPLES VIKING3</t>
  </si>
  <si>
    <t>MAT000245</t>
  </si>
  <si>
    <t>BORNE DE CONEXIÓN 35MM2 PARA 1 CONEXIÓN SIMPLE VIKING3</t>
  </si>
  <si>
    <t>MAT000246</t>
  </si>
  <si>
    <t>BORNE DE CONEXIÓN 4MM2 PARA 1 CONEXIÓN SIMPLE VIKING3</t>
  </si>
  <si>
    <t>MAT000247</t>
  </si>
  <si>
    <t>BORNE DE CONEXIÓN 6MM2 PARA 1 CONEXIÓN SIMPLE VIKING3</t>
  </si>
  <si>
    <t>MAT000248</t>
  </si>
  <si>
    <t>BORNE DE CONEXIÓN 70MM2 PARA 1 CONEXIÓN SIMPLE VIKING3</t>
  </si>
  <si>
    <t>MAT000249</t>
  </si>
  <si>
    <t>BORNE DE PASO, UT 16 101A, 1.5-25MM2(16-4 AWG), TORNILLO, A=12.2MM 3044199</t>
  </si>
  <si>
    <t>PHOENIX CONTACT</t>
  </si>
  <si>
    <t>MAT000250</t>
  </si>
  <si>
    <t>BORNE DE PASO, UT 2,5 32A, 0.14-4MM2(26-12 AWG), TORNILLO, A=5.2MM 3044076</t>
  </si>
  <si>
    <t>MAT000251</t>
  </si>
  <si>
    <t>BORNE DE TIERRA 10MM2 CON PIE METÁLICO VIKING3</t>
  </si>
  <si>
    <t>MAT000252</t>
  </si>
  <si>
    <t>BORNE DE TIERRA 16MM2 CON PIE METÁLICO VIKING3</t>
  </si>
  <si>
    <t>MAT000253</t>
  </si>
  <si>
    <t>BORNE DE TIERRA 2.5MM2 CON PIE METÁLICO VIKING3</t>
  </si>
  <si>
    <t>MAT000254</t>
  </si>
  <si>
    <t>BORNE DE TIERRA 35MM2 CON PIE METÁLICO VIKING3</t>
  </si>
  <si>
    <t>MAT000255</t>
  </si>
  <si>
    <t>BORNE DE TIERRA 4 MM PARA RIEL DIN COLOR AMARILLO-VERDE</t>
  </si>
  <si>
    <t>MAT000256</t>
  </si>
  <si>
    <t>BORNE DE TIERRA 6MM2 CON PIE METÁLICO VIKING3</t>
  </si>
  <si>
    <t>MAT000257</t>
  </si>
  <si>
    <t>BORNE DE TIERRA, UT 2,5 32A, 0.14-4MM2(26-12 AWG), TORNILLO, A=5.2MM 3044092</t>
  </si>
  <si>
    <t>MAT000258</t>
  </si>
  <si>
    <t>BORNE DE TIERRA, UT 4-PE 0.14-6MM2(26-10 AWG), TORNILLO, A=6.2MM 3044128</t>
  </si>
  <si>
    <t>MAT000259</t>
  </si>
  <si>
    <t>BORNE SECCIONABLE DE CUCHILLA 4MM2 VIKING3</t>
  </si>
  <si>
    <t>MAT000260</t>
  </si>
  <si>
    <t>BORNERA DE REGLETA 10MM2 12 BORNES NYLBLOC BLANCO</t>
  </si>
  <si>
    <t>MAT000261</t>
  </si>
  <si>
    <t>BORNERA DE REGLETA 2.5MM2 12 BORNES NYLBLOC BLANCO</t>
  </si>
  <si>
    <t>MAT000262</t>
  </si>
  <si>
    <t>BORNERA DE REGLETA 2.5MM2 12 BORNES NYLBLOC NEGRO</t>
  </si>
  <si>
    <t>MAT000263</t>
  </si>
  <si>
    <t>BORNERA DE REGLETA 6MM2 12 BORNES NYLBLOC NEGRO</t>
  </si>
  <si>
    <t>MAT000264</t>
  </si>
  <si>
    <t>BOTELLA DE TINTA COLOR: BLACK MODELO: T554</t>
  </si>
  <si>
    <t>REPUESTO PARA IMPRESORA</t>
  </si>
  <si>
    <t>MAT000265</t>
  </si>
  <si>
    <t>BOTELLA DE TINTA COLOR: BLACK MODELO: T664120</t>
  </si>
  <si>
    <t>MAT000266</t>
  </si>
  <si>
    <t>BOTELLA DE TINTA COLOR: CYAN MODELO: T554</t>
  </si>
  <si>
    <t>MAT000267</t>
  </si>
  <si>
    <t>BOTELLA DE TINTA COLOR: CYAN MODELO: T664220</t>
  </si>
  <si>
    <t>MAT000268</t>
  </si>
  <si>
    <t>BOTELLA DE TINTA COLOR: MAGENTA MODELO: T554</t>
  </si>
  <si>
    <t>MAT000269</t>
  </si>
  <si>
    <t>BOTELLA DE TINTA COLOR: MAGENTA MODELO: T664320</t>
  </si>
  <si>
    <t>MAT000270</t>
  </si>
  <si>
    <t>BOTELLA DE TINTA COLOR: YELLOW MODELO: T554</t>
  </si>
  <si>
    <t>MAT000271</t>
  </si>
  <si>
    <t>BOTELLA DE TINTA COLOR: YELLOW MODELO: T664420</t>
  </si>
  <si>
    <t>MAT000272</t>
  </si>
  <si>
    <t>BOTELLA DE TINTA T504 BLACK</t>
  </si>
  <si>
    <t>MAT000273</t>
  </si>
  <si>
    <t>BOTELLA DE TINTA T504 CYAN</t>
  </si>
  <si>
    <t>MAT000274</t>
  </si>
  <si>
    <t>BOTELLA DE TINTA T504 MAGENTA</t>
  </si>
  <si>
    <t>MAT000275</t>
  </si>
  <si>
    <t>BOTELLA DE TINTA T504 YELLOW</t>
  </si>
  <si>
    <t>MAT000276</t>
  </si>
  <si>
    <t>BOTIQUIN DE MADERA PRIMEROS AUXILIOS</t>
  </si>
  <si>
    <t>BOTIQUIN</t>
  </si>
  <si>
    <t>MAT000277</t>
  </si>
  <si>
    <t>BOTIQUIN DE PRIMEROS AUXILIOS DE TELA COLOR ROJO</t>
  </si>
  <si>
    <t>MAT000278</t>
  </si>
  <si>
    <t>BRIDA CIEGA DE 1" ACERO NEGRO SOLDABLE SCH-40</t>
  </si>
  <si>
    <t>ACCESORIO PARA TUBERIA ACERO NEGRO</t>
  </si>
  <si>
    <t>FR</t>
  </si>
  <si>
    <t>MAT000279</t>
  </si>
  <si>
    <t>BRIDA CIEGA DE 10" ACERO NEGRO SOLDABLE SCH-40</t>
  </si>
  <si>
    <t>MAT000280</t>
  </si>
  <si>
    <t>BRIDA CIEGA DE 2" ACERO NEGRO SOLDABLE SCH-40</t>
  </si>
  <si>
    <t>MAT000281</t>
  </si>
  <si>
    <t>BRIDA CIEGA DE 3" ACERO NEGRO SOLDABLE SCH-40</t>
  </si>
  <si>
    <t>MAT000282</t>
  </si>
  <si>
    <t>BRIDA CIEGA DE 4" ACERO NEGRO SOLDABLE SCH-40</t>
  </si>
  <si>
    <t>MAT000283</t>
  </si>
  <si>
    <t>BRIDA CIEGA DE 6" ACERO NEGRO SOLDABLE SCH-40</t>
  </si>
  <si>
    <t>MAT000284</t>
  </si>
  <si>
    <t>BRIDA CIEGA DE 8" ACERO NEGRO SOLDABLE SCH-40</t>
  </si>
  <si>
    <t>MAT000285</t>
  </si>
  <si>
    <t>BRIDA DE ACERO NEGRO SLIP ON 150 LBS DE 1"</t>
  </si>
  <si>
    <t>MAT000286</t>
  </si>
  <si>
    <t>BRIDA DE ACERO NEGRO SLIP ON 150 LBS DE 10"</t>
  </si>
  <si>
    <t>MAT000287</t>
  </si>
  <si>
    <t>BRIDA DE ACERO NEGRO SLIP ON 150 LBS DE 12"</t>
  </si>
  <si>
    <t>MAT000288</t>
  </si>
  <si>
    <t>BRIDA DE ACERO NEGRO SLIP ON 150 LBS DE 2"</t>
  </si>
  <si>
    <t>MAT000289</t>
  </si>
  <si>
    <t>BRIDA DE ACERO NEGRO SLIP ON 150 LBS DE 3"</t>
  </si>
  <si>
    <t>MAT000290</t>
  </si>
  <si>
    <t>BRIDA DE ACERO NEGRO SLIP ON 150 LBS DE 4"</t>
  </si>
  <si>
    <t>MAT000291</t>
  </si>
  <si>
    <t>BRIDA DE ACERO NEGRO SLIP ON 150 LBS DE 5"</t>
  </si>
  <si>
    <t>MAT000292</t>
  </si>
  <si>
    <t>BRIDA DE ACERO NEGRO SLIP ON 150 LBS DE 6"</t>
  </si>
  <si>
    <t>MAT000293</t>
  </si>
  <si>
    <t>BRIDA DE ACERO NEGRO SLIP ON 150 LBS DE 8"</t>
  </si>
  <si>
    <t>MAT000294</t>
  </si>
  <si>
    <t>BROCA CON PUNTA PERFORADORA PARA MADERA DE 1/2"</t>
  </si>
  <si>
    <t>BROCA</t>
  </si>
  <si>
    <t>MAT000295</t>
  </si>
  <si>
    <t>BROCA CON PUNTA PERFORADORA PARA MADERA DE 1/4"</t>
  </si>
  <si>
    <t>MAT000296</t>
  </si>
  <si>
    <t>BROCA CON PUNTA PERFORADORA PARA MADERA DE 3/8"</t>
  </si>
  <si>
    <t>MAT000297</t>
  </si>
  <si>
    <t>BROCA DE 1/2" X 10" ENCASTRE DE 1/2" SDS PLUS (CONCRETO)</t>
  </si>
  <si>
    <t>MAT000298</t>
  </si>
  <si>
    <t>BROCA DE 1/2" X 12" ENCASTRE DE 1/2" SDS PLUS (CONCRETO)</t>
  </si>
  <si>
    <t>MAT000299</t>
  </si>
  <si>
    <t>BROCA DE 1/2" X 15" ENCASTRE DE 1/2" SDS PLUS (CONCRETO)</t>
  </si>
  <si>
    <t>MAT000300</t>
  </si>
  <si>
    <t>BROCA DE 1/2" X 18" ENCASTRE DE 1/2" SDS PLUS (CONCRETO)</t>
  </si>
  <si>
    <t>MAT000301</t>
  </si>
  <si>
    <t>BROCA DE 1/2" X 6" ENCASTRE DE 1/2" SDS PLUS (CONCRETO)</t>
  </si>
  <si>
    <t>MAT000302</t>
  </si>
  <si>
    <t>BROCA DE 1/4" X 5" ENCASTRE DE 1/2" SDS PLUS (CONCRETO)</t>
  </si>
  <si>
    <t>MAT000303</t>
  </si>
  <si>
    <t>BROCA DE 1/4" X 6" ENCASTRE DE 1/2" SDS PLUS (CONCRETO)</t>
  </si>
  <si>
    <t>MAT000304</t>
  </si>
  <si>
    <t>BROCA DE 1/4" X 8" ENCASTRE DE 1/2" SDS PLUS (CONCRETO)</t>
  </si>
  <si>
    <t>MAT000305</t>
  </si>
  <si>
    <t>BROCA DE 3/4" X 10" ENCASTRE DE 1/2" SDS PLUS (CONCRETO)</t>
  </si>
  <si>
    <t>MAT000306</t>
  </si>
  <si>
    <t>BROCA DE 3/4" X 12" ENCASTRE DE 1/2" SDS PLUS (CONCRETO)</t>
  </si>
  <si>
    <t>MAT000307</t>
  </si>
  <si>
    <t>BROCA DE 3/4" X 18" ENCASTRE DE 1/2" SDS PLUS (CONCRETO)</t>
  </si>
  <si>
    <t>MAT000308</t>
  </si>
  <si>
    <t>BROCA DE 3/4" X 6" ENCASTRE DE 1/2" SDS PLUS (CONCRETO)</t>
  </si>
  <si>
    <t>MAT000309</t>
  </si>
  <si>
    <t>BROCA DE 3/4" X 8" ENCASTRE DE 1/2"SDS PLUS (CONCRETO)</t>
  </si>
  <si>
    <t>MAT000310</t>
  </si>
  <si>
    <t>BROCA DE 3/8" X 10" ENCASTRE DE 1/2" SDS PLUS (CONCRETO)</t>
  </si>
  <si>
    <t>MAT000311</t>
  </si>
  <si>
    <t>BROCA DE 3/8" X 12" ENCASTRE DE 1/2" SDS PLUS (CONCRETO)</t>
  </si>
  <si>
    <t>MAT000312</t>
  </si>
  <si>
    <t>BROCA DE 3/8" X 6" ENCASTRE DE 1/2" SDS PLUS (CONCRETO)</t>
  </si>
  <si>
    <t>MAT000313</t>
  </si>
  <si>
    <t>BROCA DE 5/8 "X 8" ENCASTRE DE 1/2" SDS PLUS (CONCRETO)</t>
  </si>
  <si>
    <t>MAT000314</t>
  </si>
  <si>
    <t>BROCA DE 5/8" X 12" ENCASTRE DE 1/2" SDS PLUS (CONCRETO)</t>
  </si>
  <si>
    <t>MAT000315</t>
  </si>
  <si>
    <t>BROCA HSS DE COBALTO PARA INOX DE 1/2"</t>
  </si>
  <si>
    <t>MAT000316</t>
  </si>
  <si>
    <t>BROCA HSS DE COBALTO PARA INOX DE 1/4"</t>
  </si>
  <si>
    <t>MAT000317</t>
  </si>
  <si>
    <t>BROCA HSS DE COBALTO PARA INOX DE 1/8"</t>
  </si>
  <si>
    <t>MAT000318</t>
  </si>
  <si>
    <t>BROCA HSS DE COBALTO PARA INOX DE 11/16"</t>
  </si>
  <si>
    <t>MAT000319</t>
  </si>
  <si>
    <t>BROCA HSS DE COBALTO PARA INOX DE 18 MM</t>
  </si>
  <si>
    <t>MAT000320</t>
  </si>
  <si>
    <t>BROCA HSS DE COBALTO PARA INOX DE 3/16"</t>
  </si>
  <si>
    <t>MAT000321</t>
  </si>
  <si>
    <t>BROCA HSS DE COBALTO PARA INOX DE 3/32"</t>
  </si>
  <si>
    <t>MAT000322</t>
  </si>
  <si>
    <t>BROCA HSS DE COBALTO PARA INOX DE 3/4"</t>
  </si>
  <si>
    <t>MAT000323</t>
  </si>
  <si>
    <t>BROCA HSS DE COBALTO PARA INOX DE 3/8"</t>
  </si>
  <si>
    <t>MAT000324</t>
  </si>
  <si>
    <t>BROCA HSS DE COBALTO PARA INOX DE 5/16"</t>
  </si>
  <si>
    <t>MAT000325</t>
  </si>
  <si>
    <t>BROCA HSS DE COBALTO PARA INOX DE 5/8"</t>
  </si>
  <si>
    <t>MAT000326</t>
  </si>
  <si>
    <t>BROCA HSS DE COBALTO PARA INOX DE 7/16"</t>
  </si>
  <si>
    <t>MAT000327</t>
  </si>
  <si>
    <t>BROCA HSS DE COBALTO PARA INOX DE 7/8"</t>
  </si>
  <si>
    <t>MAT000328</t>
  </si>
  <si>
    <t>BROCA HSS DE COBALTO PARA INOX DE 9/16"</t>
  </si>
  <si>
    <t>MAT000329</t>
  </si>
  <si>
    <t>BROCA HSS PARA ACERO DE 1"</t>
  </si>
  <si>
    <t>MAT000330</t>
  </si>
  <si>
    <t>BROCA HSS PARA ACERO DE 1/16"</t>
  </si>
  <si>
    <t>MAT000331</t>
  </si>
  <si>
    <t>BROCA HSS PARA ACERO DE 1/2"</t>
  </si>
  <si>
    <t>MAT000332</t>
  </si>
  <si>
    <t>BROCA HSS PARA ACERO DE 1/4"</t>
  </si>
  <si>
    <t>MAT000333</t>
  </si>
  <si>
    <t>BROCA HSS PARA ACERO DE 1/8"</t>
  </si>
  <si>
    <t>MAT000334</t>
  </si>
  <si>
    <t>BROCA HSS PARA ACERO DE 11/16"</t>
  </si>
  <si>
    <t>MAT000335</t>
  </si>
  <si>
    <t>BROCA HSS PARA ACERO DE 13/16"</t>
  </si>
  <si>
    <t>MAT000336</t>
  </si>
  <si>
    <t>BROCA HSS PARA ACERO DE 15/16"</t>
  </si>
  <si>
    <t>MAT000337</t>
  </si>
  <si>
    <t>BROCA HSS PARA ACERO DE 3/16"</t>
  </si>
  <si>
    <t>MAT000338</t>
  </si>
  <si>
    <t>BROCA HSS PARA ACERO DE 3/32"</t>
  </si>
  <si>
    <t>MAT000339</t>
  </si>
  <si>
    <t>BROCA HSS PARA ACERO DE 3/4"</t>
  </si>
  <si>
    <t>MAT000340</t>
  </si>
  <si>
    <t>BROCA HSS PARA ACERO DE 3/8"</t>
  </si>
  <si>
    <t>MAT000341</t>
  </si>
  <si>
    <t>BROCA HSS PARA ACERO DE 5/16"</t>
  </si>
  <si>
    <t>MAT000342</t>
  </si>
  <si>
    <t>BROCA HSS PARA ACERO DE 5/32"</t>
  </si>
  <si>
    <t>MAT000343</t>
  </si>
  <si>
    <t>BROCA HSS PARA ACERO DE 5/8"</t>
  </si>
  <si>
    <t>MAT000344</t>
  </si>
  <si>
    <t>BROCA HSS PARA ACERO DE 7/16"</t>
  </si>
  <si>
    <t>MAT000345</t>
  </si>
  <si>
    <t>BROCA HSS PARA ACERO DE 7/8"</t>
  </si>
  <si>
    <t>MAT000346</t>
  </si>
  <si>
    <t>BROCA HSS PARA ACERO DE 9/16"</t>
  </si>
  <si>
    <t>MAT000347</t>
  </si>
  <si>
    <t>BROCA MANGO CONICO HSS DE 7/8"</t>
  </si>
  <si>
    <t>MAT000348</t>
  </si>
  <si>
    <t>BROCHA ANTIESTATICA DE 2"</t>
  </si>
  <si>
    <t>MAT000349</t>
  </si>
  <si>
    <t>BROCHA DE 1 1/2" MANGO MADERA Y CERDA</t>
  </si>
  <si>
    <t>MAT000350</t>
  </si>
  <si>
    <t>BROCHA DE 1" MANGO MADERA Y CERDA</t>
  </si>
  <si>
    <t>MAT000351</t>
  </si>
  <si>
    <t>BROCHA DE 2" MANGO MADERA Y CERDA</t>
  </si>
  <si>
    <t>MAT000352</t>
  </si>
  <si>
    <t>BROCHA DE 3" MANGO MADERA Y CERDA</t>
  </si>
  <si>
    <t>MAT000353</t>
  </si>
  <si>
    <t>BROCHA DE 4" MANGO MADERA Y CERDA</t>
  </si>
  <si>
    <t>MAT000354</t>
  </si>
  <si>
    <t>BROCHA DE 5" MANGO MADERA Y CERDA</t>
  </si>
  <si>
    <t>MAT000355</t>
  </si>
  <si>
    <t>BROCHA DE 6" MANGO MADERA Y CERDA</t>
  </si>
  <si>
    <t>MAT000356</t>
  </si>
  <si>
    <t>BURLETE DE ESPUMA AUTOADHESIVO 20X10 MM X 5 M</t>
  </si>
  <si>
    <t>MAT000357</t>
  </si>
  <si>
    <t>CABLE A°G° DE 1"Ø, 7 HILOS TIPO BOA</t>
  </si>
  <si>
    <t>M</t>
  </si>
  <si>
    <t>CABLE DE ACERO, SOGA, MALLA</t>
  </si>
  <si>
    <t>CABLE DE ACERO</t>
  </si>
  <si>
    <t>MAT000358</t>
  </si>
  <si>
    <t>CABLE A°G° DE 1/2"Ø, 7 HILOS TIPO BOA</t>
  </si>
  <si>
    <t>MAT000359</t>
  </si>
  <si>
    <t>CABLE A°G° DE 1/8"Ø, 7 HILOS TIPO BOA</t>
  </si>
  <si>
    <t>MAT000360</t>
  </si>
  <si>
    <t>CABLE A°G° DE 3/16"Ø, 7 HILOS TIPO BOA</t>
  </si>
  <si>
    <t>MAT000361</t>
  </si>
  <si>
    <t>CABLE A°G° DE 5/32"Ø, 7 HILOS TIPO BOA</t>
  </si>
  <si>
    <t>MAT000362</t>
  </si>
  <si>
    <t>CABLE DE ARRASTRE VULCANIZADO NMT 2X10AWG 500V, X ROLLO, PRACTICABLE</t>
  </si>
  <si>
    <t>CABLE AISLADO (FORRADO)</t>
  </si>
  <si>
    <t>INDECO</t>
  </si>
  <si>
    <t>MAT000363</t>
  </si>
  <si>
    <t>CABLE DE ARRASTRE VULCANIZADO NMT 2X12AWG 500V, X ROLLO, PRACTICABLE</t>
  </si>
  <si>
    <t>MAT000364</t>
  </si>
  <si>
    <t>CABLE DE ARRASTRE VULCANIZADO NMT 3X10AWG 500V, X ROLLO, PRACTICABLE</t>
  </si>
  <si>
    <t>MAT000365</t>
  </si>
  <si>
    <t>CABLE DE ARRASTRE VULCANIZADO NMT 3X12AWG 500V, X ROLLO, PRACTICABLE</t>
  </si>
  <si>
    <t>MAT000366</t>
  </si>
  <si>
    <t>CABLE DE ARRASTRE VULCANIZADO NMT 3X14AWG 500V, X ROLLO, PRACTICABLE</t>
  </si>
  <si>
    <t>MAT000367</t>
  </si>
  <si>
    <t>CABLE DE ARRASTRE VULCANIZADO NMT 4X12AWG 500V, X ROLLO, PRACTICABLE</t>
  </si>
  <si>
    <t>MAT000368</t>
  </si>
  <si>
    <t>CABLE DE BATERIA PARA PASAR CORRIENTE 500 AMP</t>
  </si>
  <si>
    <t>MAT000369</t>
  </si>
  <si>
    <t>CABLE DE RED UTP CAT 5</t>
  </si>
  <si>
    <t>MTS</t>
  </si>
  <si>
    <t>MAT000370</t>
  </si>
  <si>
    <t>CABLE DE REMOLQUE</t>
  </si>
  <si>
    <t>REPUESTO PARA VEHICULO Y EQUIPO</t>
  </si>
  <si>
    <t>OTRO REPUESTO DE EQUIPO</t>
  </si>
  <si>
    <t>MAT000371</t>
  </si>
  <si>
    <t>CABLE EXTENSIÓN USB 2.0</t>
  </si>
  <si>
    <t>MATERIAL O REPUESTO PARA COMPUTADORA</t>
  </si>
  <si>
    <t>MAT000372</t>
  </si>
  <si>
    <t>CABLE HDMI (MACHO) - HDMI (MACHO) X 6 M</t>
  </si>
  <si>
    <t>MAT000373</t>
  </si>
  <si>
    <t>CABLE MELLIZO DE 2X16 AWG COLOR BLANCO</t>
  </si>
  <si>
    <t>MAT000374</t>
  </si>
  <si>
    <t>CABLE ATERRAMIENTO CABLE FORRADO 2/0 AWG X 10 M</t>
  </si>
  <si>
    <t>CONECTOR ELECTRICO/EMPALME/TERMINACION</t>
  </si>
  <si>
    <t>MAT000375</t>
  </si>
  <si>
    <t>CABLE P/SOLDADURA 2/0 AWG 600V ISLAM.GOMA/CAUCHO, CL6</t>
  </si>
  <si>
    <t>MAT000376</t>
  </si>
  <si>
    <t>CABLE PUESTA A TIERRA CPT 10 AWG 6MM2 COLOR: AMAR-VERDE X 100 M</t>
  </si>
  <si>
    <t>MAT000377</t>
  </si>
  <si>
    <t>CABLE PUESTA A TIERRA CPT 12 AWG 4MM2 COLOR: AMAR-VERDE X 100 M</t>
  </si>
  <si>
    <t>MAT000378</t>
  </si>
  <si>
    <t>CABLE PUESTA A TIERRA CPT 14 AWG 2.5MM2 COLOR: AMAR-VERDE X 100 M</t>
  </si>
  <si>
    <t>MAT000379</t>
  </si>
  <si>
    <t>CABLE PUESTA A TIERRA CPT 16 AWG 1.5MM2 COLOR: AMAR-VERDE X 100 M</t>
  </si>
  <si>
    <t>MAT000380</t>
  </si>
  <si>
    <t>CABLE PUESTA A TIERRA CPT 2/0 AWG 70 MM2 COLOR: AMAR-VERDE</t>
  </si>
  <si>
    <t>MAT000381</t>
  </si>
  <si>
    <t>CABLE PUESTA A TIERRA CPT 4/0 AWG 120MM2 COLOR: AMAR-VERDE</t>
  </si>
  <si>
    <t>MAT000382</t>
  </si>
  <si>
    <t>CABLE UNIPOLAR THW DE 10 AWG 750VCA AISLAMIENTO PVC COLOR: BLANCO</t>
  </si>
  <si>
    <t>MAT000383</t>
  </si>
  <si>
    <t>CABLE UNIPOLAR THW DE 10 AWG 750VCA AISLAMIENTO PVC COLOR: NEGRO</t>
  </si>
  <si>
    <t>MAT000384</t>
  </si>
  <si>
    <t>CABLE UNIPOLAR THW DE 10 AWG 750VCA AISLAMIENTO PVC COLOR: ROJO</t>
  </si>
  <si>
    <t>MAT000385</t>
  </si>
  <si>
    <t>CABLE UNIPOLAR THW DE 10 AWG 750VCA AISLAMIENTO PVC COLOR: VERDE</t>
  </si>
  <si>
    <t>MAT000386</t>
  </si>
  <si>
    <t>CABLE UNIPOLAR THW DE 12 AWG 750VCA AISLAMIENTO PVC COLOR: BLANCO</t>
  </si>
  <si>
    <t>MAT000387</t>
  </si>
  <si>
    <t>CABLE UNIPOLAR THW DE 12 AWG 750VCA AISLAMIENTO PVC COLOR: NEGRO</t>
  </si>
  <si>
    <t>MAT000388</t>
  </si>
  <si>
    <t>CABLE UNIPOLAR THW DE 12 AWG 750VCA AISLAMIENTO PVC COLOR: ROJO</t>
  </si>
  <si>
    <t>MAT000389</t>
  </si>
  <si>
    <t>CABLE UNIPOLAR THW DE 12 AWG 750VCA AISLAMIENTO PVC COLOR: VERDE</t>
  </si>
  <si>
    <t>MAT000390</t>
  </si>
  <si>
    <t>CABLE UNIPOLAR THW DE 14 AWG 750VCA AISLAMIENTO PVC COLOR: BLANCO</t>
  </si>
  <si>
    <t>MAT000391</t>
  </si>
  <si>
    <t>CABLE UNIPOLAR THW DE 14 AWG 750VCA AISLAMIENTO PVC COLOR: NEGRO</t>
  </si>
  <si>
    <t>MAT000392</t>
  </si>
  <si>
    <t>CABLE UNIPOLAR THW DE 14 AWG 750VCA AISLAMIENTO PVC COLOR: ROJO</t>
  </si>
  <si>
    <t>MAT000393</t>
  </si>
  <si>
    <t>CABLE UNIPOLAR THW DE 14 AWG 750VCA AISLAMIENTO PVC COLOR: VERDE</t>
  </si>
  <si>
    <t>MAT000394</t>
  </si>
  <si>
    <t>CABLE UTP CAT.6A DE 4 PARES X 24 AWG ROLLO DE 100 M</t>
  </si>
  <si>
    <t>MATERIAL PARA TELEFONIA</t>
  </si>
  <si>
    <t>CABLE TELEFONICO</t>
  </si>
  <si>
    <t>BELDEN</t>
  </si>
  <si>
    <t>MAT000395</t>
  </si>
  <si>
    <t>CABLE VULCANIZADO NMT 2X12AWG 500VAC X 100 M</t>
  </si>
  <si>
    <t>MAT000396</t>
  </si>
  <si>
    <t>CABLE VULCANIZADO NMT 3X12AWG 500VAC X 100 M</t>
  </si>
  <si>
    <t>MAT000397</t>
  </si>
  <si>
    <t>CABLE XHHW-2 DE 2X14AWG, COBRE CLASEB, XLPE, PVC, 90°C, 600V</t>
  </si>
  <si>
    <t>MAT000398</t>
  </si>
  <si>
    <t>CABLE XHHW-2 3X8AWG+10AWG, COBRE CLASEB, XLPE, PVC, 90°C, 600V CÓDIGO 28150</t>
  </si>
  <si>
    <t>MAT000399</t>
  </si>
  <si>
    <t>CABLE XLPE/XHHW-2 DE 1CX3X8 AWG</t>
  </si>
  <si>
    <t>MAT000400</t>
  </si>
  <si>
    <t>CADENA DE ACERO GALVANIZADO 1/2"</t>
  </si>
  <si>
    <t>ESTROBO/CADENA</t>
  </si>
  <si>
    <t>MAT000401</t>
  </si>
  <si>
    <t>CADENA DE ACERO GALVANIZADO 1/4"</t>
  </si>
  <si>
    <t>MAT000402</t>
  </si>
  <si>
    <t>CADENA DE ACERO GALVANIZADO 3/16"</t>
  </si>
  <si>
    <t>MAT000403</t>
  </si>
  <si>
    <t>CADENA DE ACERO GALVANIZADO 3/4"</t>
  </si>
  <si>
    <t>MAT000404</t>
  </si>
  <si>
    <t>CADENA DE ACERO GALVANIZADO 3/8"</t>
  </si>
  <si>
    <t>MAT000405</t>
  </si>
  <si>
    <t>CAJA CONDULET 3/4" TIPO "C" C/TAPA. Y EMPAQUE</t>
  </si>
  <si>
    <t>CAJA/TAPA DE PASE DE FIERRO (ACERO)</t>
  </si>
  <si>
    <t>SCI</t>
  </si>
  <si>
    <t>MAT000406</t>
  </si>
  <si>
    <t>CAJA CONDULET 3/4" TIPO "LB" C/TAPA. Y EMPAQUE</t>
  </si>
  <si>
    <t>MAT000407</t>
  </si>
  <si>
    <t>CAJA CONDULET 3/4" TIPO "LL" C/TAPA. Y EMPAQUE</t>
  </si>
  <si>
    <t>MAT000408</t>
  </si>
  <si>
    <t>CAJA CONDULET 3/4" TIPO "LR" C/TAPA. Y EMPAQUE</t>
  </si>
  <si>
    <t>MAT000409</t>
  </si>
  <si>
    <t>CAJA CONDULET 3/4" TIPO "T" C/TAPA. Y EMPAQUE</t>
  </si>
  <si>
    <t>MAT000410</t>
  </si>
  <si>
    <t>CAJA CONDULET C/FORRO DE PVC DE 1 1/2" TP. C C/TAPA. Y EMPAQUE</t>
  </si>
  <si>
    <t>MAT000411</t>
  </si>
  <si>
    <t>CAJA CONDULET C/FORRO DE PVC DE 1 1/2" TP. LB C/TAPA. Y EMPAQUE</t>
  </si>
  <si>
    <t>MAT000412</t>
  </si>
  <si>
    <t>CAJA CONDULET C/FORRO DE PVC DE 1 1/2" TP. LL C/TAPA. Y EMPAQUE</t>
  </si>
  <si>
    <t>MAT000413</t>
  </si>
  <si>
    <t>CAJA CONDULET C/FORRO DE PVC DE 1 1/2" TP. LR C/TAPA. Y EMPAQUE</t>
  </si>
  <si>
    <t>MAT000414</t>
  </si>
  <si>
    <t>CAJA CONDULET C/FORRO DE PVC DE 1 1/2" TP. T C/TAPA. Y EMPAQUE</t>
  </si>
  <si>
    <t>MAT000415</t>
  </si>
  <si>
    <t>CAJA CONDULET C/FORRO DE PVC DE 1" TP. C C/TAPA. Y EMPAQUE</t>
  </si>
  <si>
    <t>MAT000416</t>
  </si>
  <si>
    <t>CAJA CONDULET C/FORRO DE PVC DE 1" TP. LB C/TAPA. Y EMPAQUE</t>
  </si>
  <si>
    <t>MAT000417</t>
  </si>
  <si>
    <t>CAJA CONDULET C/FORRO DE PVC DE 1" TP. LL C/TAPA. Y EMPAQUE</t>
  </si>
  <si>
    <t>MAT000418</t>
  </si>
  <si>
    <t>CAJA CONDULET C/FORRO DE PVC DE 1" TP. LR C/TAPA. Y EMPAQUE</t>
  </si>
  <si>
    <t>MAT000419</t>
  </si>
  <si>
    <t>CAJA CONDULET C/FORRO DE PVC DE 1" TP. T C/TAPA. Y EMPAQUE</t>
  </si>
  <si>
    <t>MAT000420</t>
  </si>
  <si>
    <t>CAJA CONDULET C/FORRO DE PVC DE 2" TP. C C/TAPA. Y EMPAQUE</t>
  </si>
  <si>
    <t>MAT000421</t>
  </si>
  <si>
    <t>CAJA CONDULET C/FORRO DE PVC DE 2" TP. LB C/TAPA. Y EMPAQUE</t>
  </si>
  <si>
    <t>MAT000422</t>
  </si>
  <si>
    <t>CAJA CONDULET C/FORRO DE PVC DE 2" TP. LL C/TAPA. Y EMPAQUE</t>
  </si>
  <si>
    <t>MAT000423</t>
  </si>
  <si>
    <t>CAJA CONDULET C/FORRO DE PVC DE 2" TP. LR C/TAPA. Y EMPAQUE</t>
  </si>
  <si>
    <t>MAT000424</t>
  </si>
  <si>
    <t>CAJA CONDULET C/FORRO DE PVC DE 2" TP. T C/TAPA. Y EMPAQUE</t>
  </si>
  <si>
    <t>MAT000425</t>
  </si>
  <si>
    <t>CAJA CONDULET C/FORRO DE PVC DE 3/4" TP. C C/TAPA. Y EMPAQUE</t>
  </si>
  <si>
    <t>MAT000426</t>
  </si>
  <si>
    <t>CAJA CONDULET C/FORRO DE PVC DE 3/4" TP. LB C/TAPA. Y EMPAQUE</t>
  </si>
  <si>
    <t>MAT000427</t>
  </si>
  <si>
    <t>CAJA CONDULET C/FORRO DE PVC DE 3/4" TP. LL C/TAPA. Y EMPAQUE</t>
  </si>
  <si>
    <t>MAT000428</t>
  </si>
  <si>
    <t>CAJA CONDULET C/FORRO DE PVC DE 3/4" TP. LR C/TAPA. Y EMPAQUE</t>
  </si>
  <si>
    <t>MAT000429</t>
  </si>
  <si>
    <t>CAJA CONDULET C/FORRO DE PVC DE 3/4" TP. T C/TAPA. Y EMPAQUE</t>
  </si>
  <si>
    <t>MAT000430</t>
  </si>
  <si>
    <t>CAJA CONDULET CIRCULAR DE 3/4" DE 03 ENTRADAS C/TAPA. Y EMPAQUE C/FORRO DE PVC</t>
  </si>
  <si>
    <t>MAT000431</t>
  </si>
  <si>
    <t>CAJA CONDULET DE 1 1/2" TP. C CON TAPA Y EMPAQUE</t>
  </si>
  <si>
    <t>MAT000432</t>
  </si>
  <si>
    <t>CAJA CONDULET DE 1 1/2" TP. LB CON TAPA Y EMPAQUE</t>
  </si>
  <si>
    <t>MAT000433</t>
  </si>
  <si>
    <t>CAJA CONDULET DE 1 1/2" TP. LL CON TAPA Y EMPAQUE</t>
  </si>
  <si>
    <t>MAT000434</t>
  </si>
  <si>
    <t>CAJA CONDULET DE 1 1/2" TP. LR CON TAPA Y EMPAQUE</t>
  </si>
  <si>
    <t>MAT000435</t>
  </si>
  <si>
    <t>CAJA CONDULET DE 1 1/2" TP. T CON TAPA Y EMPAQUE</t>
  </si>
  <si>
    <t>MAT000436</t>
  </si>
  <si>
    <t>CAJA CONDULET DE 1" TP. C CON TAPA Y EMPAQUE</t>
  </si>
  <si>
    <t>MAT000437</t>
  </si>
  <si>
    <t>CAJA CONDULET DE 1" TP. LB CON TAPA Y EMPAQUE</t>
  </si>
  <si>
    <t>MAT000438</t>
  </si>
  <si>
    <t>CAJA CONDULET DE 1" TP. LL CON TAPA Y EMPAQUE</t>
  </si>
  <si>
    <t>MAT000439</t>
  </si>
  <si>
    <t>CAJA CONDULET DE 1" TP. LR CON TAPA Y EMPAQUE</t>
  </si>
  <si>
    <t>MAT000440</t>
  </si>
  <si>
    <t>CAJA CONDULET DE 1" TP. T CON TAPA Y EMPAQUE</t>
  </si>
  <si>
    <t>MAT000441</t>
  </si>
  <si>
    <t>CAJA CONDULET DE 1" TP. TB CON TAPA Y EMPAQUE</t>
  </si>
  <si>
    <t>MAT000442</t>
  </si>
  <si>
    <t>CAJA CONDULET DE 2 1/2" TP. LB CON TAPA Y EMPAQUE</t>
  </si>
  <si>
    <t>MAT000443</t>
  </si>
  <si>
    <t>CAJA CONDULET DE 2 1/2" TP. LL CON TAPA Y EMPAQUE</t>
  </si>
  <si>
    <t>MAT000444</t>
  </si>
  <si>
    <t>CAJA CONDULET DE 2 1/2" TP. LR CON TAPA Y EMPAQUE</t>
  </si>
  <si>
    <t>MAT000445</t>
  </si>
  <si>
    <t>CAJA CONDULET DE 2" TP. C CON TAPA Y EMPAQUE</t>
  </si>
  <si>
    <t>MAT000446</t>
  </si>
  <si>
    <t>CAJA CONDULET DE 2" TP. LB CON TAPA Y EMPAQUE</t>
  </si>
  <si>
    <t>MAT000447</t>
  </si>
  <si>
    <t>CAJA CONDULET DE 2" TP. LL CON TAPA Y EMPAQUE</t>
  </si>
  <si>
    <t>MAT000448</t>
  </si>
  <si>
    <t>CAJA CONDULET DE 2" TP. LR CON TAPA Y EMPAQUE</t>
  </si>
  <si>
    <t>MAT000449</t>
  </si>
  <si>
    <t>CAJA CONDULET DE 2" TP. T CON TAPA Y EMPAQUE</t>
  </si>
  <si>
    <t>MAT000450</t>
  </si>
  <si>
    <t>CAJA DE BLOQUEO GRUPAL DE METAL COLOR ROJO</t>
  </si>
  <si>
    <t>DISPOSITIVO DE BLOQUEO</t>
  </si>
  <si>
    <t>BRADY</t>
  </si>
  <si>
    <t>MAT000451</t>
  </si>
  <si>
    <t>CAJA DE PASE CUADRADA DE PVC DE 4" X 4" ADOSABLE</t>
  </si>
  <si>
    <t>CAJA/TAPA DE PASE DE PLASTICO</t>
  </si>
  <si>
    <t>KBA</t>
  </si>
  <si>
    <t>MAT000452</t>
  </si>
  <si>
    <t>CAJA DE PASE RECTANGULAR DE A°G° DE 4" X 2" EMPOTRABLE</t>
  </si>
  <si>
    <t>BTICINO</t>
  </si>
  <si>
    <t>MAT000453</t>
  </si>
  <si>
    <t>CAJA DE PASE RECTANGULAR DE PVC DE 4" X 2" EMPOTRABLE</t>
  </si>
  <si>
    <t>MAT000454</t>
  </si>
  <si>
    <t>CAJA DE PASO A°G° DE 150 X 150 X 100 MM</t>
  </si>
  <si>
    <t>MAT000455</t>
  </si>
  <si>
    <t>CAJA DE PASO A°G° DE 300 X 300 X 150 MM</t>
  </si>
  <si>
    <t>MAT000456</t>
  </si>
  <si>
    <t>CAJA DE PASO DE POLICARBONATO C/ CHAPA MEDIA VUELTA DE 250MM X 250MM X 150MM</t>
  </si>
  <si>
    <t>MAT000457</t>
  </si>
  <si>
    <t>CAJA DE PASO DE POLICARBONATO C/ CHAPA MEDIA VUELTA DE 340MM X 290MM X 150MM</t>
  </si>
  <si>
    <t>MAT000458</t>
  </si>
  <si>
    <t>CAJA DE PASO DE PVC DE 100 X 100 X 70 MM</t>
  </si>
  <si>
    <t>MAT000459</t>
  </si>
  <si>
    <t>CAJA DE PASO DE PVC DE 150 X 110 X 70 MM</t>
  </si>
  <si>
    <t>MAT000460</t>
  </si>
  <si>
    <t>CAJA DE PASO INOX 304 1.2 MM NEMA 4X 100X100X50 MM</t>
  </si>
  <si>
    <t>RITTAL</t>
  </si>
  <si>
    <t>MAT000461</t>
  </si>
  <si>
    <t>CAJA DE PASO INOX 304 1.2 MM NEMA 4X 150X150X100 MM</t>
  </si>
  <si>
    <t>MAT000462</t>
  </si>
  <si>
    <t>CAJA DE PVC RECTANGULAR SUPERFICIE EXTERIOR PARA CABLE CANAL DE 4” X 2”</t>
  </si>
  <si>
    <t>NICOLL</t>
  </si>
  <si>
    <t>MAT000463</t>
  </si>
  <si>
    <t>CAJA DE REGISTRO DE CONCRETO C/TAPA P/PUESTA A TIERRA 40.5X40.5X30 CM</t>
  </si>
  <si>
    <t>CONDUCRETE</t>
  </si>
  <si>
    <t>MAT000464</t>
  </si>
  <si>
    <t>CAJA PVC ELECTRICA OCTOGONAL</t>
  </si>
  <si>
    <t>MAT000465</t>
  </si>
  <si>
    <t>CAL X 20kg</t>
  </si>
  <si>
    <t>MATERIAL PARA SEÑALIZACION</t>
  </si>
  <si>
    <t>MARTELL</t>
  </si>
  <si>
    <t>MAT000466</t>
  </si>
  <si>
    <t>CALAMINA F°G° OND. 0.22MM x 0.83M x 3.60M</t>
  </si>
  <si>
    <t>CALAMINA METALICA</t>
  </si>
  <si>
    <t>MAT000467</t>
  </si>
  <si>
    <t>CALAMINA F°G° OND. 0.3 MM x 0.83M x 3.60M</t>
  </si>
  <si>
    <t>MAT000468</t>
  </si>
  <si>
    <t>CALENTADOR ELECTRICO HALOGENO DE 2000W MOD. FH 070</t>
  </si>
  <si>
    <t>ALFANO</t>
  </si>
  <si>
    <t>MAT000469</t>
  </si>
  <si>
    <t>CALIBRADOR DE SOLDADURA GAL GAGE CO.</t>
  </si>
  <si>
    <t>BRIDGE CAM</t>
  </si>
  <si>
    <t>MAT000470</t>
  </si>
  <si>
    <t>CAMA DE MADERA DE 1 1/2 PLZ</t>
  </si>
  <si>
    <t>MATERIAL Y EQUIPO MENUDO DE CAMPAMENTO</t>
  </si>
  <si>
    <t>CAMA</t>
  </si>
  <si>
    <t>MAT000471</t>
  </si>
  <si>
    <t>CAMAROTE DE MADERA 1 1/2 PLAZA 1.50 ALTO X 1.90 LARGO</t>
  </si>
  <si>
    <t>MAT000472</t>
  </si>
  <si>
    <t>CAMILLA DE RESCATE COLOR NARANJA 4 CINTURON DE SEGURIDAD</t>
  </si>
  <si>
    <t>CAMILLA</t>
  </si>
  <si>
    <t>MAT000473</t>
  </si>
  <si>
    <t>CANAL "U" A-36 DE 4" X 2" X 1/4" X 6MT</t>
  </si>
  <si>
    <t>CANAL</t>
  </si>
  <si>
    <t>MAT000474</t>
  </si>
  <si>
    <t>CANAL UNISTRUT LISO 1 5/8"X 1 5/8" X 3M B- LINE (P-1000)</t>
  </si>
  <si>
    <t>MAT000475</t>
  </si>
  <si>
    <t>CANAL UNISTRUT LISO 1 5/8"X 7/8" X 2.40M B- LINE</t>
  </si>
  <si>
    <t>E.F.</t>
  </si>
  <si>
    <t>MAT000476</t>
  </si>
  <si>
    <t>CANAL UNISTRUT LISO 1 5/8"X 7/8" X 3M B- LINE</t>
  </si>
  <si>
    <t>MAT000477</t>
  </si>
  <si>
    <t>CANAL UNISTRUT LISO C/FORRO DE PVC 1 5/8"X 1 5/8" X 3M</t>
  </si>
  <si>
    <t>MAT000478</t>
  </si>
  <si>
    <t>CANAL UNISTRUT RANURADO 1 5/8"X 1 5/8" X 3M B- LINE</t>
  </si>
  <si>
    <t>MAT000479</t>
  </si>
  <si>
    <t>CANALETA DE PVC CON ADHESIVO 20 MM X 20 MM X 2 M</t>
  </si>
  <si>
    <t>MAT000480</t>
  </si>
  <si>
    <t>CANALETA DE PVC CON ADHESIVO 40 MM X 40 MM X 2 M</t>
  </si>
  <si>
    <t>MAT000481</t>
  </si>
  <si>
    <t>CANALETA RANURADA DE PVC DE 40X60MM X 2 M</t>
  </si>
  <si>
    <t>MAT000482</t>
  </si>
  <si>
    <t>CANCAMO DE ACERO 1 CON OJAL Y PUNTA X 1 MT</t>
  </si>
  <si>
    <t>MAT000483</t>
  </si>
  <si>
    <t>CANCAMO MACHO DE A°G° PARA IZAJE M10</t>
  </si>
  <si>
    <t>ACCESORIO PARA CABLE (GRILLETE, OTROS)</t>
  </si>
  <si>
    <t>SLR</t>
  </si>
  <si>
    <t>MAT000484</t>
  </si>
  <si>
    <t>CANCAMO MACHO DE A°G° PARA IZAJE M12</t>
  </si>
  <si>
    <t>MAT000485</t>
  </si>
  <si>
    <t>CANCAMO MACHO DE A°G° PARA IZAJE M14</t>
  </si>
  <si>
    <t>MAT000486</t>
  </si>
  <si>
    <t>CANCAMO MACHO DE A°G° PARA IZAJE M16</t>
  </si>
  <si>
    <t>MAT000487</t>
  </si>
  <si>
    <t>CANCAMO MACHO DE A°G° PARA IZAJE M20</t>
  </si>
  <si>
    <t>MAT000488</t>
  </si>
  <si>
    <t>CANCAMO MACHO DE A°G° PARA IZAJE M24</t>
  </si>
  <si>
    <t>MAT000489</t>
  </si>
  <si>
    <t>CANCAMO MACHO DE F°N° PARA IZAJE M10</t>
  </si>
  <si>
    <t>CROSBY</t>
  </si>
  <si>
    <t>MAT000490</t>
  </si>
  <si>
    <t>CANCAMO MACHO DE F°N° PARA IZAJE M12</t>
  </si>
  <si>
    <t>MAT000491</t>
  </si>
  <si>
    <t>CANCAMO MACHO DE F°N° PARA IZAJE M16</t>
  </si>
  <si>
    <t>MAT000492</t>
  </si>
  <si>
    <t>CANCAMO MACHO DE F°N° PARA IZAJE M20</t>
  </si>
  <si>
    <t>MAT000493</t>
  </si>
  <si>
    <t>CANCAMO MACHO DE F°N° PARA IZAJE M24</t>
  </si>
  <si>
    <t>MAT000494</t>
  </si>
  <si>
    <t>CANDADO DE BLOQUEO ARCO ALTO 40MM COLOR: NEGRO</t>
  </si>
  <si>
    <t>ACCESORIO P/ BLOQUEO</t>
  </si>
  <si>
    <t>MAT000495</t>
  </si>
  <si>
    <t>CANDADO DE BLOQUEO ARCO ALTO 40MM COLOR: ROJO</t>
  </si>
  <si>
    <t>MAT000496</t>
  </si>
  <si>
    <t>CANDADO DE BRONCE ARCO NORMAL DE 30MM</t>
  </si>
  <si>
    <t>CERRADURA</t>
  </si>
  <si>
    <t>MAT000497</t>
  </si>
  <si>
    <t>CANDADO DE BRONCE ARCO NORMAL DE 40MM</t>
  </si>
  <si>
    <t>MAT000498</t>
  </si>
  <si>
    <t>CANDADO DE BRONCE ARCO NORMAL DE 50MM</t>
  </si>
  <si>
    <t>MAT000499</t>
  </si>
  <si>
    <t>CANDADO DE BRONCE ARCO NORMAL DE 70 MM</t>
  </si>
  <si>
    <t>MAT000500</t>
  </si>
  <si>
    <t>CAPSULA P/ SOLDADURA EXOTERMICA # 115</t>
  </si>
  <si>
    <t>THERMOWELD</t>
  </si>
  <si>
    <t>MAT000501</t>
  </si>
  <si>
    <t>CAPSULA P/ SOLDADURA EXOTERMICA # 150</t>
  </si>
  <si>
    <t>MAT000502</t>
  </si>
  <si>
    <t>CAPSULA P/ SOLDADURA EXOTERMICA # 200</t>
  </si>
  <si>
    <t>MAT000503</t>
  </si>
  <si>
    <t>CAPSULA P/ SOLDADURA EXOTERMICA # 250</t>
  </si>
  <si>
    <t>MAT000504</t>
  </si>
  <si>
    <t>CAPSULA P/ SOLDADURA EXOTERMICA # 90</t>
  </si>
  <si>
    <t>MAT000505</t>
  </si>
  <si>
    <t>CAPUCHONES DE SEGURIDAD DE PVC DE 3/8" - 3/4"</t>
  </si>
  <si>
    <t>MAT000506</t>
  </si>
  <si>
    <t>CARPA DE LONA DE 3 M X 3 M</t>
  </si>
  <si>
    <t>MATERIAL DE CAMPAMENTO</t>
  </si>
  <si>
    <t>MAT000507</t>
  </si>
  <si>
    <t>CARTULINA T-A4 COLOR AMARILLO</t>
  </si>
  <si>
    <t>MAT000508</t>
  </si>
  <si>
    <t>CARTULINA T-A4 COLOR AZUL</t>
  </si>
  <si>
    <t>MAT000509</t>
  </si>
  <si>
    <t>CARTULINA T-A4 COLOR BLANCO</t>
  </si>
  <si>
    <t>MAT000510</t>
  </si>
  <si>
    <t>CARTULINA T-A4 COLOR NARANJA</t>
  </si>
  <si>
    <t>MAT000511</t>
  </si>
  <si>
    <t>CARTULINA T-A4 COLOR VERDE</t>
  </si>
  <si>
    <t>MAT000512</t>
  </si>
  <si>
    <t>CAT.6 MODULAR JACK RJ45 SL SERIES, COLOR AZUL</t>
  </si>
  <si>
    <t>CONEXION Y EMPALME PARA TELEFONIA</t>
  </si>
  <si>
    <t>MAT000513</t>
  </si>
  <si>
    <t>CATALIZADOR JET 70 MP</t>
  </si>
  <si>
    <t>JET</t>
  </si>
  <si>
    <t>MAT000514</t>
  </si>
  <si>
    <t>CAUCHO NATURAL DE 1/2" ESP. X 4" ANCHO X 20MTS LONG</t>
  </si>
  <si>
    <t>REVESTIMIENTO DE PISO Y PARED</t>
  </si>
  <si>
    <t>CAUCHO/NEOPRENE</t>
  </si>
  <si>
    <t>MAT000515</t>
  </si>
  <si>
    <t>CEMENTO CONDUCTIVO X 25 KG</t>
  </si>
  <si>
    <t>THOR CEM</t>
  </si>
  <si>
    <t>MAT000516</t>
  </si>
  <si>
    <t>CEMENTO TIPO 1 X 42.5 KG</t>
  </si>
  <si>
    <t>CEMENTO PARA CONCRETO</t>
  </si>
  <si>
    <t>SOL</t>
  </si>
  <si>
    <t>MAT000517</t>
  </si>
  <si>
    <t>CEMENTO VULCANIZANTE VULTECBOOM</t>
  </si>
  <si>
    <t>PEGAMENTO/VULCANIZANTE P/ NEOPRENO C/ METAL</t>
  </si>
  <si>
    <t>MAT000518</t>
  </si>
  <si>
    <t>CERA LIQUIDA AMARILLA</t>
  </si>
  <si>
    <t>TEKNO</t>
  </si>
  <si>
    <t>MAT000519</t>
  </si>
  <si>
    <t>CERRADURA P/ ESCRITORIO TAMBOR CUADRADO (CHAPA)</t>
  </si>
  <si>
    <t>MAT000520</t>
  </si>
  <si>
    <t>CHALINA VERDE C/LOGO STP</t>
  </si>
  <si>
    <t>MAT000521</t>
  </si>
  <si>
    <t>CHINCHES DE COLORES PLASTIFICADO X 100 UND</t>
  </si>
  <si>
    <t>MAT000522</t>
  </si>
  <si>
    <t>CHISPERO TRIPLE TRIANGULAR</t>
  </si>
  <si>
    <t>MAT000523</t>
  </si>
  <si>
    <t>CINCEL ANCHO SDS MAX 115 X 350 MM</t>
  </si>
  <si>
    <t>CINCEL</t>
  </si>
  <si>
    <t>MAT000524</t>
  </si>
  <si>
    <t>CINTA ADHESIVA DOBLE CARA EXTRA FUERTE 18 MM X 2 M</t>
  </si>
  <si>
    <t>MAT000525</t>
  </si>
  <si>
    <t>CINTA AISLANTE 2520-3M CAMBRIC</t>
  </si>
  <si>
    <t>MAT000526</t>
  </si>
  <si>
    <t>CINTA AISLANTE PARA DUCTOS MODELO: BASICO DE 2" X 55 YDS</t>
  </si>
  <si>
    <t>MAT000527</t>
  </si>
  <si>
    <t>CINTA AISLANTE PARA DUCTOS MODELO: DT11</t>
  </si>
  <si>
    <t>MAT000528</t>
  </si>
  <si>
    <t>CINTA AISLANTE VINIL SUPER 33 DE 3/4" X 20 MT - COLOR: NEGRO</t>
  </si>
  <si>
    <t>MAT000529</t>
  </si>
  <si>
    <t>CINTA AISLANTE VINIL SUPER 35 DE 3/4" X 20 MT - COLOR: AMARILLO</t>
  </si>
  <si>
    <t>MAT000530</t>
  </si>
  <si>
    <t>CINTA AISLANTE VINIL SUPER 35 DE 3/4" X 20 MT - COLOR: AZUL</t>
  </si>
  <si>
    <t>MAT000531</t>
  </si>
  <si>
    <t>CINTA AISLANTE VINIL SUPER 35 DE 3/4" X 20 MT - COLOR: BLANCO</t>
  </si>
  <si>
    <t>MAT000532</t>
  </si>
  <si>
    <t>CINTA AISLANTE VINIL SUPER 35 DE 3/4" X 20 MT - COLOR: ROJO</t>
  </si>
  <si>
    <t>MAT000533</t>
  </si>
  <si>
    <t>CINTA AISLANTE VINIL SUPER 35 DE 3/4" X 20 MT - COLOR: VERDE</t>
  </si>
  <si>
    <t>MAT000534</t>
  </si>
  <si>
    <t>CINTA AISLANTE VINILICA TEMFLEX DE 3/4" X 18 MT MOD: 165 - COLOR AMARILLO</t>
  </si>
  <si>
    <t>MAT000535</t>
  </si>
  <si>
    <t>CINTA AISLANTE VINILICA TEMFLEX DE 3/4" X 18 MT MOD: 165 - COLOR AZUL</t>
  </si>
  <si>
    <t>MAT000536</t>
  </si>
  <si>
    <t>CINTA AISLANTE VINILICA TEMFLEX DE 3/4" X 18 MT MOD: 165 - COLOR BLANCO</t>
  </si>
  <si>
    <t>MAT000537</t>
  </si>
  <si>
    <t>CINTA AISLANTE VINILICA TEMFLEX DE 3/4" X 18 MT MOD: 165 - COLOR NEGRO</t>
  </si>
  <si>
    <t>MAT000538</t>
  </si>
  <si>
    <t>CINTA AISLANTE VINILICA TEMFLEX DE 3/4" X 18 MT MOD: 165 - COLOR: ROJO</t>
  </si>
  <si>
    <t>MAT000539</t>
  </si>
  <si>
    <t>CINTA AISLANTE VINILICA TEMFLEX DE 3/4" X 18 MT MOD: 165 - COLOR VERDE</t>
  </si>
  <si>
    <t>MAT000540</t>
  </si>
  <si>
    <t>CINTA AISLANTE VULCANIZANTE AUTOFUD. 130C 3/4" X 9.1 M</t>
  </si>
  <si>
    <t>MAT000541</t>
  </si>
  <si>
    <t>CINTA AISLANTE VULCANIZANTE AUTOFUD. N° 23 3/4" X 9.14 M</t>
  </si>
  <si>
    <t>MAT000542</t>
  </si>
  <si>
    <t>CINTA DE ACERO INOXIDABLE DE 1/2" X 30 M</t>
  </si>
  <si>
    <t>CINTA BAND-IT Y ACCESORIO</t>
  </si>
  <si>
    <t>MAT000543</t>
  </si>
  <si>
    <t>CINTA DE ACERO INOXIDABLE DE 3/4" X 30 M</t>
  </si>
  <si>
    <t>MAT000544</t>
  </si>
  <si>
    <t>CINTA DE ALUMINIO ADHESIVA DE 2" DE ANCHO</t>
  </si>
  <si>
    <t>MAT000545</t>
  </si>
  <si>
    <t>CINTA DE EMBALAJE DE 2" X 110 YDS</t>
  </si>
  <si>
    <t>MATERIAL PARA EMBALAJE</t>
  </si>
  <si>
    <t>MAT000546</t>
  </si>
  <si>
    <t>CINTA DE EMBALAJE DE 2" X 55 YDS</t>
  </si>
  <si>
    <t>MAT000547</t>
  </si>
  <si>
    <t>CINTA DE FIBRA DE VIDRIO PARA DRYWALL 2" X 75 M</t>
  </si>
  <si>
    <t>MAT000548</t>
  </si>
  <si>
    <t>CINTA DE PAPEL PARA DRYWALL 2" X 75 M</t>
  </si>
  <si>
    <t>MAT000549</t>
  </si>
  <si>
    <t>CINTA DE RAFIA X 100 M</t>
  </si>
  <si>
    <t>MAT000550</t>
  </si>
  <si>
    <t>CINTA DE SEÑALIZACION COLOR AMARILLO X 30MT "PELIGRO HOMBRES TRABAJANDO"</t>
  </si>
  <si>
    <t>CINTA DE SEGURIDAD</t>
  </si>
  <si>
    <t>MAT000551</t>
  </si>
  <si>
    <t>CINTA DE SEÑALIZACION COLOR ROJO X 30MT "PELIGRO HOMBRES TRABAJANDO"</t>
  </si>
  <si>
    <t>MAT000552</t>
  </si>
  <si>
    <t>CINTA MAGNETICA ADHESIVA DE 1"</t>
  </si>
  <si>
    <t>MAT000553</t>
  </si>
  <si>
    <t>CINTA MALLA DE FIBRA DE VIDRIO DE 2" X 90 M</t>
  </si>
  <si>
    <t>MAT000554</t>
  </si>
  <si>
    <t>CINTA MASKING TAPE 1 1/2" X 37 MT</t>
  </si>
  <si>
    <t>MAT000555</t>
  </si>
  <si>
    <t>CINTA MASKING TAPE 1" X 40 YDS</t>
  </si>
  <si>
    <t>MAT000556</t>
  </si>
  <si>
    <t>CINTA MASKING TAPE 1/2" X 40 YDS</t>
  </si>
  <si>
    <t>MAT000557</t>
  </si>
  <si>
    <t>CINTA MASKING TAPE 2" X 55 YDS</t>
  </si>
  <si>
    <t>MAT000558</t>
  </si>
  <si>
    <t>CINTA METALICA FLEXIBLE PARA DRYWALL DE 52 MM X 30 M</t>
  </si>
  <si>
    <t>MAT000559</t>
  </si>
  <si>
    <t>CINTA PORTACREDENCIAL (LANYARD) COLOR: NEGRO LOGO: STP</t>
  </si>
  <si>
    <t>MAT000560</t>
  </si>
  <si>
    <t>CINTA REFLECTIVA COLOR BLANCO DE 4"</t>
  </si>
  <si>
    <t>MAT000561</t>
  </si>
  <si>
    <t>CINTA REFLECTIVA ROJO Y BLANCO DE 2"</t>
  </si>
  <si>
    <t>MAT000562</t>
  </si>
  <si>
    <t>CINTA SCOTCH 1/2" X 72 YDS.</t>
  </si>
  <si>
    <t>PEGAFAN</t>
  </si>
  <si>
    <t>MAT000563</t>
  </si>
  <si>
    <t>CINTA SCOTCH 3/4" X 72 YDS.</t>
  </si>
  <si>
    <t>MAT000564</t>
  </si>
  <si>
    <t>CINTA TEFLÓN AMARILLO 12 MM X 8 YARDAS</t>
  </si>
  <si>
    <t>EMPAQUETADURA, JUNTA, SELLADOR</t>
  </si>
  <si>
    <t>OTRA EMPAQUETADURA/JUNTA/SELLADOR</t>
  </si>
  <si>
    <t>MAT000565</t>
  </si>
  <si>
    <t>CINTA TEFLON DE 1/2"</t>
  </si>
  <si>
    <t>MAT000566</t>
  </si>
  <si>
    <t>CINTILLO AMARRACABLE 100 X 2.5MM X 100 UND - COLOR BLANCO</t>
  </si>
  <si>
    <t>MAT000567</t>
  </si>
  <si>
    <t>CINTILLO AMARRACABLE 150 X 3.6MM X 100 UND - COLOR BLANCO</t>
  </si>
  <si>
    <t>MAT000568</t>
  </si>
  <si>
    <t>CINTILLO AMARRACABLE 180 X 4.0MM X 100 UND - COLOR BLANCO</t>
  </si>
  <si>
    <t>MAT000569</t>
  </si>
  <si>
    <t>CINTILLO AMARRACABLE 200 X 2.5MM X 100 UND - COLOR BLANCO</t>
  </si>
  <si>
    <t>MAT000570</t>
  </si>
  <si>
    <t>CINTILLO AMARRACABLE 200 X 4.0MM X 100 UND - COLOR BLANCO</t>
  </si>
  <si>
    <t>MAT000571</t>
  </si>
  <si>
    <t>CINTILLO AMARRACABLE 203 X 3.6MM X 100 UND - COLOR BLANCO</t>
  </si>
  <si>
    <t>MAT000572</t>
  </si>
  <si>
    <t>CINTILLO AMARRACABLE 203 X 4.6MM X 100 UND - COLOR BLANCO</t>
  </si>
  <si>
    <t>MAT000573</t>
  </si>
  <si>
    <t>CINTILLO AMARRACABLE 203 X 4.8 MM X 100 UND - COLOR BLANCO</t>
  </si>
  <si>
    <t>MAT000574</t>
  </si>
  <si>
    <t>CINTILLO AMARRACABLE 250 X 4.8MM X 100 UND - COLOR BLANCO</t>
  </si>
  <si>
    <t>MAT000575</t>
  </si>
  <si>
    <t>CINTILLO AMARRACABLE 280 X 4.8MM X 100 UND - COLOR BLANCO</t>
  </si>
  <si>
    <t>MAT000576</t>
  </si>
  <si>
    <t>CINTILLO AMARRACABLE 300 X 3.6MM X 100 UND - COLOR BLANCO</t>
  </si>
  <si>
    <t>MAT000577</t>
  </si>
  <si>
    <t>CINTILLO AMARRACABLE 300 X 4.8MM X 100 UND - COLOR BLANCO</t>
  </si>
  <si>
    <t>MAT000578</t>
  </si>
  <si>
    <t>CINTILLO AMARRACABLE 300 X 6.0MM X 100 UND - COLOR BLANCO</t>
  </si>
  <si>
    <t>MAT000579</t>
  </si>
  <si>
    <t>CINTILLO AMARRACABLE 300 X 7.6MM X 100 UND - COLOR BLANCO</t>
  </si>
  <si>
    <t>MAT000580</t>
  </si>
  <si>
    <t>CINTILLO AMARRACABLE 340 X 7.0MM X 100 UND - COLOR BLANCO</t>
  </si>
  <si>
    <t>MAT000581</t>
  </si>
  <si>
    <t>CINTILLO AMARRACABLE 340 X 7.6 MM X 100 UND - COLOR BLANCO</t>
  </si>
  <si>
    <t>MAT000582</t>
  </si>
  <si>
    <t>CINTILLO AMARRACABLE 363 X 9.0MM X 100 UND - COLOR BLANCO</t>
  </si>
  <si>
    <t>MAT000583</t>
  </si>
  <si>
    <t>CINTILLO AMARRACABLE 368 X 4.8MM X 100 UND - COLOR BLANCO</t>
  </si>
  <si>
    <t>MAT000584</t>
  </si>
  <si>
    <t>CINTILLO AMARRACABLE 370 X 7.6MM X 100 UND - COLOR BLANCO</t>
  </si>
  <si>
    <t>MAT000585</t>
  </si>
  <si>
    <t>CINTILLO AMARRACABLE 380 X 7.6MM X 100 UND - COLOR BLANCO</t>
  </si>
  <si>
    <t>MAT000586</t>
  </si>
  <si>
    <t>CINTILLO AMARRACABLE 385 X 4.8MM X 100 UND - COLOR BLANCO</t>
  </si>
  <si>
    <t>MAT000587</t>
  </si>
  <si>
    <t>CINTILLO AMARRACABLE 400 X 4.8MM X 100 UND - COLOR BLANCO</t>
  </si>
  <si>
    <t>MAT000588</t>
  </si>
  <si>
    <t>CINTILLO AMARRACABLE 500 X 7.0MM X 100 UND - COLOR BLANCO</t>
  </si>
  <si>
    <t>MAT000589</t>
  </si>
  <si>
    <t>CINTILLO AMARRACABLE 610 X 9.0MM X 100 UND - COLOR BLANCO</t>
  </si>
  <si>
    <t>MAT000590</t>
  </si>
  <si>
    <t>CINTILLO AMARRACABLE 650 X 9.0MM X 100 UND - COLOR BLANCO</t>
  </si>
  <si>
    <t>MAT000591</t>
  </si>
  <si>
    <t>CINTILLO AMARRACABLE 700 X 9.0MM X 100 UND - COLOR BLANCO</t>
  </si>
  <si>
    <t>MAT000592</t>
  </si>
  <si>
    <t>CINTILLO AMARRACABLE 812 X9.00MM X 100 UND - COLOR BLANCO</t>
  </si>
  <si>
    <t>MAT000593</t>
  </si>
  <si>
    <t>CIRCULINA ESTROBOSCOPICA COLOR AZUL 12-48 V</t>
  </si>
  <si>
    <t>MAT000594</t>
  </si>
  <si>
    <t>CIRCULINA ESTROBOSCOPICA COLOR NARANJA 12-48 V</t>
  </si>
  <si>
    <t>MAT000595</t>
  </si>
  <si>
    <t>CIRCULINA ESTROBOSCOPICA COLOR ROJO 12-48 V</t>
  </si>
  <si>
    <t>MAT000596</t>
  </si>
  <si>
    <t>CLAVO DE ACERO DE 1 1/2"</t>
  </si>
  <si>
    <t>CLAVO</t>
  </si>
  <si>
    <t>CLAVO DE ACERO</t>
  </si>
  <si>
    <t>PRODAC</t>
  </si>
  <si>
    <t>MAT000597</t>
  </si>
  <si>
    <t>CLAVO DE ACERO DE 1"</t>
  </si>
  <si>
    <t>MAT000598</t>
  </si>
  <si>
    <t>CLAVO DE ACERO DE 2 1/2"</t>
  </si>
  <si>
    <t>MAT000599</t>
  </si>
  <si>
    <t>CLAVO DE ACERO DE 2"</t>
  </si>
  <si>
    <t>MAT000600</t>
  </si>
  <si>
    <t>CLAVO DE ACERO DE 3"</t>
  </si>
  <si>
    <t>MAT000601</t>
  </si>
  <si>
    <t>CLAVO DE ACERO DE 4"</t>
  </si>
  <si>
    <t>MAT000602</t>
  </si>
  <si>
    <t>CLIP DE SUJECION PARA GRATING</t>
  </si>
  <si>
    <t>ALCANTARILLA</t>
  </si>
  <si>
    <t>ALCANTARILLA METALICA</t>
  </si>
  <si>
    <t>MAT000603</t>
  </si>
  <si>
    <t>CLIPS MARIPOSA CHICO # 02 X 50 UND</t>
  </si>
  <si>
    <t>MAT000604</t>
  </si>
  <si>
    <t>CLIPS MARIPOSA GIGANTE # 01</t>
  </si>
  <si>
    <t>MAT000605</t>
  </si>
  <si>
    <t>CLIPS PEQUEÑOS PLASTIFICADO DE COLORES X 100 UND</t>
  </si>
  <si>
    <t>MAT000606</t>
  </si>
  <si>
    <t>CLIPS PEQUEÑOS X 100 UND</t>
  </si>
  <si>
    <t>MAT000607</t>
  </si>
  <si>
    <t>CODO ACERO AL CARBONO DE 1 1/2" X 45° SOLDABLE SCH-40</t>
  </si>
  <si>
    <t>ACCESORIO PARA TUBERIA ACERO INOXIDABLE</t>
  </si>
  <si>
    <t>MAT000608</t>
  </si>
  <si>
    <t>CODO ACERO AL CARBONO DE 1 1/2" X 90° SOLDABLE SCH-40</t>
  </si>
  <si>
    <t>MAT000609</t>
  </si>
  <si>
    <t>CODO ACERO AL CARBONO DE 1 1/4" X 45° SOLDABLE SCH-40</t>
  </si>
  <si>
    <t>MAT000610</t>
  </si>
  <si>
    <t>CODO ACERO AL CARBONO DE 1 1/4" X 90° SOLDABLE SCH-40</t>
  </si>
  <si>
    <t>MAT000611</t>
  </si>
  <si>
    <t>CODO ACERO AL CARBONO DE 1" X 45° SOLDABLE SCH-40</t>
  </si>
  <si>
    <t>MAT000612</t>
  </si>
  <si>
    <t>CODO ACERO AL CARBONO DE 1" X 90° SOLDABLE SCH-40</t>
  </si>
  <si>
    <t>MAT000613</t>
  </si>
  <si>
    <t>CODO ACERO AL CARBONO DE 2" X 45° SOLDABLE SCH-40</t>
  </si>
  <si>
    <t>MAT000614</t>
  </si>
  <si>
    <t>CODO ACERO AL CARBONO DE 2" X 90° SOLDABLE SCH-40</t>
  </si>
  <si>
    <t>MAT000615</t>
  </si>
  <si>
    <t>CODO ACERO AL CARBONO DE 3/4" X 45° SOLDABLE SCH-40</t>
  </si>
  <si>
    <t>MAT000616</t>
  </si>
  <si>
    <t>CODO ACERO AL CARBONO DE 3/4" X 90° SOLDABLE SCH-40</t>
  </si>
  <si>
    <t>MAT000617</t>
  </si>
  <si>
    <t>CODO ACERO INOXIDABLE 1" X 90° ROSCA NPT C-304</t>
  </si>
  <si>
    <t>HGA</t>
  </si>
  <si>
    <t>MAT000618</t>
  </si>
  <si>
    <t>CODO ACERO INOXIDABLE 1/2" X 90° ROSCA NPT C-304</t>
  </si>
  <si>
    <t>MAT000619</t>
  </si>
  <si>
    <t>CODO ACERO INOXIDABLE 2" X 90° ROSCA NPT C-304</t>
  </si>
  <si>
    <t>MAT000620</t>
  </si>
  <si>
    <t>CODO ACERO INOXIDABLE 3" X 90° ROSCA NPT C-304</t>
  </si>
  <si>
    <t>MAT000621</t>
  </si>
  <si>
    <t>CODO ACERO INOXIDABLE 3/4" X 90° ROSCA NPT C-304</t>
  </si>
  <si>
    <t>MAT000622</t>
  </si>
  <si>
    <t>CODO ACERO INOXIDABLE 4" X 90° ROSCA NPT C-304</t>
  </si>
  <si>
    <t>MAT000623</t>
  </si>
  <si>
    <t>CODO FIERRO GALVANIZADO DE 1 1/2" X 45° X 150LB UL/FM</t>
  </si>
  <si>
    <t>ACCESORIO PARA TUBERIA ACERO GALVANIZADO</t>
  </si>
  <si>
    <t>MECH</t>
  </si>
  <si>
    <t>MAT000624</t>
  </si>
  <si>
    <t>CODO FIERRO GALVANIZADO DE 1 1/2" X 90° X 150LB UL/FM</t>
  </si>
  <si>
    <t>MAT000625</t>
  </si>
  <si>
    <t>CODO FIERRO GALVANIZADO DE 1'' X 90° X 150LB UL/FM</t>
  </si>
  <si>
    <t>MAT000626</t>
  </si>
  <si>
    <t>CODO FIERRO GALVANIZADO DE 1" X 45° X 150LB UL/FM</t>
  </si>
  <si>
    <t>MAT000627</t>
  </si>
  <si>
    <t>CODO FIERRO GALVANIZADO DE 1/2'' X 90° X 150LB UL/FM</t>
  </si>
  <si>
    <t>MAT000628</t>
  </si>
  <si>
    <t>CODO FIERRO GALVANIZADO DE 1/2" X 45° X 150LB UL/FM</t>
  </si>
  <si>
    <t>MAT000629</t>
  </si>
  <si>
    <t>CODO FIERRO GALVANIZADO DE 2" X 45° X 150LB UL/FM</t>
  </si>
  <si>
    <t>MAT000630</t>
  </si>
  <si>
    <t>CODO FIERRO GALVANIZADO DE 2" X 90° X 150LB UL/FM</t>
  </si>
  <si>
    <t>MAT000631</t>
  </si>
  <si>
    <t>CODO FIERRO GALVANIZADO DE 3/4" X 45° X 150LB UL/FM</t>
  </si>
  <si>
    <t>MAT000632</t>
  </si>
  <si>
    <t>CODO FIERRO GALVANIZADO DE 3/4" X 90° X 150LB UL/FM</t>
  </si>
  <si>
    <t>MAT000633</t>
  </si>
  <si>
    <t>CODO FIERRO NEGRO 1 1/2" X 45° ROSCA NPT CLASE150</t>
  </si>
  <si>
    <t>MAT000634</t>
  </si>
  <si>
    <t>CODO FIERRO NEGRO 1 1/2" X 90° ROSCA NPT CLASE150</t>
  </si>
  <si>
    <t>MAT000635</t>
  </si>
  <si>
    <t>CODO FIERRO NEGRO 1'' X 90° ROSCA NPT CLASE150</t>
  </si>
  <si>
    <t>MAT000636</t>
  </si>
  <si>
    <t>CODO FIERRO NEGRO 1" X 45° ROSCA NPT CLASE150</t>
  </si>
  <si>
    <t>MAT000637</t>
  </si>
  <si>
    <t>CODO FIERRO NEGRO 1/2'' X 90° ROSCA NPT CLASE150</t>
  </si>
  <si>
    <t>MAT000638</t>
  </si>
  <si>
    <t>CODO FIERRO NEGRO 1/2" X 45° ROSCA NPT CLASE150</t>
  </si>
  <si>
    <t>MAT000639</t>
  </si>
  <si>
    <t>CODO FIERRO NEGRO 2" X 45° ROSCA NPT CLASE150</t>
  </si>
  <si>
    <t>MAT000640</t>
  </si>
  <si>
    <t>CODO FIERRO NEGRO 2" X 90° ROSCA NPT CLASE150</t>
  </si>
  <si>
    <t>MAT000641</t>
  </si>
  <si>
    <t>CODO FIERRO NEGRO 3/4" X 45° ROSCA NPT CLASE150</t>
  </si>
  <si>
    <t>MAT000642</t>
  </si>
  <si>
    <t>CODO FIERRO NEGRO 3/4" X 90° ROSCA NPT CLASE150</t>
  </si>
  <si>
    <t>MAT000643</t>
  </si>
  <si>
    <t>CODO PVC 1 1/2" X 45° SP</t>
  </si>
  <si>
    <t>ACCESORIO PARA TUBERIA PVC</t>
  </si>
  <si>
    <t>MAT000644</t>
  </si>
  <si>
    <t>CODO PVC 1 1/2" X 90° SP</t>
  </si>
  <si>
    <t>MAT000645</t>
  </si>
  <si>
    <t>CODO PVC 1" X 45° SP</t>
  </si>
  <si>
    <t>MAT000646</t>
  </si>
  <si>
    <t>CODO PVC 1" X 90° SP</t>
  </si>
  <si>
    <t>MAT000647</t>
  </si>
  <si>
    <t>CODO PVC 1/2" X 45° SP</t>
  </si>
  <si>
    <t>MAT000648</t>
  </si>
  <si>
    <t>CODO PVC 1/2" X 90° SP</t>
  </si>
  <si>
    <t>MAT000649</t>
  </si>
  <si>
    <t>CODO PVC 2" X 45° SP</t>
  </si>
  <si>
    <t>MAT000650</t>
  </si>
  <si>
    <t>CODO PVC 2" X 90° SP</t>
  </si>
  <si>
    <t>MAT000651</t>
  </si>
  <si>
    <t>CODO PVC 3" X 45° SP</t>
  </si>
  <si>
    <t>MAT000652</t>
  </si>
  <si>
    <t>CODO PVC 3" X 90° SP</t>
  </si>
  <si>
    <t>MAT000653</t>
  </si>
  <si>
    <t>CODO PVC 3/4" X 45° SP</t>
  </si>
  <si>
    <t>MAT000654</t>
  </si>
  <si>
    <t>CODO PVC 3/4" X 90° SP</t>
  </si>
  <si>
    <t>MAT000655</t>
  </si>
  <si>
    <t>CODO PVC 4" X 45° SP</t>
  </si>
  <si>
    <t>MAT000656</t>
  </si>
  <si>
    <t>CODO PVC 4" X 90° SP</t>
  </si>
  <si>
    <t>MAT000657</t>
  </si>
  <si>
    <t>CODO PVC SAL 2" X 45° P/ DESAGUE</t>
  </si>
  <si>
    <t>MAT000658</t>
  </si>
  <si>
    <t>CODO PVC SAL 2" X 90° P/ DESAGUE</t>
  </si>
  <si>
    <t>MAT000659</t>
  </si>
  <si>
    <t>CODO PVC SAL 3" X 45° P/ DESAGUE</t>
  </si>
  <si>
    <t>MAT000660</t>
  </si>
  <si>
    <t>CODO PVC SAL 3" X 90° P/ DESAGUE</t>
  </si>
  <si>
    <t>MAT000661</t>
  </si>
  <si>
    <t>CODO PVC SAL 4" X 45° P/ DESAGUE</t>
  </si>
  <si>
    <t>MAT000662</t>
  </si>
  <si>
    <t>CODO PVC SAL 4" X 90° P/ DESAGUE</t>
  </si>
  <si>
    <t>MAT000663</t>
  </si>
  <si>
    <t>COMPRESA FRIA INSTANTANEA</t>
  </si>
  <si>
    <t>MAT000664</t>
  </si>
  <si>
    <t>CONCRETO FACIL FC 100 KG/CM2 X 40KG</t>
  </si>
  <si>
    <t>QUICKRETE</t>
  </si>
  <si>
    <t>MAT000665</t>
  </si>
  <si>
    <t>CONCRETO FACIL FC 210 KG/CM2 X 40KG</t>
  </si>
  <si>
    <t>MAT000666</t>
  </si>
  <si>
    <t>CONDUCTOR CU DESNUDO, CABLEADO 10 MM2 (8 AWG), TEMPLE BLANDO</t>
  </si>
  <si>
    <t>CONDUCTOR DE COBRE (DESNUDO)</t>
  </si>
  <si>
    <t>MAT000667</t>
  </si>
  <si>
    <t>CONDUCTOR CU DESNUDO, CABLEADO 120 MM2 (4/0 AWG), 19 HILOS TEMPLE BLANDO</t>
  </si>
  <si>
    <t>MAT000668</t>
  </si>
  <si>
    <t>CONDUCTOR CU DESNUDO, CABLEADO 16 MM2, 7 HILOS TEMPLE BLANDO</t>
  </si>
  <si>
    <t>MAT000669</t>
  </si>
  <si>
    <t>CONDUCTOR CU DESNUDO, CABLEADO 25 MM2, 7 HILOS TEMPLE BLANDO</t>
  </si>
  <si>
    <t>MAT000670</t>
  </si>
  <si>
    <t>CONDUCTOR CU DESNUDO, CABLEADO 35 MM2, 7 HILOS TEMPLE BLANDO</t>
  </si>
  <si>
    <t>MAT000671</t>
  </si>
  <si>
    <t>CONDUCTOR CU DESNUDO, CABLEADO 50 MM2 (1/0 AWG), 7 HILOS TEMPLE BLANDO</t>
  </si>
  <si>
    <t>MAT000672</t>
  </si>
  <si>
    <t>CONDUCTOR CU DESNUDO, CABLEADO 50 MM2, 19 HILOS TEMPLE BLANDO</t>
  </si>
  <si>
    <t>MAT000673</t>
  </si>
  <si>
    <t>CONDUCTOR CU DESNUDO, CABLEADO 70 MM2 (2/0 AWG), 19 HILOS TEMPLE BLANDO</t>
  </si>
  <si>
    <t>MAT000674</t>
  </si>
  <si>
    <t>CONDUCTOR CU DESNUDO, CABLEADO 95 MM2 (3/0 AWG), 19 HILOS TEMPLE BLANDO</t>
  </si>
  <si>
    <t>MAT000675</t>
  </si>
  <si>
    <t>CONECTOR CURVO 45° HERMETICO PARA TUBERIA FLEXIBLE 1 1/2" CON FORRO DE PVC</t>
  </si>
  <si>
    <t>MAT000676</t>
  </si>
  <si>
    <t>CONECTOR CURVO 45° HERMETICO PARA TUBERIA FLEXIBLE 1 1/2" LIQUID TIGHT</t>
  </si>
  <si>
    <t>MAT000677</t>
  </si>
  <si>
    <t>CONECTOR CURVO 45° HERMETICO PARA TUBERIA FLEXIBLE 1" CON FORRO DE PVC</t>
  </si>
  <si>
    <t>MAT000678</t>
  </si>
  <si>
    <t>CONECTOR CURVO 45° HERMETICO PARA TUBERIA FLEXIBLE 1" LIQUID TIGHT</t>
  </si>
  <si>
    <t>MAT000679</t>
  </si>
  <si>
    <t>CONECTOR CURVO 45° HERMETICO PARA TUBERIA FLEXIBLE 1/2" CON FORRO DE PVC</t>
  </si>
  <si>
    <t>MAT000680</t>
  </si>
  <si>
    <t>CONECTOR CURVO 45° HERMETICO PARA TUBERIA FLEXIBLE 1/2" LIQUID TIGHT</t>
  </si>
  <si>
    <t>MAT000681</t>
  </si>
  <si>
    <t>CONECTOR CURVO 45° HERMETICO PARA TUBERIA FLEXIBLE 2" CON FORRO DE PVC</t>
  </si>
  <si>
    <t>MAT000682</t>
  </si>
  <si>
    <t>CONECTOR CURVO 45° HERMETICO PARA TUBERIA FLEXIBLE 2" LIQUID TIGHT</t>
  </si>
  <si>
    <t>MAT000683</t>
  </si>
  <si>
    <t>CONECTOR CURVO 45° HERMETICO PARA TUBERIA FLEXIBLE 3/4" CON FORRO DE PVC</t>
  </si>
  <si>
    <t>MAT000684</t>
  </si>
  <si>
    <t>CONECTOR CURVO 45° HERMETICO PARA TUBERIA FLEXIBLE 3/4" LIQUID TIGHT</t>
  </si>
  <si>
    <t>MAT000685</t>
  </si>
  <si>
    <t>CONECTOR CURVO 90° HERMETICO PARA TUBERIA FLEXIBLE 1 1/2" CON FORRO DE PVC</t>
  </si>
  <si>
    <t>MAT000686</t>
  </si>
  <si>
    <t>CONECTOR CURVO 90° HERMETICO PARA TUBERIA FLEXIBLE 1 1/2" LIQUID TIGHT</t>
  </si>
  <si>
    <t>MAT000687</t>
  </si>
  <si>
    <t>CONECTOR CURVO 90° HERMETICO PARA TUBERIA FLEXIBLE 1" CON FORRO DE PVC</t>
  </si>
  <si>
    <t>MAT000688</t>
  </si>
  <si>
    <t>CONECTOR CURVO 90° HERMETICO PARA TUBERIA FLEXIBLE 1" LIQUID TIGHT</t>
  </si>
  <si>
    <t>MAT000689</t>
  </si>
  <si>
    <t>CONECTOR CURVO 90° HERMETICO PARA TUBERIA FLEXIBLE 1/2" CON FORRO DE PVC</t>
  </si>
  <si>
    <t>MAT000690</t>
  </si>
  <si>
    <t>CONECTOR CURVO 90° HERMETICO PARA TUBERIA FLEXIBLE 1/2" LIQUID TIGHT</t>
  </si>
  <si>
    <t>MAT000691</t>
  </si>
  <si>
    <t>CONECTOR CURVO 90° HERMETICO PARA TUBERIA FLEXIBLE 2" CON FORRO DE PVC</t>
  </si>
  <si>
    <t>MAT000692</t>
  </si>
  <si>
    <t>CONECTOR CURVO 90° HERMETICO PARA TUBERIA FLEXIBLE 2" LIQUID TIGHT</t>
  </si>
  <si>
    <t>MAT000693</t>
  </si>
  <si>
    <t>CONECTOR CURVO 90° HERMETICO PARA TUBERIA FLEXIBLE 3/4" CON FORRO DE PVC</t>
  </si>
  <si>
    <t>MAT000694</t>
  </si>
  <si>
    <t>CONECTOR CURVO 90° HERMETICO PARA TUBERIA FLEXIBLE 3/4" LIQUID TIGHT</t>
  </si>
  <si>
    <t>MAT000695</t>
  </si>
  <si>
    <t>CONECTOR DE ANCLAJE DE 1 M C/ ANILLO EN "D"</t>
  </si>
  <si>
    <t>MAT000696</t>
  </si>
  <si>
    <t>CONECTOR HEMBRA PARA MAQUINA DE SOLDAR 50-70MM2</t>
  </si>
  <si>
    <t>MAT000697</t>
  </si>
  <si>
    <t>CONECTOR RAPIDO O EMPALME DE RESORTE N° 10-12AWG COLOR AMARILLO</t>
  </si>
  <si>
    <t>KLC</t>
  </si>
  <si>
    <t>MAT000698</t>
  </si>
  <si>
    <t>CONECTOR RECTO HERMETICO PARA TUBERIA FLEXIBLE 1 1/2" CON FORRO DE PVC</t>
  </si>
  <si>
    <t>MAT000699</t>
  </si>
  <si>
    <t>CONECTOR RECTO HERMETICO PARA TUBERIA FLEXIBLE 1 1/2" LIQUID-TIGHT</t>
  </si>
  <si>
    <t>MAT000700</t>
  </si>
  <si>
    <t>CONECTOR RECTO HERMETICO PARA TUBERIA FLEXIBLE 1" CON FORRO DE PVC</t>
  </si>
  <si>
    <t>MAT000701</t>
  </si>
  <si>
    <t>CONECTOR RECTO HERMETICO PARA TUBERIA FLEXIBLE 1" LIQUID-TIGHT</t>
  </si>
  <si>
    <t>MAT000702</t>
  </si>
  <si>
    <t>CONECTOR RECTO HERMETICO PARA TUBERIA FLEXIBLE 1/2" CON FORRO DE PVC</t>
  </si>
  <si>
    <t>MAT000703</t>
  </si>
  <si>
    <t>CONECTOR RECTO HERMETICO PARA TUBERIA FLEXIBLE 1/2" LIQUID-TIGHT</t>
  </si>
  <si>
    <t>MAT000704</t>
  </si>
  <si>
    <t>CONECTOR RECTO HERMETICO PARA TUBERIA FLEXIBLE 2" CON FORRO DE PVC</t>
  </si>
  <si>
    <t>MAT000705</t>
  </si>
  <si>
    <t>CONECTOR RECTO HERMETICO PARA TUBERIA FLEXIBLE 2" LIQUID-TIGHT</t>
  </si>
  <si>
    <t>MAT000706</t>
  </si>
  <si>
    <t>CONECTOR RECTO HERMETICO PARA TUBERIA FLEXIBLE 3" LIQUID-TIGHT</t>
  </si>
  <si>
    <t>MAT000707</t>
  </si>
  <si>
    <t>CONECTOR RECTO HERMETICO PARA TUBERIA FLEXIBLE 3/4" CON FORRO DE PVC</t>
  </si>
  <si>
    <t>MAT000708</t>
  </si>
  <si>
    <t>CONECTOR RECTO HERMETICO PARA TUBERIA FLEXIBLE 3/4" LIQUID-TIGHT</t>
  </si>
  <si>
    <t>MAT000709</t>
  </si>
  <si>
    <t>CONECTOR TIERRA DE COBRE TIPO "AB" VARILLA DE 3/4"</t>
  </si>
  <si>
    <t>MAT000710</t>
  </si>
  <si>
    <t>CONECTOR TIERRA P/CABLE.2/0-250MCM A VAR 5/8-3/4" GAR6429</t>
  </si>
  <si>
    <t>BURNDY</t>
  </si>
  <si>
    <t>MAT000711</t>
  </si>
  <si>
    <t>CONECTOR TIERRA P/CABLE.4-2/0AWG A VAR 5/8-3/4" GAR6426</t>
  </si>
  <si>
    <t>MAT000712</t>
  </si>
  <si>
    <t>CONECTOR UNION CODO DE 90° PARA TUBING DE 1/2" NPT A 1/2" OD</t>
  </si>
  <si>
    <t>ACCESORIO PARA TUBERIA DE ACERO INOX</t>
  </si>
  <si>
    <t>WADING-LOK</t>
  </si>
  <si>
    <t>MAT000713</t>
  </si>
  <si>
    <t>CONECTOR UNION CODO DE 90° PARA TUBING DE 1/2" OD A 1/2" OD</t>
  </si>
  <si>
    <t>MAT000714</t>
  </si>
  <si>
    <t>CONECTOR UNION CODO DE 90° PARA TUBING DE 1/4" NPT A 1/4" OD</t>
  </si>
  <si>
    <t>MAT000715</t>
  </si>
  <si>
    <t>CONECTOR UNION CODO HEMBRA DE 90° PARA TUBING DE 1/4" NPT A 1/4" OD</t>
  </si>
  <si>
    <t>MAT000716</t>
  </si>
  <si>
    <t>CONECTOR UNION RACOR PASAMURO PARA TUBING DE 3/8" OD A 3/8" OD</t>
  </si>
  <si>
    <t>MAT000717</t>
  </si>
  <si>
    <t>CONECTOR UNION RECTO PARA TUBING DE 1/2" OD A 1/2" NPT</t>
  </si>
  <si>
    <t>MAT000718</t>
  </si>
  <si>
    <t>CONECTOR UNION RECTO PARA TUBING DE 1/2" OD A 1/2" OD</t>
  </si>
  <si>
    <t>MAT000719</t>
  </si>
  <si>
    <t>CONECTOR UNION RECTO PARA TUBING DE 1/2" OD A 1/4" NPT</t>
  </si>
  <si>
    <t>MAT000720</t>
  </si>
  <si>
    <t>CONECTOR UNION RECTO PARA TUBING DE 1/4" OD A 1/4" NPT</t>
  </si>
  <si>
    <t>MAT000721</t>
  </si>
  <si>
    <t>CONECTOR UNION TEE PARA TUBING DE 1/2" OD A 1/2" OD</t>
  </si>
  <si>
    <t>MAT000722</t>
  </si>
  <si>
    <t>CONO DE SEÑALIZACIÓN COLOR NARANJA 36"</t>
  </si>
  <si>
    <t>MAT000723</t>
  </si>
  <si>
    <t>CONTRATUERCA PARA TUBO CONDUIT DE 1 1/2"</t>
  </si>
  <si>
    <t>MAT000724</t>
  </si>
  <si>
    <t>CONTRATUERCA PARA TUBO CONDUIT DE 1"</t>
  </si>
  <si>
    <t>MAT000725</t>
  </si>
  <si>
    <t>CONTRATUERCA PARA TUBO CONDUIT DE 1/2"</t>
  </si>
  <si>
    <t>MAT000726</t>
  </si>
  <si>
    <t>CONTRATUERCA PARA TUBO CONDUIT DE 2"</t>
  </si>
  <si>
    <t>MAT000727</t>
  </si>
  <si>
    <t>CONTRATUERCA PARA TUBO CONDUIT DE 3"</t>
  </si>
  <si>
    <t>MAT000728</t>
  </si>
  <si>
    <t>CONTRATUERCA PARA TUBO CONDUIT DE 3/4"</t>
  </si>
  <si>
    <t>MAT000729</t>
  </si>
  <si>
    <t>CONTRATUERCA PARA TUBO CONDUIT DE 4"</t>
  </si>
  <si>
    <t>MAT000730</t>
  </si>
  <si>
    <t>CORDEL DE PESCAR VERDE TRANSPARENTE 0.70 (HILO DE PESCAR) X 100M</t>
  </si>
  <si>
    <t>ARATY</t>
  </si>
  <si>
    <t>MAT000731</t>
  </si>
  <si>
    <t>CORDÓN/SALCHICHA ABSORVENTE DE 3"X8'</t>
  </si>
  <si>
    <t>MAT000732</t>
  </si>
  <si>
    <t>CORRECTOR LIQUID PAPER</t>
  </si>
  <si>
    <t>ARTESCO</t>
  </si>
  <si>
    <t>MAT000733</t>
  </si>
  <si>
    <t>COSTAL DE RAFIA DE 50 KG</t>
  </si>
  <si>
    <t>MAT000734</t>
  </si>
  <si>
    <t>CREMA ANTIBIÓTICO TÓPICO</t>
  </si>
  <si>
    <t>MAT000735</t>
  </si>
  <si>
    <t>CREMA PARA QUEMADURAS</t>
  </si>
  <si>
    <t>MAT000736</t>
  </si>
  <si>
    <t>CUADERNO ANILLADO DE 200 HOJAS LOGO: STP</t>
  </si>
  <si>
    <t>MAT000737</t>
  </si>
  <si>
    <t>CUADERNO DE CARGO X 200H</t>
  </si>
  <si>
    <t>MAT000738</t>
  </si>
  <si>
    <t>CUCHILLA DE OFICINA</t>
  </si>
  <si>
    <t>MAT000739</t>
  </si>
  <si>
    <t>CURADOR DE CONCRETO MEMBRANIL REFORZADO X 5 GLN</t>
  </si>
  <si>
    <t>MAT000740</t>
  </si>
  <si>
    <t>CURADOR DE CONCRETO SIKA ANTISOL S X 20 KG</t>
  </si>
  <si>
    <t>MAT000741</t>
  </si>
  <si>
    <t>CURITAS ADHESIVAS CureBand VENDITAS ESTÁNDAR X 100 UND</t>
  </si>
  <si>
    <t>CURE BAND</t>
  </si>
  <si>
    <t>MAT000742</t>
  </si>
  <si>
    <t>CURVA CONDUIT DE 1 1/2" X 90°</t>
  </si>
  <si>
    <t>MAT000743</t>
  </si>
  <si>
    <t>CURVA CONDUIT DE 1" X 90°</t>
  </si>
  <si>
    <t>MAT000744</t>
  </si>
  <si>
    <t>CURVA CONDUIT DE 1/2" X 90°</t>
  </si>
  <si>
    <t>MAT000745</t>
  </si>
  <si>
    <t>CURVA CONDUIT DE 2" X 90°</t>
  </si>
  <si>
    <t>MAT000746</t>
  </si>
  <si>
    <t>CURVA CONDUIT DE 3" X 90°</t>
  </si>
  <si>
    <t>MAT000747</t>
  </si>
  <si>
    <t>CURVA CONDUIT DE 3/4" X 90°</t>
  </si>
  <si>
    <t>MAT000748</t>
  </si>
  <si>
    <t>CURVA CONDUIT DE 4" X 90°</t>
  </si>
  <si>
    <t>MAT000749</t>
  </si>
  <si>
    <t>CURVA PVC 1 1/2" X 45° SAP</t>
  </si>
  <si>
    <t>MAT000750</t>
  </si>
  <si>
    <t>CURVA PVC 1 1/2" X 90° SAP</t>
  </si>
  <si>
    <t>MAT000751</t>
  </si>
  <si>
    <t>CURVA PVC 1" X 45° SAP</t>
  </si>
  <si>
    <t>MAT000752</t>
  </si>
  <si>
    <t>CURVA PVC 1" X 90° SAP</t>
  </si>
  <si>
    <t>MAT000753</t>
  </si>
  <si>
    <t>CURVA PVC 1/2" X 45° SAP</t>
  </si>
  <si>
    <t>MAT000754</t>
  </si>
  <si>
    <t>CURVA PVC 1/2" X 90° SAP</t>
  </si>
  <si>
    <t>MAT000755</t>
  </si>
  <si>
    <t>CURVA PVC 2" X 45° SAP</t>
  </si>
  <si>
    <t>MAT000756</t>
  </si>
  <si>
    <t>CURVA PVC 2" X 90° SAP</t>
  </si>
  <si>
    <t>MAT000757</t>
  </si>
  <si>
    <t>CURVA PVC 3" X 45° SAP</t>
  </si>
  <si>
    <t>MAT000758</t>
  </si>
  <si>
    <t>CURVA PVC 3" X 90° SAP</t>
  </si>
  <si>
    <t>MAT000759</t>
  </si>
  <si>
    <t>CURVA PVC 3/4" X 45° SAP</t>
  </si>
  <si>
    <t>MAT000760</t>
  </si>
  <si>
    <t>CURVA PVC 3/4" X 90° SAP</t>
  </si>
  <si>
    <t>MAT000761</t>
  </si>
  <si>
    <t>CURVA PVC 4" X 45° SAP</t>
  </si>
  <si>
    <t>MAT000762</t>
  </si>
  <si>
    <t>CURVA PVC 4" X 90° SAP</t>
  </si>
  <si>
    <t>MAT000763</t>
  </si>
  <si>
    <t>CURVA PVC 6" X 90° SAP</t>
  </si>
  <si>
    <t>MAT000764</t>
  </si>
  <si>
    <t>CURVA PVC SAP A CAJA DE 1 1/2" X 90°</t>
  </si>
  <si>
    <t>MAT000765</t>
  </si>
  <si>
    <t>CURVA PVC SAP A CAJA DE 1" X 90°</t>
  </si>
  <si>
    <t>MAT000766</t>
  </si>
  <si>
    <t>CURVA PVC SAP A CAJA DE 1/2" X 90°</t>
  </si>
  <si>
    <t>MAT000767</t>
  </si>
  <si>
    <t>CURVA PVC SAP A CAJA DE 2" X 90°</t>
  </si>
  <si>
    <t>MAT000768</t>
  </si>
  <si>
    <t>CURVA PVC SAP A CAJA DE 3/4" X 90°</t>
  </si>
  <si>
    <t>MAT000769</t>
  </si>
  <si>
    <t>CURVA PVC SCH 40 1″ 90°</t>
  </si>
  <si>
    <t>MAT000770</t>
  </si>
  <si>
    <t>CURVA PVC SCH 40 1-1/2″ 90°</t>
  </si>
  <si>
    <t>MAT000771</t>
  </si>
  <si>
    <t>CURVA PVC SCH 40 2″ 90°</t>
  </si>
  <si>
    <t>MAT000772</t>
  </si>
  <si>
    <t>CURVA PVC SCH 40 3/4″ 90°</t>
  </si>
  <si>
    <t>MAT000773</t>
  </si>
  <si>
    <t>CURVA PVC SCH 40 3″ 90°</t>
  </si>
  <si>
    <t>MAT000774</t>
  </si>
  <si>
    <t>CURVA PVC SCH 40 4″ 90°</t>
  </si>
  <si>
    <t>MAT000775</t>
  </si>
  <si>
    <t>CURVA PVC SCH 40 6" 90°</t>
  </si>
  <si>
    <t>MAT000776</t>
  </si>
  <si>
    <t>DESENGRASANTE ECOLOGICO</t>
  </si>
  <si>
    <t>THINNER/DISOLVENTE</t>
  </si>
  <si>
    <t>ULTRA</t>
  </si>
  <si>
    <t>MAT000777</t>
  </si>
  <si>
    <t>DESINFECTANTE DE 3.7 L</t>
  </si>
  <si>
    <t>SAPOLIO</t>
  </si>
  <si>
    <t>MAT000778</t>
  </si>
  <si>
    <t>DISCO DE CORTE DE 14" PARA MADERA</t>
  </si>
  <si>
    <t>DISCO ABRASIVO, CORTE, DESBASTE</t>
  </si>
  <si>
    <t>IRWIN</t>
  </si>
  <si>
    <t>MAT000779</t>
  </si>
  <si>
    <t>DISCO DE CORTE DE 14” P/ TRONZADORA</t>
  </si>
  <si>
    <t>DEWALT</t>
  </si>
  <si>
    <t>MAT000780</t>
  </si>
  <si>
    <t>DISCO DE CORTE DE 4 1/2" DIAMANTADO PARA CONCRETO</t>
  </si>
  <si>
    <t>MAT000781</t>
  </si>
  <si>
    <t>DISCO DE CORTE DE 4 1/2" PARA MADERA</t>
  </si>
  <si>
    <t>MAT000782</t>
  </si>
  <si>
    <t>DISCO DE CORTE DE 7" DIAMANTADO PARA CONCRETO</t>
  </si>
  <si>
    <t>MAT000783</t>
  </si>
  <si>
    <t>DISCO DE CORTE DE 7" PARA MADERA</t>
  </si>
  <si>
    <t>MAT000784</t>
  </si>
  <si>
    <t>DISCO DE CORTE DE 9" DIAMANTADO PARA CONCRETO</t>
  </si>
  <si>
    <t>MAT000785</t>
  </si>
  <si>
    <t>DISCO DE CORTE INOX 4 1/2" X 1/8" X 7/8</t>
  </si>
  <si>
    <t>NORTON</t>
  </si>
  <si>
    <t>MAT000786</t>
  </si>
  <si>
    <t>DISCO DE CORTE INOX 7" X 1/8" X 7/8</t>
  </si>
  <si>
    <t>MAT000787</t>
  </si>
  <si>
    <t>DISCO DE CORTE METAL 4 1/2" X 1/8" X 7/8</t>
  </si>
  <si>
    <t>MAT000788</t>
  </si>
  <si>
    <t>DISCO DE CORTE METAL 4 1/2" X 3/64" X 7/8"</t>
  </si>
  <si>
    <t>MAT000789</t>
  </si>
  <si>
    <t>DISCO DE CORTE METAL 7" X 1/8" X 7/8"</t>
  </si>
  <si>
    <t>MAT000790</t>
  </si>
  <si>
    <t>DISCO DE DESBASTE METAL 4 1/2" X 1/4" X 7/8"</t>
  </si>
  <si>
    <t>MAT000791</t>
  </si>
  <si>
    <t>DISCO DE DESBASTE METAL 7" X 1/4" X 7/8"</t>
  </si>
  <si>
    <t>MAT000792</t>
  </si>
  <si>
    <t>DISCO POLIFAN 4 1/2" GRANO 100</t>
  </si>
  <si>
    <t>MAT000793</t>
  </si>
  <si>
    <t>DISCO POLIFAN 4 1/2" GRANO 40</t>
  </si>
  <si>
    <t>MAT000794</t>
  </si>
  <si>
    <t>DISCO POLIFAN 4 1/2" GRANO 60</t>
  </si>
  <si>
    <t>MAT000795</t>
  </si>
  <si>
    <t>DISCO POLIFAN 4 1/2" GRANO 80</t>
  </si>
  <si>
    <t>MAT000796</t>
  </si>
  <si>
    <t>DISCO TIPO COPA DIAMANTADO DOBLE SEGMENTO PARA CONCRETO DE 4 1/2"</t>
  </si>
  <si>
    <t>MAT000797</t>
  </si>
  <si>
    <t>DISCO TIPO COPA DIAMANTADO DOBLE SEGMENTO PARA CONCRETO DE 7"</t>
  </si>
  <si>
    <t>MAT000798</t>
  </si>
  <si>
    <t>DISOLVENTE EPOXICO</t>
  </si>
  <si>
    <t>ANYPSA</t>
  </si>
  <si>
    <t>MAT000799</t>
  </si>
  <si>
    <t>DISOLVENTE PARA CHEMALAC X 1 GLN</t>
  </si>
  <si>
    <t>MAT000800</t>
  </si>
  <si>
    <t>DISPENSADOR DE CINTA PEQUEÑA DE 3/4"</t>
  </si>
  <si>
    <t>MAT000801</t>
  </si>
  <si>
    <t>DISPENSADOR TIPO SPRAY 50 ML</t>
  </si>
  <si>
    <t>MAT000802</t>
  </si>
  <si>
    <t>DISPENSADOR TIPO SPRAY 500 ML</t>
  </si>
  <si>
    <t>MAT000803</t>
  </si>
  <si>
    <t>DISPOSITIVO DE BLOQUEO C/ CABLE AJUSTABLE C/REVESTIMIENTO CABLE DE 1.8 M</t>
  </si>
  <si>
    <t>MAT000804</t>
  </si>
  <si>
    <t>DISPOSITIVO DE BLOQUEO PARA VALVULA MODELO: BS07A</t>
  </si>
  <si>
    <t>MAT000805</t>
  </si>
  <si>
    <t>DISPOSITIVO DE BLOQUEO UNIVERSAL PARA INTERRUPTOR TERMOMAGNETICO</t>
  </si>
  <si>
    <t>MAT000806</t>
  </si>
  <si>
    <t>ELECTRODO TUNGSTENO SOLDADURA TIG WT20 EWTH-2 1/16” X 7” (1.6MMX175MM) X 10 UND</t>
  </si>
  <si>
    <t>CUTWELD</t>
  </si>
  <si>
    <t>MAT000807</t>
  </si>
  <si>
    <t>ELECTRODO DE TUNGSTENO PURO DE 3/32" X 7" (GREEN)</t>
  </si>
  <si>
    <t>MAT000808</t>
  </si>
  <si>
    <t>EMPALME TUBULAR DE 10-12-AWG COLOR AMARILLO X 100 UND</t>
  </si>
  <si>
    <t>MAT000809</t>
  </si>
  <si>
    <t>EMPALME TUBULAR DE 18-AWG COLOR ROJO X 100 UND</t>
  </si>
  <si>
    <t>MAT000810</t>
  </si>
  <si>
    <t>EMPAQUETADURA DE ASBESTO PARA BRIDA DE 1"</t>
  </si>
  <si>
    <t>EMPAQUETADURA</t>
  </si>
  <si>
    <t>MAT000811</t>
  </si>
  <si>
    <t>EMPAQUETADURA DE ASBESTO PARA BRIDA DE 2"</t>
  </si>
  <si>
    <t>MAT000812</t>
  </si>
  <si>
    <t>EMPAQUETADURA DE ASBESTO PARA BRIDA DE 3"</t>
  </si>
  <si>
    <t>MAT000813</t>
  </si>
  <si>
    <t>EMPAQUETADURA DE ASBESTO PARA BRIDA DE 4"</t>
  </si>
  <si>
    <t>MAT000814</t>
  </si>
  <si>
    <t>EMPAQUETADURA DE JEBE PARA BRIDA DE 1"</t>
  </si>
  <si>
    <t>MAT000815</t>
  </si>
  <si>
    <t>EMPAQUETADURA DE JEBE PARA BRIDA DE 2"</t>
  </si>
  <si>
    <t>MAT000816</t>
  </si>
  <si>
    <t>EMPAQUETADURA DE JEBE PARA BRIDA DE 3"</t>
  </si>
  <si>
    <t>MAT000817</t>
  </si>
  <si>
    <t>EMPAQUETADURA DE JEBE PARA BRIDA DE 4"</t>
  </si>
  <si>
    <t>MAT000818</t>
  </si>
  <si>
    <t xml:space="preserve">ENCHUFE 16A 2P+T 250V AZUL 6H IP44 </t>
  </si>
  <si>
    <t>MAT000819</t>
  </si>
  <si>
    <t xml:space="preserve">ENCHUFE 32A 2P+T 250V AZUL 6H IP44 </t>
  </si>
  <si>
    <t>MAT000820</t>
  </si>
  <si>
    <t xml:space="preserve">ENCHUFE 32A 3P+T 250V AZUL 6H IP67 </t>
  </si>
  <si>
    <t>MAT000821</t>
  </si>
  <si>
    <t xml:space="preserve">ENCHUFE AEREO 32AMP 3P+N+T 415V ROJO 6H IP67 </t>
  </si>
  <si>
    <t>MAT000822</t>
  </si>
  <si>
    <t>ENCHUFE AEREO 32AMP 3P+T 415V ROJO 6H IP67</t>
  </si>
  <si>
    <t>MAT000823</t>
  </si>
  <si>
    <t>ENCHUFE INDUST. 3X60A+T 600V, HEAVY DUTY NEMA 4, UL MODELO: APJ6485</t>
  </si>
  <si>
    <t>CROUSE HINDS</t>
  </si>
  <si>
    <t>MAT000824</t>
  </si>
  <si>
    <t>ENCHUFE 2P+T 15A 125V PVC COLOR AMARILLO</t>
  </si>
  <si>
    <t>LEVITON</t>
  </si>
  <si>
    <t>MAT000825</t>
  </si>
  <si>
    <t>ENCHUFE PLANO 2X20A+T 250V NEMA 6-20P PVC AMARILLO</t>
  </si>
  <si>
    <t>MAT000826</t>
  </si>
  <si>
    <t>ENGRAPADOR 25H M-526 C/ SACAGRAPA NEGRO</t>
  </si>
  <si>
    <t>MAT000827</t>
  </si>
  <si>
    <t>ENGRAPADOR M-634</t>
  </si>
  <si>
    <t>MAT000828</t>
  </si>
  <si>
    <t>ENGRAPADOR TIPO ALICATE PLATEADO</t>
  </si>
  <si>
    <t>MAT000829</t>
  </si>
  <si>
    <t>ESCOBA DE NYLON CON MANGO DE ALUMINIO</t>
  </si>
  <si>
    <t>HUDE</t>
  </si>
  <si>
    <t>MAT000830</t>
  </si>
  <si>
    <t>ESCOBA DE NYLON CON MANGO DE MADERA</t>
  </si>
  <si>
    <t>MAT000831</t>
  </si>
  <si>
    <t>ESCOBA PEQUEÑA DE PLASTICO</t>
  </si>
  <si>
    <t>MAT000832</t>
  </si>
  <si>
    <t>ESCOBILLA CIRCULAR FIERRO TRENZADO P/ESMERIL TIPO: COPA DE 4 1/2"</t>
  </si>
  <si>
    <t>ESCOBILLA</t>
  </si>
  <si>
    <t>PEQUI</t>
  </si>
  <si>
    <t>MAT000833</t>
  </si>
  <si>
    <t>ESCOBILLA CIRCULAR FIERRO TRENZADO P/ESMERIL TIPO: COPA DE 7"</t>
  </si>
  <si>
    <t>MAT000834</t>
  </si>
  <si>
    <t>ESCOBILLA CIRCULAR FIERRO TRENZADO P/ESMERIL TIPO: PLANA 4 1/2"</t>
  </si>
  <si>
    <t>MAT000835</t>
  </si>
  <si>
    <t>ESCOBILLA CIRCULAR FIERRO TRENZADO P/ESMERIL TIPO: PLANA 7"</t>
  </si>
  <si>
    <t>MAT000836</t>
  </si>
  <si>
    <t>ESCOBILLA DE ACERO 3 X 11 C/ MANGO DE MADERA</t>
  </si>
  <si>
    <t>BROCE</t>
  </si>
  <si>
    <t>MAT000837</t>
  </si>
  <si>
    <t>ESCOBILLA DE LAVAR ROPA</t>
  </si>
  <si>
    <t>MAT000838</t>
  </si>
  <si>
    <t>ESLINGA DE POLYESTER DE 1" X 1 M</t>
  </si>
  <si>
    <t>ESLINGA DE NYLON</t>
  </si>
  <si>
    <t>BUFFALO SLING</t>
  </si>
  <si>
    <t>MAT000839</t>
  </si>
  <si>
    <t>ESLINGA DE POLYESTER DE 1" X 2 M</t>
  </si>
  <si>
    <t>MAT000840</t>
  </si>
  <si>
    <t>ESLINGA DE POLYESTER DE 2" X 1 M</t>
  </si>
  <si>
    <t>MAT000841</t>
  </si>
  <si>
    <t>ESLINGA DE POLYESTER DE 2" X 2 M</t>
  </si>
  <si>
    <t>MAT000842</t>
  </si>
  <si>
    <t>ESLINGA DE POLYESTER DE 2" X 3 M</t>
  </si>
  <si>
    <t>MAT000843</t>
  </si>
  <si>
    <t>ESLINGA DE POLYESTER DE 2" X 4 M</t>
  </si>
  <si>
    <t>MAT000844</t>
  </si>
  <si>
    <t>ESLINGA DE POLYESTER DE 2" X 6 M</t>
  </si>
  <si>
    <t>MAT000845</t>
  </si>
  <si>
    <t>ESLINGA DE POLYESTER DE 3" X 1 M</t>
  </si>
  <si>
    <t>MAT000846</t>
  </si>
  <si>
    <t>ESLINGA DE POLYESTER DE 3" X 2 M</t>
  </si>
  <si>
    <t>MAT000847</t>
  </si>
  <si>
    <t>ESLINGA DE POLYESTER DE 3" X 3 M</t>
  </si>
  <si>
    <t>MAT000848</t>
  </si>
  <si>
    <t>ESLINGA DE POLYESTER DE 3" X 4 M</t>
  </si>
  <si>
    <t>MAT000849</t>
  </si>
  <si>
    <t>ESLINGA DE POLYESTER DE 3" X 6 M</t>
  </si>
  <si>
    <t>MAT000850</t>
  </si>
  <si>
    <t>ESLINGA DE POLYESTER DE 4" X 4 M</t>
  </si>
  <si>
    <t>MAT000851</t>
  </si>
  <si>
    <t>ESLINGA DE POLYESTER DE 4" X 6 M</t>
  </si>
  <si>
    <t>MAT000852</t>
  </si>
  <si>
    <t>ESPARADRAPO DE 1/2"</t>
  </si>
  <si>
    <t>MAT000853</t>
  </si>
  <si>
    <t>ESPARRAGO A°G° DE 1/2" X 1 M</t>
  </si>
  <si>
    <t>PERNO CON TUERCA DE ACERO GALVANIZADO</t>
  </si>
  <si>
    <t>MAT000854</t>
  </si>
  <si>
    <t>ESPARRAGO A°G° DE 3/4" X 1 M</t>
  </si>
  <si>
    <t>MAT000855</t>
  </si>
  <si>
    <t>ESPARRAGO A°G° DE 3/8" X 1.8 M</t>
  </si>
  <si>
    <t>MAT000856</t>
  </si>
  <si>
    <t>ESPARRAGO A°G° DE 5/8" X 1 M</t>
  </si>
  <si>
    <t>MAT000857</t>
  </si>
  <si>
    <t>ESPARRAGO ACERO NEGRO B7 ESTRUCTURAL A 325 DE 1 11/2" X 1 M</t>
  </si>
  <si>
    <t>PERNO CON TUERCA DE ACERO NEGRO</t>
  </si>
  <si>
    <t>MAT000858</t>
  </si>
  <si>
    <t>ESPARRAGO ACERO NEGRO B7 ESTRUCTURAL A 325 DE 3/4" X 1 M</t>
  </si>
  <si>
    <t>MAT000859</t>
  </si>
  <si>
    <t>ESPARRAGO ACERO NEGRO B7 ESTRUCTURAL A 325 DE 3/8" X 1 M</t>
  </si>
  <si>
    <t>MAT000860</t>
  </si>
  <si>
    <t>ESPARRAGO ACERO NEGRO B7 ESTRUCTURAL A 325 DE 5/8" X 1 M</t>
  </si>
  <si>
    <t>MAT000861</t>
  </si>
  <si>
    <t>ESPARRAGO ACERO ZINCADO DE 1" X 1 M</t>
  </si>
  <si>
    <t>MAT000862</t>
  </si>
  <si>
    <t>ESPARRAGO ACERO ZINCADO DE 1/2" X 1 M</t>
  </si>
  <si>
    <t>MAT000863</t>
  </si>
  <si>
    <t>ESPARRAGO ACERO ZINCADO DE 1/4" X 1 M</t>
  </si>
  <si>
    <t>MAT000864</t>
  </si>
  <si>
    <t>ESPARRAGO ACERO ZINCADO DE 3/4" X 1 M</t>
  </si>
  <si>
    <t>MAT000865</t>
  </si>
  <si>
    <t>ESPARRAGO ACERO ZINCADO DE 3/8" X 1 M</t>
  </si>
  <si>
    <t>MAT000866</t>
  </si>
  <si>
    <t>ESPARRAGO ACERO ZINCADO DE 5/16" X 1 M</t>
  </si>
  <si>
    <t>MAT000867</t>
  </si>
  <si>
    <t>ESPARRAGO ACERO ZINCADO DE 5/8" X 1 M</t>
  </si>
  <si>
    <t>MAT000868</t>
  </si>
  <si>
    <t>ESPIRAL PROTECTOR D/CABLES 10 MM X 10 M (INT.8.50 MM)</t>
  </si>
  <si>
    <t>ARDY</t>
  </si>
  <si>
    <t>MAT000869</t>
  </si>
  <si>
    <t>ESPIRAL PROTECTOR D/CABLES 12 MM X 10 M (INT.10.2 MM)</t>
  </si>
  <si>
    <t>MAT000870</t>
  </si>
  <si>
    <t>ESPIRAL PROTECTOR D/CABLES 15 MM X 10 M (INT.13.0 MM)</t>
  </si>
  <si>
    <t>MAT000871</t>
  </si>
  <si>
    <t>ESPIRAL PROTECTOR D/CABLES 8 MM X 10 M (INT. 7.0 MM)</t>
  </si>
  <si>
    <t>MAT000872</t>
  </si>
  <si>
    <t>ESPUMA POLIURETANO EXPANDIBLE PARA SELLOS Y AISLAMIENTOS SIKA BOOM CAPAC.500 ML</t>
  </si>
  <si>
    <t>MAT000873</t>
  </si>
  <si>
    <t>ESTACION EMERGENCIA 1.2 X 1.8 M CAMILLA, FRAZADA, BOTIQUIN, LAVAOJOS, EXTINTOR</t>
  </si>
  <si>
    <t>MAT000874</t>
  </si>
  <si>
    <t>ESTACIÓN DE LIMPIEZA MODELO: S461</t>
  </si>
  <si>
    <t>KIT</t>
  </si>
  <si>
    <t>LAVAOJOS / LAVADOR OCULAR</t>
  </si>
  <si>
    <t>UVEX</t>
  </si>
  <si>
    <t>MAT000875</t>
  </si>
  <si>
    <t>PIZARRA ACRILICA DE 2.3 X 1.36 M</t>
  </si>
  <si>
    <t>MAT000876</t>
  </si>
  <si>
    <t>ESTIQUER AUTOADHESIVO 220VAC 10CM ANCHO X 3 CM ALTO FONDO VERDE LETRAS BLANCAS</t>
  </si>
  <si>
    <t>MAT000877</t>
  </si>
  <si>
    <t>ESTIQUER AUTOADHESIVO 480VAC 10CM ANCHO X 3 CM ALTO FONDO BLANCO LETRAS NEGRAS</t>
  </si>
  <si>
    <t>MAT000878</t>
  </si>
  <si>
    <t>ESTIQUER AUTOADHESIVO PARA CANDADO DE BLOQUEO DE 2,5 CM ANCHO X 3 CM ALTO</t>
  </si>
  <si>
    <t>MAT000879</t>
  </si>
  <si>
    <t>ESTIQUER AUTOADHESIVO PARA CASCO DE 2C M ALTO X 5 CM ANCHO LOGO: STP</t>
  </si>
  <si>
    <t>MAT000880</t>
  </si>
  <si>
    <t>ESTROBO D/SOGA NYLON TRENZADA X 1.5 MT</t>
  </si>
  <si>
    <t>MAT000881</t>
  </si>
  <si>
    <t>ESTROBO DE CABLE DE ACERO DE 1/2" X 2 M</t>
  </si>
  <si>
    <t>MAT000882</t>
  </si>
  <si>
    <t>ESTROBO DE CABLE DE ACERO DE 1/4" X 2 M</t>
  </si>
  <si>
    <t>MAT000883</t>
  </si>
  <si>
    <t>ESTROBO DE CABLE DE ACERO DE 3/8" X 2 M</t>
  </si>
  <si>
    <t>MAT000884</t>
  </si>
  <si>
    <t>ESTROBO DE CABLE DE ACERO DE 5/8" X 2 M</t>
  </si>
  <si>
    <t>MAT000885</t>
  </si>
  <si>
    <t>ESTUCHE PARA KIT ANTIDERRAME</t>
  </si>
  <si>
    <t>MAT000886</t>
  </si>
  <si>
    <t>ETIQUETA PARA FILE (SBRX100)</t>
  </si>
  <si>
    <t>MAT000887</t>
  </si>
  <si>
    <t>ETIQUETAS AUTOADHESIVAS INK JET T/ A4 007-200X288 MM COLOR BLANCO X 50 UND</t>
  </si>
  <si>
    <t>DIMERC</t>
  </si>
  <si>
    <t>MAT000888</t>
  </si>
  <si>
    <t>EXTENSION ELECTRICA 1X3X14 AWG 220V</t>
  </si>
  <si>
    <t>MAT000889</t>
  </si>
  <si>
    <t>EXTENSION ELECTRICA 1X4X14 AWG 220V - TIPO PULPO</t>
  </si>
  <si>
    <t>MAT000890</t>
  </si>
  <si>
    <t>EXTENSION ELECTRICA 1X4X8 AWG 380V</t>
  </si>
  <si>
    <t>MAT000891</t>
  </si>
  <si>
    <t>EXTENSION ELECTRICA 1X4X8 AWG 380V - TIPO PULPO</t>
  </si>
  <si>
    <t>MAT000892</t>
  </si>
  <si>
    <t>EXTENSION ELECTRICA ADAPTADOR 1X4X8 AWG 380V X 20 M (PLASTICO-METAL)</t>
  </si>
  <si>
    <t>MAT000893</t>
  </si>
  <si>
    <t>EXTENSIÓN ELECTRICA DOMESTICA P/ 4 PUERTOS</t>
  </si>
  <si>
    <t>MAT000894</t>
  </si>
  <si>
    <t>EXTINTOR DE POLVO QUIMICO SECO DE 12 KG</t>
  </si>
  <si>
    <t>EQUIPO CONTRA INCENDIO</t>
  </si>
  <si>
    <t>BADGER</t>
  </si>
  <si>
    <t>MAT000895</t>
  </si>
  <si>
    <t>EXTINTOR DE POLVO QUIMICO SECO DE 6 KG</t>
  </si>
  <si>
    <t>MAT000896</t>
  </si>
  <si>
    <t>EXTINTOR DE POLVO QUIMICO SECO DE 9 KG</t>
  </si>
  <si>
    <t>MAT000897</t>
  </si>
  <si>
    <t>FACE PLATE HORIZONTAL DE 2 PUERTAS INCL. 1 TAPA CIEGA</t>
  </si>
  <si>
    <t>SIEMON</t>
  </si>
  <si>
    <t>MAT000898</t>
  </si>
  <si>
    <t>FACE PLATE HORIZONTAL DE 2 PUERTO</t>
  </si>
  <si>
    <t>MAT000899</t>
  </si>
  <si>
    <t>FAJA RACHET PARA SUJECION CON GANCHOS TIPO GARRA DE 3" X 9 M</t>
  </si>
  <si>
    <t>MAT000900</t>
  </si>
  <si>
    <t>FAJA RACHET PARA SUJECION CON GANCHOS TIPO GARRA DE 4" X 9 M</t>
  </si>
  <si>
    <t>MAT000901</t>
  </si>
  <si>
    <t>FASTENER X 50 UND</t>
  </si>
  <si>
    <t>MAT000902</t>
  </si>
  <si>
    <t>FERULA PARA TUBING DE 1/2"</t>
  </si>
  <si>
    <t>MAT000903</t>
  </si>
  <si>
    <t>FERULA PARA TUBING DE 1/4"</t>
  </si>
  <si>
    <t>MAT000904</t>
  </si>
  <si>
    <t>FIRE STOP (CORTAFUEGO) SELLADOR EN SILICONA FS ONE MAX X 600 ML</t>
  </si>
  <si>
    <t>MAT000905</t>
  </si>
  <si>
    <t>FOCO 12 V 21/5W (LAGRIMAS)</t>
  </si>
  <si>
    <t>NARVA</t>
  </si>
  <si>
    <t>MAT000906</t>
  </si>
  <si>
    <t>FOCO 12 V 21/5W DOBLE FILAMENTO</t>
  </si>
  <si>
    <t>MAT000907</t>
  </si>
  <si>
    <t>FOCO 12 V 21/5W UN FILAMENTO</t>
  </si>
  <si>
    <t>MAT000908</t>
  </si>
  <si>
    <t>FOCO H4 12V 60/55W - NARVA</t>
  </si>
  <si>
    <t>MAT000909</t>
  </si>
  <si>
    <t>FOCO H7 12V 5W - NARVA</t>
  </si>
  <si>
    <t>MAT000910</t>
  </si>
  <si>
    <t>FOCO HALOGENO DE 12V 65W P20d</t>
  </si>
  <si>
    <t>MAT000911</t>
  </si>
  <si>
    <t>FOCO LED CONICO PARA PERTIGA MINERA</t>
  </si>
  <si>
    <t>MAT000912</t>
  </si>
  <si>
    <t>FOCO NEBLINERO H1 12V 55W</t>
  </si>
  <si>
    <t>MAT000913</t>
  </si>
  <si>
    <t>FOCO NEBLINERO H1 24V 70W</t>
  </si>
  <si>
    <t>MAT000914</t>
  </si>
  <si>
    <t>FOCO NEBLINERO H2 12V 55W</t>
  </si>
  <si>
    <t>MAT000915</t>
  </si>
  <si>
    <t>FOCO NEBLINERO H2 24V 55W</t>
  </si>
  <si>
    <t>MAT000916</t>
  </si>
  <si>
    <t>FOCO NEBLINERO H2 24V 70W</t>
  </si>
  <si>
    <t>MAT000917</t>
  </si>
  <si>
    <t>FOCO NEBLINERO H3 12V 55W</t>
  </si>
  <si>
    <t>MAT000918</t>
  </si>
  <si>
    <t>FOCO NEBLINERO H3 24V 70W</t>
  </si>
  <si>
    <t>MAT000919</t>
  </si>
  <si>
    <t>FOCO P21W DE 12V</t>
  </si>
  <si>
    <t>MAT000920</t>
  </si>
  <si>
    <t>FOCO R5W 12V 5W</t>
  </si>
  <si>
    <t>MAT000921</t>
  </si>
  <si>
    <t>FOLDER DE MANILA T/ A4 X 25 UND</t>
  </si>
  <si>
    <t>GRAFIPAPEL</t>
  </si>
  <si>
    <t>MAT000922</t>
  </si>
  <si>
    <t>FORMADOR DE EMPAQUETADURA 130 GM</t>
  </si>
  <si>
    <t>PERMATEX</t>
  </si>
  <si>
    <t>MAT000923</t>
  </si>
  <si>
    <t>FORMADOR DE EMPAQUETADURA 143 GM</t>
  </si>
  <si>
    <t>ADEX</t>
  </si>
  <si>
    <t>MAT000924</t>
  </si>
  <si>
    <t>FORMATO "LOG-FOR-STP-006 VALE SALIDA MATERIAL Y EPP" T A5 AUTOCOPIATIVO 01 COPIA</t>
  </si>
  <si>
    <t>MIL</t>
  </si>
  <si>
    <t>IMPRESION FORMATOS STP</t>
  </si>
  <si>
    <t>MAT000925</t>
  </si>
  <si>
    <t>FORRO ADHESIVO TRANSPARENTE 0.45 X 3 M</t>
  </si>
  <si>
    <t>VINIFAN</t>
  </si>
  <si>
    <t>MAT000926</t>
  </si>
  <si>
    <t>FRANELA</t>
  </si>
  <si>
    <t>MAT000927</t>
  </si>
  <si>
    <t>FRESA TIPO CONICA DE 12 X 25 X 6 X 65MM</t>
  </si>
  <si>
    <t>FRESA</t>
  </si>
  <si>
    <t>MAT000928</t>
  </si>
  <si>
    <t>FULMINANTE VERDE CALIBRE 22 X 100 UND</t>
  </si>
  <si>
    <t>FULMINANTE</t>
  </si>
  <si>
    <t>MAT000929</t>
  </si>
  <si>
    <t>FUSIBLE 30 A 600 V BM60325Q</t>
  </si>
  <si>
    <t>FUSIBLE</t>
  </si>
  <si>
    <t>MAT000930</t>
  </si>
  <si>
    <t>GALONERA DE PLASTICO X 5 GLN COLOR ROJO P/ COMBUSTIBLE</t>
  </si>
  <si>
    <t>MAT000931</t>
  </si>
  <si>
    <t>GALONERA DE PLASTICO X 5 GLN COLOR VERDE PETROLEO</t>
  </si>
  <si>
    <t>MAT000932</t>
  </si>
  <si>
    <t>GALVANOX EN SPRAY BRILLANTE (GALV. EN FRIO) MODELO: BRIGHT ZINC 18414</t>
  </si>
  <si>
    <t>SPRAY</t>
  </si>
  <si>
    <t>CRC</t>
  </si>
  <si>
    <t>MAT000933</t>
  </si>
  <si>
    <t>GASA ESTERIL DE 3" X 3"</t>
  </si>
  <si>
    <t>MAT000934</t>
  </si>
  <si>
    <t>GLOBO DE LATEX N° 18</t>
  </si>
  <si>
    <t>CTO</t>
  </si>
  <si>
    <t>MAT000935</t>
  </si>
  <si>
    <t>GOMA EN BARRA STICK X 21 GR</t>
  </si>
  <si>
    <t>UHU</t>
  </si>
  <si>
    <t>MAT000936</t>
  </si>
  <si>
    <t>GORRO PUBLICITARIO DRILL LOGO: STP</t>
  </si>
  <si>
    <t>MAT000937</t>
  </si>
  <si>
    <t>GRAMPA BEAN CLAMP PARA CANAL UNISTRUIT</t>
  </si>
  <si>
    <t>MAT000938</t>
  </si>
  <si>
    <t>GRAPA DE 1" DE ACERO FORJADO MODELO: G-450</t>
  </si>
  <si>
    <t>MAT000939</t>
  </si>
  <si>
    <t>GRAPA DE 1/2" DE ACERO FORJADO MODELO: G-450</t>
  </si>
  <si>
    <t>MAT000940</t>
  </si>
  <si>
    <t>GRAPA DE 1/4" DE ACERO FORJADO MODELO: G-450</t>
  </si>
  <si>
    <t>MAT000941</t>
  </si>
  <si>
    <t>GRAPA DE 3/4" DE ACERO FORJADO MODELO: G-450</t>
  </si>
  <si>
    <t>MAT000942</t>
  </si>
  <si>
    <t>GRAPA DE 3/8" DE ACERO FORJADO MODELO: G-450</t>
  </si>
  <si>
    <t>MAT000943</t>
  </si>
  <si>
    <t>GRAPA DE 5/8" DE ACERO FORJADO MODELO: G-450</t>
  </si>
  <si>
    <t>MAT000944</t>
  </si>
  <si>
    <t>GRAPA DE 7/8" DE ACERO FORJADO MODELO: G-450</t>
  </si>
  <si>
    <t>MAT000945</t>
  </si>
  <si>
    <t>GRAPA METALICA PARA ZUNCHO DE 3/4"</t>
  </si>
  <si>
    <t>MAT000946</t>
  </si>
  <si>
    <t>GRAPA METALICA PARA ZUNCHO DE 5/8"</t>
  </si>
  <si>
    <t>MAT000947</t>
  </si>
  <si>
    <t>GRAPAS 23/8 CAJA DE 5000 Und</t>
  </si>
  <si>
    <t>MAT000948</t>
  </si>
  <si>
    <t>GRAPAS 26/6 CAJA DE 5000 Und</t>
  </si>
  <si>
    <t>MAT000949</t>
  </si>
  <si>
    <t>GRASA MULTIPROPOSITO X 16 KG</t>
  </si>
  <si>
    <t>VISTONY</t>
  </si>
  <si>
    <t>MAT000950</t>
  </si>
  <si>
    <t>GRASA MULTIUSOS MODELO: EP-2 X 453 G</t>
  </si>
  <si>
    <t>MAT000951</t>
  </si>
  <si>
    <t>GRILLETE DE ACERO FORJADO T/ LIRA 3/8"</t>
  </si>
  <si>
    <t>MAT000952</t>
  </si>
  <si>
    <t>GRILLETE DE ACERO FORJADO T/ LIRA DE 1 1/2"</t>
  </si>
  <si>
    <t>MAT000953</t>
  </si>
  <si>
    <t>GRILLETE DE ACERO FORJADO T/ LIRA DE 1 1/4"</t>
  </si>
  <si>
    <t>MAT000954</t>
  </si>
  <si>
    <t>GRILLETE DE ACERO FORJADO T/ LIRA DE 1"</t>
  </si>
  <si>
    <t>MAT000955</t>
  </si>
  <si>
    <t>GRILLETE DE ACERO FORJADO T/ LIRA DE 1/2"</t>
  </si>
  <si>
    <t>MAT000956</t>
  </si>
  <si>
    <t>GRILLETE DE ACERO FORJADO T/ LIRA DE 3/4"</t>
  </si>
  <si>
    <t>MAT000957</t>
  </si>
  <si>
    <t>GRILLETE DE ACERO FORJADO T/ LIRA DE 5/8"</t>
  </si>
  <si>
    <t>MAT000958</t>
  </si>
  <si>
    <t>GRILLETE DE ACERO FORJADO T/ LIRA DE 7/8"</t>
  </si>
  <si>
    <t>MAT000959</t>
  </si>
  <si>
    <t>GUANTES QUIRURGICO</t>
  </si>
  <si>
    <t>MAT000960</t>
  </si>
  <si>
    <t>HEBILLA DE ACERO INOX DE 1/2" PARA CINTA DE ACERO INOX X 100 UND</t>
  </si>
  <si>
    <t>MAT000961</t>
  </si>
  <si>
    <t>HEBILLA DE ACERO INOX DE 3/4" PARA CINTA DE ACERO INOX X 100 UND</t>
  </si>
  <si>
    <t>MAT000962</t>
  </si>
  <si>
    <t>HERVIDOR DE AGUA ELÉCTRICO DE 2 LTS</t>
  </si>
  <si>
    <t>MAT000963</t>
  </si>
  <si>
    <t>HIGIENIZANTE DE MANOS EN SACHET</t>
  </si>
  <si>
    <t>MAT000964</t>
  </si>
  <si>
    <t>HIPOCLORITO DE SODIO (3.8 L)</t>
  </si>
  <si>
    <t>MAT000965</t>
  </si>
  <si>
    <t>HOJA CALADORA BIMETAL</t>
  </si>
  <si>
    <t>OTRO REPUESTO</t>
  </si>
  <si>
    <t>MAT000966</t>
  </si>
  <si>
    <t>HOJA DE SIERRA 12" X 1/2" X 18D</t>
  </si>
  <si>
    <t>SANDFLEX</t>
  </si>
  <si>
    <t>MAT000967</t>
  </si>
  <si>
    <t>HUB MYERS C/FORRO DE PVC DE 1 1/2"</t>
  </si>
  <si>
    <t>MAT000968</t>
  </si>
  <si>
    <t>HUB MYERS C/FORRO DE PVC DE 1"</t>
  </si>
  <si>
    <t>MAT000969</t>
  </si>
  <si>
    <t>HUB MYERS C/FORRO DE PVC DE 1/2"</t>
  </si>
  <si>
    <t>MAT000970</t>
  </si>
  <si>
    <t>HUB MYERS C/FORRO DE PVC DE 2"</t>
  </si>
  <si>
    <t>MAT000971</t>
  </si>
  <si>
    <t>HUB MYERS C/FORRO DE PVC DE 3/4"</t>
  </si>
  <si>
    <t>MAT000972</t>
  </si>
  <si>
    <t>HUB MYERS C/FORRO DE PVC DE 4"</t>
  </si>
  <si>
    <t>MAT000973</t>
  </si>
  <si>
    <t>HUBS MYERS DE 1 1/2" UL ZINC PESADO</t>
  </si>
  <si>
    <t>MAT000974</t>
  </si>
  <si>
    <t>HUBS MYERS DE 1" UL ZINC PESADO</t>
  </si>
  <si>
    <t>MAT000975</t>
  </si>
  <si>
    <t>HUBS MYERS DE 1/2" UL ZINC PESADO</t>
  </si>
  <si>
    <t>MAT000976</t>
  </si>
  <si>
    <t>HUBS MYERS DE 2 1/2" UL ZINC PESADO</t>
  </si>
  <si>
    <t>MAT000977</t>
  </si>
  <si>
    <t>HUBS MYERS DE 2" UL ZINC PESADO</t>
  </si>
  <si>
    <t>MAT000978</t>
  </si>
  <si>
    <t>HUBS MYERS DE 3" UL ZINC PESADO</t>
  </si>
  <si>
    <t>MAT000979</t>
  </si>
  <si>
    <t>HUBS MYERS DE 3/4" UL ZINC PESADO</t>
  </si>
  <si>
    <t>MAT000980</t>
  </si>
  <si>
    <t>HUBS MYERS DE 4" UL ZINC PESADO</t>
  </si>
  <si>
    <t>MAT000981</t>
  </si>
  <si>
    <t>INTERRUPTOR DIFERENCIAL 2X16A 10MA 230 VAC</t>
  </si>
  <si>
    <t>ABB</t>
  </si>
  <si>
    <t>MAT000982</t>
  </si>
  <si>
    <t>INTERRUPTOR DIFERENCIAL 2X25A 300MA 230 VAC</t>
  </si>
  <si>
    <t>MAT000983</t>
  </si>
  <si>
    <t>INTERRUPTOR DIFERENCIAL 2X25A 30MA 230 VAC</t>
  </si>
  <si>
    <t>MAT000984</t>
  </si>
  <si>
    <t>INTERRUPTOR DIFERENCIAL 2X40A 300MA 230 VAC</t>
  </si>
  <si>
    <t>MAT000985</t>
  </si>
  <si>
    <t>INTERRUPTOR DIFERENCIAL 2X40A 30MA 230 VAC</t>
  </si>
  <si>
    <t>MAT000986</t>
  </si>
  <si>
    <t>INTERRUPTOR DIFERENCIAL 2X63A 30MA 230 VAC</t>
  </si>
  <si>
    <t>MAT000987</t>
  </si>
  <si>
    <t>INTERRUPTOR DIFERENCIAL 4X100A 30MA 230/400VAC</t>
  </si>
  <si>
    <t>MAT000988</t>
  </si>
  <si>
    <t>INTERRUPTOR DIFERENCIAL 4X25A 300MA 230/400VAC</t>
  </si>
  <si>
    <t>MAT000989</t>
  </si>
  <si>
    <t>INTERRUPTOR DIFERENCIAL 4X25A 30MA 230/400VAC</t>
  </si>
  <si>
    <t>MAT000990</t>
  </si>
  <si>
    <t>INTERRUPTOR DIFERENCIAL 4X40A 300MA 230/400VAC</t>
  </si>
  <si>
    <t>MAT000991</t>
  </si>
  <si>
    <t>INTERRUPTOR DIFERENCIAL 4X40A 30MA 230/400VAC</t>
  </si>
  <si>
    <t>MAT000992</t>
  </si>
  <si>
    <t>INTERRUPTOR DIFERENCIAL SUPER INMUNIZADO 2X63A 30MA CLASE A APR</t>
  </si>
  <si>
    <t>MAT000993</t>
  </si>
  <si>
    <t>INTERRUPTOR DIFERENCIAL SUPERINMUNIZADO 2X40A 30MA A APR</t>
  </si>
  <si>
    <t>MAT000994</t>
  </si>
  <si>
    <t>INTERRUPTOR DIFERENCIAL SUPERINMUNIZADO 4X63A 30MA A APR</t>
  </si>
  <si>
    <t>MAT000995</t>
  </si>
  <si>
    <t>INTERRUPTOR DIFERENCIAL SUPERINMUNIZADO.4X25A 30MA A APR</t>
  </si>
  <si>
    <t>MAT000996</t>
  </si>
  <si>
    <t>INTERRUPTOR DOBLE</t>
  </si>
  <si>
    <t>MAT000997</t>
  </si>
  <si>
    <t>INTERRUPTOR TERMOMAGNÉTICO 1X10A 10/6KA 230/400V TIPO C DIN</t>
  </si>
  <si>
    <t>MAT000998</t>
  </si>
  <si>
    <t>INTERRUPTOR TERMOMAGNÉTICO 1X16A 10/6KA 230/400V TIPO C DIN</t>
  </si>
  <si>
    <t>MAT000999</t>
  </si>
  <si>
    <t>INTERRUPTOR TERMOMAGNÉTICO 1X16A 6KA 230/400V TIPO C DIN</t>
  </si>
  <si>
    <t>MAT001000</t>
  </si>
  <si>
    <t>INTERRUPTOR TERMOMAGNÉTICO 1X20A 10/6KA 230/400V TIPO C DIN</t>
  </si>
  <si>
    <t>MAT001001</t>
  </si>
  <si>
    <t>INTERRUPTOR TERMOMAGNÉTICO 1X20A 6KA 230/400V TIPO C DIN</t>
  </si>
  <si>
    <t>MAT001002</t>
  </si>
  <si>
    <t>INTERRUPTOR TERMOMAGNÉTICO 1X2A 10/6KA 230/400V TIPO C DIN</t>
  </si>
  <si>
    <t>MAT001003</t>
  </si>
  <si>
    <t>INTERRUPTOR TERMOMAGNÉTICO 1X32A 10/6KA 230/400V TIPO C DIN</t>
  </si>
  <si>
    <t>MAT001004</t>
  </si>
  <si>
    <t>INTERRUPTOR TERMOMAGNÉTICO 1X32A 6KA 230/400V TIPO C DIN</t>
  </si>
  <si>
    <t>MAT001005</t>
  </si>
  <si>
    <t>INTERRUPTOR TERMOMAGNÉTICO 1X4A 10/6KA 230/400V TIPO C DIN</t>
  </si>
  <si>
    <t>MAT001006</t>
  </si>
  <si>
    <t>INTERRUPTOR TERMOMAGNÉTICO 1X63A 10/6KA 230/400V TIPO C DIN</t>
  </si>
  <si>
    <t>MAT001007</t>
  </si>
  <si>
    <t>INTERRUPTOR TERMOMAGNÉTICO 1X6A 10/6KA 230/400V TIPO C DIN</t>
  </si>
  <si>
    <t>MAT001008</t>
  </si>
  <si>
    <t>INTERRUPTOR TERMOMAGNÉTICO 2X10A 10/6KA 230/400V TIPO C DIN</t>
  </si>
  <si>
    <t>MAT001009</t>
  </si>
  <si>
    <t>INTERRUPTOR TERMOMAGNÉTICO 2X10A 20/6KA 230/400V TIPO C DIN</t>
  </si>
  <si>
    <t>MAT001010</t>
  </si>
  <si>
    <t>INTERRUPTOR TERMOMAGNÉTICO 2X10A 25/10KA 220DC/440AC/DC TIPO K DIN</t>
  </si>
  <si>
    <t>MAT001011</t>
  </si>
  <si>
    <t>INTERRUPTOR TERMOMAGNÉTICO 2X16A 10/6KA 230/400V TIPO C DIN</t>
  </si>
  <si>
    <t>MAT001012</t>
  </si>
  <si>
    <t>INTERRUPTOR TERMOMAGNÉTICO 2X16A 20/6KA 230/400V TIPO C DIN</t>
  </si>
  <si>
    <t>MAT001013</t>
  </si>
  <si>
    <t>INTERRUPTOR TERMOMAGNETICO 2X16A 220V</t>
  </si>
  <si>
    <t>MAT001014</t>
  </si>
  <si>
    <t>INTERRUPTOR TERMOMAGNÉTICO 2X20A 10/6KA 230/400V TIPO C DIN</t>
  </si>
  <si>
    <t>MAT001015</t>
  </si>
  <si>
    <t>INTERRUPTOR TERMOMAGNÉTICO 2X20A 20/6KA 230/400V TIPO C DIN</t>
  </si>
  <si>
    <t>MAT001016</t>
  </si>
  <si>
    <t>INTERRUPTOR TERMOMAGNÉTICO 2X20A 20/6KA 230/400V TIPO K DIN</t>
  </si>
  <si>
    <t>MAT001017</t>
  </si>
  <si>
    <t>INTERRUPTOR TERMOMAGNÉTICO 2X25A 10/6KA 230/400V TIPO C DIN</t>
  </si>
  <si>
    <t>MAT001018</t>
  </si>
  <si>
    <t>INTERRUPTOR TERMOMAGNÉTICO 2X25A 20/6KA 230/400V TIPO C DIN</t>
  </si>
  <si>
    <t>MAT001019</t>
  </si>
  <si>
    <t>INTERRUPTOR TERMOMAGNÉTICO 2X2A 20/6KA 230/400V TIPO C DIN</t>
  </si>
  <si>
    <t>MAT001020</t>
  </si>
  <si>
    <t>INTERRUPTOR TERMOMAGNÉTICO 2X2A 25/10KA 220DC/440AC/DC TIPO K DIN</t>
  </si>
  <si>
    <t>MAT001021</t>
  </si>
  <si>
    <t>INTERRUPTOR TERMOMAGNÉTICO 2X32A 10/6KA 230/400V TIPO C DIN</t>
  </si>
  <si>
    <t>MAT001022</t>
  </si>
  <si>
    <t>INTERRUPTOR TERMOMAGNÉTICO 2X32A 20/6KA 230/400V TIPO C DIN</t>
  </si>
  <si>
    <t>MAT001023</t>
  </si>
  <si>
    <t>INTERRUPTOR TERMOMAGNÉTICO 2X32A 25/10KA 220DC/440AC/DC TIPO C DIN</t>
  </si>
  <si>
    <t>MAT001024</t>
  </si>
  <si>
    <t>INTERRUPTOR TERMOMAGNÉTICO 2X32A 4.5KA 230/400V TIPO C DIN</t>
  </si>
  <si>
    <t>MAT001025</t>
  </si>
  <si>
    <t>INTERRUPTOR TERMOMAGNÉTICO 2X40A 10/6KA 230/400V TIPO C DIN</t>
  </si>
  <si>
    <t>MAT001026</t>
  </si>
  <si>
    <t>INTERRUPTOR TERMOMAGNÉTICO 2X40A 20/6KA 230/400V TIPO C DIN</t>
  </si>
  <si>
    <t>MAT001027</t>
  </si>
  <si>
    <t>INTERRUPTOR TERMOMAGNÉTICO 2X4A 25/10KA 220DC/440AC/DC TIPO K DIN</t>
  </si>
  <si>
    <t>MAT001028</t>
  </si>
  <si>
    <t>INTERRUPTOR TERMOMAGNÉTICO 2X50A 10/6KA 230/400V TIPO C DIN</t>
  </si>
  <si>
    <t>MAT001029</t>
  </si>
  <si>
    <t>INTERRUPTOR TERMOMAGNÉTICO 2X50A 20/6KA 230/400V TIPO C DIN</t>
  </si>
  <si>
    <t>MAT001030</t>
  </si>
  <si>
    <t>INTERRUPTOR TERMOMAGNÉTICO 2X63A 10/6KA 230/400V TIPO C DIN</t>
  </si>
  <si>
    <t>MAT001031</t>
  </si>
  <si>
    <t>INTERRUPTOR TERMOMAGNÉTICO 2X63A 20/6KA 230/400V TIPO C DIN</t>
  </si>
  <si>
    <t>MAT001032</t>
  </si>
  <si>
    <t>INTERRUPTOR TERMOMAGNÉTICO 2X6A 10/6KA 230/400V TIPO C DIN</t>
  </si>
  <si>
    <t>MAT001033</t>
  </si>
  <si>
    <t>INTERRUPTOR TERMOMAGNÉTICO 2X6A 20/6KA 230/400V TIPO C DIN</t>
  </si>
  <si>
    <t>MAT001034</t>
  </si>
  <si>
    <t>INTERRUPTOR TERMOMAGNÉTICO 2X6A 25/10KA 220DC/440AC/DC TIPO K DIN</t>
  </si>
  <si>
    <t>MAT001035</t>
  </si>
  <si>
    <t>INTERRUPTOR TERMOMAGNÉTICO 2X80A 10/6KA 230/400V TIPO C DIN</t>
  </si>
  <si>
    <t>MAT001036</t>
  </si>
  <si>
    <t>INTERRUPTOR TERMOMAGNÉTICO 3X100A 10/6KA 230/400V TIPO C DIN</t>
  </si>
  <si>
    <t>MAT001037</t>
  </si>
  <si>
    <t>INTERRUPTOR TERMOMAGNÉTICO 3X10A 20/6KA 230/400V TIPO C DIN</t>
  </si>
  <si>
    <t>MAT001038</t>
  </si>
  <si>
    <t>INTERRUPTOR TERMOMAGNÉTICO 3X16A 20/6KA 230/400V TIPO C DIN</t>
  </si>
  <si>
    <t>MAT001039</t>
  </si>
  <si>
    <t>INTERRUPTOR TERMOMAGNÉTICO 3X20A 20/6KA 230/400V TIPO C DIN</t>
  </si>
  <si>
    <t>MAT001040</t>
  </si>
  <si>
    <t>INTERRUPTOR TERMOMAGNÉTICO 3X25A 10/6KA 230/400V TIPO C DIN</t>
  </si>
  <si>
    <t>MAT001041</t>
  </si>
  <si>
    <t>INTERRUPTOR TERMOMAGNÉTICO 3X2A 10/6KA 230/400V TIPO C DIN</t>
  </si>
  <si>
    <t>MAT001042</t>
  </si>
  <si>
    <t>INTERRUPTOR TERMOMAGNÉTICO 3X32A 10/6KA 230/400V TIPO C DIN</t>
  </si>
  <si>
    <t>MAT001043</t>
  </si>
  <si>
    <t>INTERRUPTOR TERMOMAGNÉTICO 3X32A 20/6KA 230/400V TIPO K DIN</t>
  </si>
  <si>
    <t>MAT001044</t>
  </si>
  <si>
    <t>INTERRUPTOR TERMOMAGNÉTICO 3X40A 10/6KA 230/400V TIPO C DIN</t>
  </si>
  <si>
    <t>MAT001045</t>
  </si>
  <si>
    <t>INTERRUPTOR TERMOMAGNÉTICO 3X40A 20KA 230V 10KA 400V TIPO C DIN</t>
  </si>
  <si>
    <t>MAT001046</t>
  </si>
  <si>
    <t>INTERRUPTOR TERMOMAGNÉTICO 3X4A 20/6KA 230/400V TIPO C DIN</t>
  </si>
  <si>
    <t>MAT001047</t>
  </si>
  <si>
    <t>INTERRUPTOR TERMOMAGNÉTICO 3X50A 10/6KA 230/400V TIPO C DIN</t>
  </si>
  <si>
    <t>MAT001048</t>
  </si>
  <si>
    <t>INTERRUPTOR TERMOMAGNÉTICO 3X63A 20/6KA 230/400V TIPO C DIN</t>
  </si>
  <si>
    <t>MAT001049</t>
  </si>
  <si>
    <t>INTERRUPTOR TERMOMAGNÉTICO 3X80A 10/6KA 230/400V TIPO C DIN</t>
  </si>
  <si>
    <t>MAT001050</t>
  </si>
  <si>
    <t>INTERRUPTOR TERMOMAGNÉTICO 4X32A 20/6KA 230/400V TIPO C DIN</t>
  </si>
  <si>
    <t>MAT001051</t>
  </si>
  <si>
    <t>JABON EN GEL ANTIBACTERIAL X 360 ML</t>
  </si>
  <si>
    <t>AVAL</t>
  </si>
  <si>
    <t>MAT001052</t>
  </si>
  <si>
    <t>JARRA DE PLASTICO DE 1000 ML</t>
  </si>
  <si>
    <t>MENAJE DE COCINA</t>
  </si>
  <si>
    <t>MAT001053</t>
  </si>
  <si>
    <t>JARRA DE PLASTICO DE 250 ML</t>
  </si>
  <si>
    <t>MAT001054</t>
  </si>
  <si>
    <t>JARRA DE PLASTICO DE 500 ML</t>
  </si>
  <si>
    <t>MAT001055</t>
  </si>
  <si>
    <t>LACA DESMOLDANTE X 1 GLN CHEMALAC</t>
  </si>
  <si>
    <t>MAT001056</t>
  </si>
  <si>
    <t>LACA DESMOLDANTE X 1 GLN SIKALAC</t>
  </si>
  <si>
    <t>MAT001057</t>
  </si>
  <si>
    <t>LACA DESMOLDANTE X 5 GLN CHEMALAC</t>
  </si>
  <si>
    <t>MAT001058</t>
  </si>
  <si>
    <t>LACA SELLADORA PARA MADERA</t>
  </si>
  <si>
    <t>PARACAS</t>
  </si>
  <si>
    <t>MAT001059</t>
  </si>
  <si>
    <t>LADRILLO CORTAFUEGO CFS BL</t>
  </si>
  <si>
    <t>MAT001060</t>
  </si>
  <si>
    <t>LAPICERO (BOLIGRAFO) TRILUX AZUL 032-M</t>
  </si>
  <si>
    <t>MAT001061</t>
  </si>
  <si>
    <t>LAPICERO (BOLIGRAFO) TRILUX NEGRO 032-M</t>
  </si>
  <si>
    <t>MAT001062</t>
  </si>
  <si>
    <t>LAPICERO PUBLICITARIO LOGO STP</t>
  </si>
  <si>
    <t>MAT001063</t>
  </si>
  <si>
    <t>LAPICERO TRILUX # 035 COLOR AZUL</t>
  </si>
  <si>
    <t>MAT001064</t>
  </si>
  <si>
    <t>LAPICERO TRILUX # 035 COLOR NEGRO</t>
  </si>
  <si>
    <t>MAT001065</t>
  </si>
  <si>
    <t>LAPICERO TRILUX # 035 COLOR ROJO</t>
  </si>
  <si>
    <t>MAT001066</t>
  </si>
  <si>
    <t>LAPIZ 2B</t>
  </si>
  <si>
    <t>MAT001067</t>
  </si>
  <si>
    <t>LAPIZ DE CARPINTERO X 10 UND</t>
  </si>
  <si>
    <t>MAT001068</t>
  </si>
  <si>
    <t>LAVADO OCULAR ClNa 9 0/00 de 100ml</t>
  </si>
  <si>
    <t>MAT001069</t>
  </si>
  <si>
    <t>LAVADOR DE OJO Y PIEL DE 30 ML. O 1 OZ.</t>
  </si>
  <si>
    <t>MAT001070</t>
  </si>
  <si>
    <t>LAVAOJOS BOTELLA KIT X 5 001-505 500 ML</t>
  </si>
  <si>
    <t>HAWS</t>
  </si>
  <si>
    <t>MAT001071</t>
  </si>
  <si>
    <t>LAVAOJOS PORTATIL AVLIS (D001-100)</t>
  </si>
  <si>
    <t>MAT001072</t>
  </si>
  <si>
    <t>LAVAOJOS PORTATIL AVLIS LP075</t>
  </si>
  <si>
    <t>MAT001073</t>
  </si>
  <si>
    <t>LETRERO SEÑALIZACION ACRILICO 0.60 M X 0.40 M "ACOPIO TEMPORAL DE MATERIALES"</t>
  </si>
  <si>
    <t>MAT001074</t>
  </si>
  <si>
    <t>LETRERO SEÑALIZACION ACRILICO 0.60 M X 0.40 M "ALMACEN TEMPORAL"</t>
  </si>
  <si>
    <t>MAT001075</t>
  </si>
  <si>
    <t>LETRERO SEÑALIZACION ACRILICO 0.60 M X 0.40 M "ESPACIO CONFINADO"</t>
  </si>
  <si>
    <t>MAT001076</t>
  </si>
  <si>
    <t>LETRERO SEÑALIZACION ACRILICO 0.60 M X 0.40 M "EXTINTOR"</t>
  </si>
  <si>
    <t>MAT001077</t>
  </si>
  <si>
    <t>LETRERO SEÑALIZACION ACRILICO 0.60 M X 0.40 M "HOMBRES TRABAJANDO"</t>
  </si>
  <si>
    <t>MAT001078</t>
  </si>
  <si>
    <t>LETRERO SEÑALIZACION ACRILICO 0.60 M X 0.40 M "HOMBRES Y MAQUINAS TRABAJANDO"</t>
  </si>
  <si>
    <t>MAT001079</t>
  </si>
  <si>
    <t>LETRERO SEÑALIZACION ACRILICO 0.60 M X 0.40 M "PELIGRO CAIDA A DISTINTO NIVEL"</t>
  </si>
  <si>
    <t>MAT001080</t>
  </si>
  <si>
    <t>LETRERO SEÑALIZACION ACRILICO 0.60 M X 0.40 M "RIESGO DE CAIDA DE OBJETOS"</t>
  </si>
  <si>
    <t>MAT001081</t>
  </si>
  <si>
    <t>LETRERO SEÑALIZACION ACRILICO 0.60 M X 0.40 M "SOLO PERSONAL AUTORIZADO"</t>
  </si>
  <si>
    <t>MAT001082</t>
  </si>
  <si>
    <t>LETRERO SEÑALIZACION ACRILICO 0.60 M X 0.40 M "TRABAJO EN CALIENTE"</t>
  </si>
  <si>
    <t>MAT001083</t>
  </si>
  <si>
    <t>LETRERO SEÑALIZACION ACRILICO 0.60 M X 0.40 M "USO OBLIGATORIO ARNES SEGURIDAD"</t>
  </si>
  <si>
    <t>MAT001084</t>
  </si>
  <si>
    <t>LETRERO SEÑALIZACION ACRILICO 0.60 M X 0.40 M "ZANJA ABIERTA"</t>
  </si>
  <si>
    <t>MAT001085</t>
  </si>
  <si>
    <t>LETRERO SEÑALIZACION ACRILICO 0.60 M X 0.40 M "PELIGRO CARGA SUSPENDIDA"</t>
  </si>
  <si>
    <t>MAT001086</t>
  </si>
  <si>
    <t>LIBRETA DE APUNTES EMPASTADA</t>
  </si>
  <si>
    <t>PAGODA</t>
  </si>
  <si>
    <t>MAT001087</t>
  </si>
  <si>
    <t>LIBRO DE ACTAS (200 FOLIOS)</t>
  </si>
  <si>
    <t>MAT001088</t>
  </si>
  <si>
    <t>LIGA X 1/4 LIBRA</t>
  </si>
  <si>
    <t>ALLEANZA</t>
  </si>
  <si>
    <t>MAT001089</t>
  </si>
  <si>
    <t>LIJA AL SECO #100</t>
  </si>
  <si>
    <t>LIJA</t>
  </si>
  <si>
    <t>MAT001090</t>
  </si>
  <si>
    <t>LIJA AL SECO #120</t>
  </si>
  <si>
    <t>MAT001091</t>
  </si>
  <si>
    <t>LIJA AL SECO #180</t>
  </si>
  <si>
    <t>MAT001092</t>
  </si>
  <si>
    <t>LIJA AL SECO #220</t>
  </si>
  <si>
    <t>MAT001093</t>
  </si>
  <si>
    <t>LIJA AL SECO #320</t>
  </si>
  <si>
    <t>MAT001094</t>
  </si>
  <si>
    <t>LIJA AL SECO #400</t>
  </si>
  <si>
    <t>MAT001095</t>
  </si>
  <si>
    <t>LIJA AL SECO #600</t>
  </si>
  <si>
    <t>MAT001096</t>
  </si>
  <si>
    <t>LIJA AL SECO #800</t>
  </si>
  <si>
    <t>MAT001097</t>
  </si>
  <si>
    <t>LIJA CIRCULAR GRANO 60 DE 4 1/2"</t>
  </si>
  <si>
    <t>MAT001098</t>
  </si>
  <si>
    <t>LIJA DE AGUA #100</t>
  </si>
  <si>
    <t>MAT001099</t>
  </si>
  <si>
    <t>LIJA DE AGUA #150</t>
  </si>
  <si>
    <t>MAT001100</t>
  </si>
  <si>
    <t>LIJA DE AGUA #180</t>
  </si>
  <si>
    <t>MAT001101</t>
  </si>
  <si>
    <t>LIJA DE AGUA #220</t>
  </si>
  <si>
    <t>MAT001102</t>
  </si>
  <si>
    <t>LIJA DE AGUA #320</t>
  </si>
  <si>
    <t>MAT001103</t>
  </si>
  <si>
    <t>LIJA DE AGUA #360</t>
  </si>
  <si>
    <t>MAT001104</t>
  </si>
  <si>
    <t>LIJA DE AGUA #400</t>
  </si>
  <si>
    <t>MAT001105</t>
  </si>
  <si>
    <t>LIJA DE AGUA #600</t>
  </si>
  <si>
    <t>MAT001106</t>
  </si>
  <si>
    <t>LIJA DE FIERRO #100</t>
  </si>
  <si>
    <t>MAT001107</t>
  </si>
  <si>
    <t>LIJA DE FIERRO #120</t>
  </si>
  <si>
    <t>MAT001108</t>
  </si>
  <si>
    <t>LIJA DE FIERRO #180</t>
  </si>
  <si>
    <t>MAT001109</t>
  </si>
  <si>
    <t>LIJA DE FIERRO #220</t>
  </si>
  <si>
    <t>MAT001110</t>
  </si>
  <si>
    <t>LIJA DE FIERRO #40</t>
  </si>
  <si>
    <t>MAT001111</t>
  </si>
  <si>
    <t>LIJA DE FIERRO #50</t>
  </si>
  <si>
    <t>MAT001112</t>
  </si>
  <si>
    <t>LIJA DE FIERRO #60</t>
  </si>
  <si>
    <t>MAT001113</t>
  </si>
  <si>
    <t>LIJA DE FIERRO #80</t>
  </si>
  <si>
    <t>MAT001114</t>
  </si>
  <si>
    <t>LIJA PARA MADERA # 150</t>
  </si>
  <si>
    <t>MAT001115</t>
  </si>
  <si>
    <t>LIJA PARA MADERA #100</t>
  </si>
  <si>
    <t>MAT001116</t>
  </si>
  <si>
    <t>LIJA PARA MADERA #200</t>
  </si>
  <si>
    <t>MAT001117</t>
  </si>
  <si>
    <t>LIJA PARA MADERA #40</t>
  </si>
  <si>
    <t>MAT001118</t>
  </si>
  <si>
    <t>LIJA PARA MADERA #60</t>
  </si>
  <si>
    <t>MAT001119</t>
  </si>
  <si>
    <t>LIJA PARA MADERA #80</t>
  </si>
  <si>
    <t>MAT001120</t>
  </si>
  <si>
    <t>LIMPIA BOQUILLA</t>
  </si>
  <si>
    <t>VICTOR</t>
  </si>
  <si>
    <t>MAT001121</t>
  </si>
  <si>
    <t>LIMPIA MUEBLES NATURAL SPRAY 400 ML</t>
  </si>
  <si>
    <t>PRIDE</t>
  </si>
  <si>
    <t>MAT001122</t>
  </si>
  <si>
    <t>LIMPIA TODO 5 L</t>
  </si>
  <si>
    <t>MAT001123</t>
  </si>
  <si>
    <t>LIMPIADOR DE CONTACTOS QD X 16 OZ</t>
  </si>
  <si>
    <t>MAT001124</t>
  </si>
  <si>
    <t>LINTERNA DE MANO RECARGABLE</t>
  </si>
  <si>
    <t>MAT001125</t>
  </si>
  <si>
    <t>LINTERNA PARA ADAPTAR AL CASCO</t>
  </si>
  <si>
    <t>MAT001126</t>
  </si>
  <si>
    <t>LINTERNA RECARGABLE 18 LED 3 MODOS</t>
  </si>
  <si>
    <t>MAT001127</t>
  </si>
  <si>
    <t>LÍQUIDOS PENETRANTES KIT ENSAYO ND P/ SOLDADURAS (TINTA, REVELADOR Y LIMPIADOR)</t>
  </si>
  <si>
    <t>CANTESCO</t>
  </si>
  <si>
    <t>MAT001128</t>
  </si>
  <si>
    <t>LLANTA P/CARRETILLA BUGGY C/CAMARA</t>
  </si>
  <si>
    <t>LLANTA/CAMARA/GUARDACAMARA</t>
  </si>
  <si>
    <t>MAT001129</t>
  </si>
  <si>
    <t>LLAVERO PUBLICITARIO TIPO CASCO MINERO LOGO: STP</t>
  </si>
  <si>
    <t>MAT001130</t>
  </si>
  <si>
    <t>LUNAS NEGRAS PARA CARETA DE SOLDADOR N° 10</t>
  </si>
  <si>
    <t>MAT001131</t>
  </si>
  <si>
    <t>LUNAS NEGRAS PARA CARETA DE SOLDADOR N° 11</t>
  </si>
  <si>
    <t>MAT001132</t>
  </si>
  <si>
    <t>LUNAS NEGRAS PARA CARETA DE SOLDADOR N° 12</t>
  </si>
  <si>
    <t>MAT001133</t>
  </si>
  <si>
    <t>LUNAS NEGRAS PARA CARETA DE SOLDADOR N° 13</t>
  </si>
  <si>
    <t>MAT001134</t>
  </si>
  <si>
    <t>LUNAS NEGRAS PARA CARETA DE SOLDADOR N° 14</t>
  </si>
  <si>
    <t>MAT001135</t>
  </si>
  <si>
    <t>LUNAS TRANSPARENTES PLASTICA PARA CARETA DE SOLDAR</t>
  </si>
  <si>
    <t>MAT001136</t>
  </si>
  <si>
    <t>LUNAS TRANSPARENTES VIDRIO PARA CARETA DE SOLDAR</t>
  </si>
  <si>
    <t>MAT001137</t>
  </si>
  <si>
    <t>LUSTRAMUEBLES MARTELL 260 ML</t>
  </si>
  <si>
    <t>MAT001138</t>
  </si>
  <si>
    <t>MADERA DE 2" X 2" X 10'</t>
  </si>
  <si>
    <t>MADERA SOLIDA</t>
  </si>
  <si>
    <t>MAT001139</t>
  </si>
  <si>
    <t>MADERA DE 2" X 3" X 10'</t>
  </si>
  <si>
    <t>MAT001140</t>
  </si>
  <si>
    <t>MADERA DE 3" X 3" X 10'</t>
  </si>
  <si>
    <t>MAT001141</t>
  </si>
  <si>
    <t>MADERA DE 4" X 4" X 10'</t>
  </si>
  <si>
    <t>MAT001142</t>
  </si>
  <si>
    <t>MADERA TORNILLO 2" X 2" X 10'</t>
  </si>
  <si>
    <t>MAT001143</t>
  </si>
  <si>
    <t>MALLA DE SEÑALIZACION C/NARANJA X 50 YD</t>
  </si>
  <si>
    <t>MAT001144</t>
  </si>
  <si>
    <t>MALLA RASCHEL 90% 4 M X 100 M VERDE</t>
  </si>
  <si>
    <t>MALLA ACERO PARA CERCO</t>
  </si>
  <si>
    <t>MAT001145</t>
  </si>
  <si>
    <t>MANG.TERMOCONTRAIBLE 6/3MM AM/VER</t>
  </si>
  <si>
    <t>MAT001146</t>
  </si>
  <si>
    <t>MANG.TERMOCONTRAIBLE 6/3MM BLANCO</t>
  </si>
  <si>
    <t>MAT001147</t>
  </si>
  <si>
    <t>MANG.TERMOCONTRAIBLE 6/3MM NEGRO</t>
  </si>
  <si>
    <t>MAT001148</t>
  </si>
  <si>
    <t>MANG.TERMOCONTRAIBLE 6/3MM ROJO</t>
  </si>
  <si>
    <t>MAT001149</t>
  </si>
  <si>
    <t>MANGA TERMOCONTRAIBLE 12 MM - COLOR AZUL X 100 M</t>
  </si>
  <si>
    <t>WOER</t>
  </si>
  <si>
    <t>MAT001150</t>
  </si>
  <si>
    <t>MANGA TERMOCONTRAIBLE 12 MM - COLOR BLANCO X 100 M</t>
  </si>
  <si>
    <t>MAT001151</t>
  </si>
  <si>
    <t>MANGA TERMOCONTRAIBLE 12 MM - COLOR NEGRO X 100 M</t>
  </si>
  <si>
    <t>MAT001152</t>
  </si>
  <si>
    <t>MANGA TERMOCONTRAIBLE 12 MM - COLOR ROJO X 100 M</t>
  </si>
  <si>
    <t>MAT001153</t>
  </si>
  <si>
    <t>MANGA TERMOCONTRAIBLE 12 MM - COLOR VERDE X 100 M</t>
  </si>
  <si>
    <t>MAT001154</t>
  </si>
  <si>
    <t>MANGA TERMOCONTRAIBLE 25 MM - COLOR AZUL X 50 M</t>
  </si>
  <si>
    <t>MAT001155</t>
  </si>
  <si>
    <t>MANGA TERMOCONTRAIBLE 25 MM - COLOR BLANCO X 50 M</t>
  </si>
  <si>
    <t>MAT001156</t>
  </si>
  <si>
    <t>MANGA TERMOCONTRAIBLE 25 MM - COLOR NEGRO X 50 M</t>
  </si>
  <si>
    <t>MAT001157</t>
  </si>
  <si>
    <t>MANGA TERMOCONTRAIBLE 25 MM - COLOR ROJO X 50 M</t>
  </si>
  <si>
    <t>MAT001158</t>
  </si>
  <si>
    <t>MANGA TERMOCONTRAIBLE 25 MM - COLOR VERDE X 50 M</t>
  </si>
  <si>
    <t>MAT001159</t>
  </si>
  <si>
    <t>MANGA TERMOCONTRAIBLE 35 MM - COLOR AZUL X 50 M</t>
  </si>
  <si>
    <t>MAT001160</t>
  </si>
  <si>
    <t>MANGA TERMOCONTRAIBLE 35 MM - COLOR BLANCO X 50 M</t>
  </si>
  <si>
    <t>MAT001161</t>
  </si>
  <si>
    <t>MANGA TERMOCONTRAIBLE 35 MM - COLOR NEGRO X 50 M</t>
  </si>
  <si>
    <t>MAT001162</t>
  </si>
  <si>
    <t>MANGA TERMOCONTRAIBLE 35 MM - COLOR ROJO X 50 M</t>
  </si>
  <si>
    <t>MAT001163</t>
  </si>
  <si>
    <t>MANGA TERMOCONTRAIBLE 35 MM - COLOR VERDE X 50 M</t>
  </si>
  <si>
    <t>MAT001164</t>
  </si>
  <si>
    <t>MANGA TERMOCONTRAIBLE 50 MM - COLOR AZUL X 25 M</t>
  </si>
  <si>
    <t>MAT001165</t>
  </si>
  <si>
    <t>MANGA TERMOCONTRAIBLE 50 MM - COLOR BLANCO X 25 M</t>
  </si>
  <si>
    <t>MAT001166</t>
  </si>
  <si>
    <t>MANGA TERMOCONTRAIBLE 50 MM - COLOR NEGRO X 25 M</t>
  </si>
  <si>
    <t>MAT001167</t>
  </si>
  <si>
    <t>MANGA TERMOCONTRAIBLE 50 MM - COLOR ROJO X 25 M</t>
  </si>
  <si>
    <t>MAT001168</t>
  </si>
  <si>
    <t>MANGUERA JEBE Y LONA 300 PSI AIRE 1/2" X 15 M C/CONECTOR RAPIDO AMBOS EXTREMOS</t>
  </si>
  <si>
    <t>MAT001169</t>
  </si>
  <si>
    <t>MANGUERA JEBE Y LONA 300 PSI AIRE 3/4" X 15 M C/ACOPLE GARRA AMBOS EXTREMOS</t>
  </si>
  <si>
    <t>MAT001170</t>
  </si>
  <si>
    <t>MANGUERA MELLIZA (DOBLE) DE 1/4" P/ OXICORTE</t>
  </si>
  <si>
    <t>MAT001171</t>
  </si>
  <si>
    <t>MANGUERA POLYURETHANE TUBING O.D. DE 1/2" X 100 M MODELO: TIU-B 13 B-100-X3</t>
  </si>
  <si>
    <t>SMC</t>
  </si>
  <si>
    <t>MAT001172</t>
  </si>
  <si>
    <t>MANGUERA TRANSPARENTE DE NIVEL DE 10 MM</t>
  </si>
  <si>
    <t>MAT001173</t>
  </si>
  <si>
    <t>MANGUERA TRANSPARENTE DE NIVEL DE 4 MM</t>
  </si>
  <si>
    <t>MAT001174</t>
  </si>
  <si>
    <t>MANOMETRO DE ACETILENO P/ EQUIPO DE OXICORTE</t>
  </si>
  <si>
    <t>MAT001175</t>
  </si>
  <si>
    <t>MANOMETRO DE AIRE 200 PSI</t>
  </si>
  <si>
    <t>ACCESORIO SANITARIO PARA BAÑO</t>
  </si>
  <si>
    <t>MAT001176</t>
  </si>
  <si>
    <t>MANOMETRO DE OXIGENO P/ EQUIPO DE OXICORTE</t>
  </si>
  <si>
    <t>MAT001177</t>
  </si>
  <si>
    <t>MANOMETRO PARA EXTINTOR</t>
  </si>
  <si>
    <t>EXTINTOR</t>
  </si>
  <si>
    <t>MAT001178</t>
  </si>
  <si>
    <t>MANTA ANTIESTATICA</t>
  </si>
  <si>
    <t>MAT001179</t>
  </si>
  <si>
    <t>MANTA DIELECTRICA DE 1 X 1 M CLASE 0 (&lt;=1000V)</t>
  </si>
  <si>
    <t>SOFAMEL</t>
  </si>
  <si>
    <t>MAT001180</t>
  </si>
  <si>
    <t>MANTA DIELECTRICA DE 1 X 1 M CLASE 2 (&lt;=17000V)</t>
  </si>
  <si>
    <t>MAT001181</t>
  </si>
  <si>
    <t>MANTA DIELECTRICA DE 1 X 1 M CLASE 3 (&lt;=26500V)</t>
  </si>
  <si>
    <t>MAT001182</t>
  </si>
  <si>
    <t>MANTA DIELECTRICA DE 1 X 1 M CLASE 4 (&lt;=36000V)</t>
  </si>
  <si>
    <t>MAT001183</t>
  </si>
  <si>
    <t>MANTA IGNIFUGA DE 2 X 2 M</t>
  </si>
  <si>
    <t>PROSOLDES</t>
  </si>
  <si>
    <t>MAT001184</t>
  </si>
  <si>
    <t>MANTA PARA BIOMBO DE 2 M X 2 M</t>
  </si>
  <si>
    <t>MAT001185</t>
  </si>
  <si>
    <t>MARCADOR DE ACERO COLOR BLANCO</t>
  </si>
  <si>
    <t>MAT001186</t>
  </si>
  <si>
    <t>MARCADOR Y/O SEÑALIZADOR TERMOCONTRAIBLE 10-16 AWG X 30 M</t>
  </si>
  <si>
    <t>HONGSHANG</t>
  </si>
  <si>
    <t>MAT001187</t>
  </si>
  <si>
    <t>MASILLA DE VEDACION PARA SOLDADURA ESOTERMICA DE 5 LIBRAS</t>
  </si>
  <si>
    <t>MAT001188</t>
  </si>
  <si>
    <t>MASILLA PARA DRYWALL X 20 KG</t>
  </si>
  <si>
    <t>GYPLAC</t>
  </si>
  <si>
    <t>MAT001189</t>
  </si>
  <si>
    <t>MASILLA PARA MADERA</t>
  </si>
  <si>
    <t>HADES</t>
  </si>
  <si>
    <t>MAT001190</t>
  </si>
  <si>
    <t>MASILLA SUPERIOR DE POLIESTER X3 500 GRAMOS</t>
  </si>
  <si>
    <t>MAT001191</t>
  </si>
  <si>
    <t>MECHA PARA BERBIQUI DE 1/2"</t>
  </si>
  <si>
    <t>ACCESORIO PARA CARPINTERIA</t>
  </si>
  <si>
    <t>MAT001192</t>
  </si>
  <si>
    <t>MECHA PARA BERBIQUI DE 1/4"</t>
  </si>
  <si>
    <t>MAT001193</t>
  </si>
  <si>
    <t>MECHA PARA BERBIQUI DE 3/8"</t>
  </si>
  <si>
    <t>MAT001194</t>
  </si>
  <si>
    <t>MECHA PARA BERBIQUI DE 5/8"</t>
  </si>
  <si>
    <t>MAT001195</t>
  </si>
  <si>
    <t>MICA 145MM X 100 MM P/ENMICADORA ESPESOR: 200 MICRAS X 100 UND</t>
  </si>
  <si>
    <t>MAT001196</t>
  </si>
  <si>
    <t>MICA A3 426X303 MM P/ENMICADORA ESPESOR: 125 MICRAS X 100 UND</t>
  </si>
  <si>
    <t>MAT001197</t>
  </si>
  <si>
    <t>MICA A3 426X303 MM P/ENMICADORA ESPESOR: 175 MICRAS X 100 UND</t>
  </si>
  <si>
    <t>MAT001198</t>
  </si>
  <si>
    <t>MICA A4 216X303 MM P/ENMICADORA ESPESOR: 175 MICRAS X 100 UND</t>
  </si>
  <si>
    <t>MAT001199</t>
  </si>
  <si>
    <t>MICA PORTAPAPEL TAMAÑO A4 X 10 UND</t>
  </si>
  <si>
    <t>MAT001200</t>
  </si>
  <si>
    <t>MICA PORTAPAPEL TAMAÑO OFICIO X 10 UND</t>
  </si>
  <si>
    <t>MAT001201</t>
  </si>
  <si>
    <t>MOCHILA PORTA LAPTOP COLOR NEGRO LOGO STP</t>
  </si>
  <si>
    <t>MAT001202</t>
  </si>
  <si>
    <t>MOLDE PARA SOLDADURA ESOTERMICA TIPO T DE 2/0-2/0 AWG</t>
  </si>
  <si>
    <t>SOLDADURA CADWELL O SIMILAR</t>
  </si>
  <si>
    <t>MAT001203</t>
  </si>
  <si>
    <t>MOLDE PARA SOLDADURA ESOTERMICA TIPO T DE 4/0-1/0 AWG</t>
  </si>
  <si>
    <t>MAT001204</t>
  </si>
  <si>
    <t>MOLDE PARA SOLDADURA ESOTERMICA TIPO T DE 4/0-2/0 AWG</t>
  </si>
  <si>
    <t>MAT001205</t>
  </si>
  <si>
    <t>MOLDE PARA SOLDADURA ESOTERMICA TIPO T DE 4/0-4/0 AWG</t>
  </si>
  <si>
    <t>MAT001206</t>
  </si>
  <si>
    <t>MOLDE PARA SOLDADURA ESOTERMICA TIPO X DE 4/0-2/0 AWG</t>
  </si>
  <si>
    <t>MAT001207</t>
  </si>
  <si>
    <t>MOLDE PARA SOLDADURA ESOTERMICA TIPO X DE 4/0-4/0 AWG</t>
  </si>
  <si>
    <t>MAT001208</t>
  </si>
  <si>
    <t>MOLDE PARA SOLDADURA EXOTERMICA TIPO T DE 2/0-2/0 AWG</t>
  </si>
  <si>
    <t>MAT001209</t>
  </si>
  <si>
    <t>MOLDE PARA SOLDADURA EXOTERMICA TIPO T DE 4/0-2/0 AWG</t>
  </si>
  <si>
    <t>MAT001210</t>
  </si>
  <si>
    <t>MOLDE PARA SOLDADURA EXOTERMICA TIPO T DE 4/0-4/0 AWG</t>
  </si>
  <si>
    <t>MAT001211</t>
  </si>
  <si>
    <t>MOLDE PARA SOLDADURA EXOTERMICA TIPO X DE 1/0-1/0 AWG</t>
  </si>
  <si>
    <t>MAT001212</t>
  </si>
  <si>
    <t>MORRAL DE TIPO CINTURON PORTA HERRAMIENTAS</t>
  </si>
  <si>
    <t>MAT001213</t>
  </si>
  <si>
    <t>MORRAL DEPOTIVO DE 50 CM BASE X 70 CM ALTURALOGO STP</t>
  </si>
  <si>
    <t>MAT001214</t>
  </si>
  <si>
    <t>MOTA PARA PIZARRA ACRILICA</t>
  </si>
  <si>
    <t>MAT001215</t>
  </si>
  <si>
    <t>MOUSE C/ CABLE</t>
  </si>
  <si>
    <t>TECLADO/MOUSE</t>
  </si>
  <si>
    <t>LOGITECH</t>
  </si>
  <si>
    <t>MAT001216</t>
  </si>
  <si>
    <t>MOUSE INALAMBRICO</t>
  </si>
  <si>
    <t>MAT001217</t>
  </si>
  <si>
    <t>NIPLE A°G° DE 1" X 1" ISO 65</t>
  </si>
  <si>
    <t>MAT001218</t>
  </si>
  <si>
    <t>NIPLE A°G° DE 1" X 2" ISO 65</t>
  </si>
  <si>
    <t>MAT001219</t>
  </si>
  <si>
    <t>NIPLE A°G° DE 1" X 3" ISO 65</t>
  </si>
  <si>
    <t>MAT001220</t>
  </si>
  <si>
    <t>NIPLE A°G° DE 1" X 4" ISO 65</t>
  </si>
  <si>
    <t>MAT001221</t>
  </si>
  <si>
    <t>NIPLE A°G° DE 1/2" X 1" ISO 65</t>
  </si>
  <si>
    <t>MAT001222</t>
  </si>
  <si>
    <t>NIPLE A°G° DE 1/2" X 2" ISO 65</t>
  </si>
  <si>
    <t>MAT001223</t>
  </si>
  <si>
    <t>NIPLE A°G° DE 1/2" X 3" ISO 65</t>
  </si>
  <si>
    <t>MAT001224</t>
  </si>
  <si>
    <t>NIPLE A°G° DE 1/2" X 4" ISO 65</t>
  </si>
  <si>
    <t>MAT001225</t>
  </si>
  <si>
    <t>NIPLE A°G° DE 2" X 1" ISO 65</t>
  </si>
  <si>
    <t>MAT001226</t>
  </si>
  <si>
    <t>NIPLE A°G° DE 2" X 2" ISO 65</t>
  </si>
  <si>
    <t>MAT001227</t>
  </si>
  <si>
    <t>NIPLE A°G° DE 2" X 3" ISO 65</t>
  </si>
  <si>
    <t>MAT001228</t>
  </si>
  <si>
    <t>NIPLE A°G° DE 2" X 4" ISO 65</t>
  </si>
  <si>
    <t>MAT001229</t>
  </si>
  <si>
    <t>NIPLE A°G° DE 3/4" X 1" ISO 65</t>
  </si>
  <si>
    <t>MAT001230</t>
  </si>
  <si>
    <t>NIPLE A°G° DE 3/4" X 2" ISO 65</t>
  </si>
  <si>
    <t>MAT001231</t>
  </si>
  <si>
    <t>NIPLE A°G° DE 3/4" X 3" ISO 65</t>
  </si>
  <si>
    <t>MAT001232</t>
  </si>
  <si>
    <t>NIPLE A°G° DE 3/4" X 4" ISO 65</t>
  </si>
  <si>
    <t>MAT001233</t>
  </si>
  <si>
    <t>NIPLE F°N° DE 1" X 1"</t>
  </si>
  <si>
    <t>MAT001234</t>
  </si>
  <si>
    <t>NIPLE F°N° DE 1" X 2"</t>
  </si>
  <si>
    <t>MAT001235</t>
  </si>
  <si>
    <t>NIPLE F°N° DE 1" X 3"</t>
  </si>
  <si>
    <t>MAT001236</t>
  </si>
  <si>
    <t>NIPLE F°N° DE 1" X 4"</t>
  </si>
  <si>
    <t>MAT001237</t>
  </si>
  <si>
    <t>NIPLE F°N° DE 1/2" X 1"</t>
  </si>
  <si>
    <t>MAT001238</t>
  </si>
  <si>
    <t>NIPLE F°N° DE 1/2" X 2"</t>
  </si>
  <si>
    <t>MAT001239</t>
  </si>
  <si>
    <t>NIPLE F°N° DE 1/2" X 3"</t>
  </si>
  <si>
    <t>MAT001240</t>
  </si>
  <si>
    <t>NIPLE F°N° DE 1/2" X 4"</t>
  </si>
  <si>
    <t>MAT001241</t>
  </si>
  <si>
    <t>NIPLE F°N° DE 2" X 1"</t>
  </si>
  <si>
    <t>MAT001242</t>
  </si>
  <si>
    <t>NIPLE F°N° DE 2" X 2"</t>
  </si>
  <si>
    <t>MAT001243</t>
  </si>
  <si>
    <t>NIPLE F°N° DE 2" X 3"</t>
  </si>
  <si>
    <t>MAT001244</t>
  </si>
  <si>
    <t>NIPLE F°N° DE 2" X 4"</t>
  </si>
  <si>
    <t>MAT001245</t>
  </si>
  <si>
    <t>NIPLE F°N° DE 3/4" X 1"</t>
  </si>
  <si>
    <t>MAT001246</t>
  </si>
  <si>
    <t>NIPLE F°N° DE 3/4" X 2"</t>
  </si>
  <si>
    <t>MAT001247</t>
  </si>
  <si>
    <t>NIPLE F°N° DE 3/4" X 3"</t>
  </si>
  <si>
    <t>MAT001248</t>
  </si>
  <si>
    <t>NIPLE F°N° DE 3/4" X 4"</t>
  </si>
  <si>
    <t>MAT001249</t>
  </si>
  <si>
    <t>NIPLE PVC 1" X 2" ROSCADO</t>
  </si>
  <si>
    <t>MAT001250</t>
  </si>
  <si>
    <t>NIPLE PVC 1" X 3" ROSCADO</t>
  </si>
  <si>
    <t>MAT001251</t>
  </si>
  <si>
    <t>NIPLE PVC 1" X 4" ROSCADO</t>
  </si>
  <si>
    <t>MAT001252</t>
  </si>
  <si>
    <t>NIPLE PVC 1/2" X 2" ROSCADO</t>
  </si>
  <si>
    <t>MAT001253</t>
  </si>
  <si>
    <t>NIPLE PVC 1/2" X 3" ROSCADO</t>
  </si>
  <si>
    <t>MAT001254</t>
  </si>
  <si>
    <t>NIPLE PVC 1/2" X 4" ROSCADO</t>
  </si>
  <si>
    <t>MAT001255</t>
  </si>
  <si>
    <t>NIPLE PVC 3/4" X 2" ROSCADO</t>
  </si>
  <si>
    <t>MAT001256</t>
  </si>
  <si>
    <t>NIPLE PVC 3/4" X 3" ROSCADO</t>
  </si>
  <si>
    <t>MAT001257</t>
  </si>
  <si>
    <t>NIPLE PVC 3/4" X 4" ROSCADO</t>
  </si>
  <si>
    <t>MAT001258</t>
  </si>
  <si>
    <t>NORMOGRAFO DE PLASTICO DE 4 CM X 10 CM</t>
  </si>
  <si>
    <t>MAT001259</t>
  </si>
  <si>
    <t>NOTA ADHESIVA DE 3" X 3" POST IT</t>
  </si>
  <si>
    <t>MAT001260</t>
  </si>
  <si>
    <t>OCHAVO DE MADERA 1" X 1" X 3 M</t>
  </si>
  <si>
    <t>MADERA MACHIHEMBRADA</t>
  </si>
  <si>
    <t>MAT001261</t>
  </si>
  <si>
    <t>OCHAVO DE MADERA 1/2" X 1/2" X 3 M</t>
  </si>
  <si>
    <t>MAT001262</t>
  </si>
  <si>
    <t>OCHAVO DE MADERA 3/4" X 3/4" X 3 M</t>
  </si>
  <si>
    <t>MAT001263</t>
  </si>
  <si>
    <t>OCRE COLOR ROJO X 1 KG</t>
  </si>
  <si>
    <t>TOPEX</t>
  </si>
  <si>
    <t>MAT001264</t>
  </si>
  <si>
    <t>ORGANIZADOR DE REJILLA</t>
  </si>
  <si>
    <t>MAT001265</t>
  </si>
  <si>
    <t>OXIGENO GASEOSO DE 10 M3</t>
  </si>
  <si>
    <t>MAT001266</t>
  </si>
  <si>
    <t>PAD MOUSE</t>
  </si>
  <si>
    <t>MAT001267</t>
  </si>
  <si>
    <t>PALETA DE VIGIA (PARE Y SIGA)</t>
  </si>
  <si>
    <t>MAT001268</t>
  </si>
  <si>
    <t>PAÑITOS ANTISÉPTICOS (TOALLITA HUMEDA)</t>
  </si>
  <si>
    <t>MAT001269</t>
  </si>
  <si>
    <t>PAÑO ABSORVENTE DE 15" X 19"</t>
  </si>
  <si>
    <t>MAT001270</t>
  </si>
  <si>
    <t>PAPEL ADHESIVO A-4 BLANCO BRILLANTE 180GR</t>
  </si>
  <si>
    <t>MAT001271</t>
  </si>
  <si>
    <t>PAPEL BOND T-A3 P/ FOTOCOPIA 75 g/m2</t>
  </si>
  <si>
    <t>MAT001272</t>
  </si>
  <si>
    <t>PAPEL BOND T-A4 P/ FOTOCOPIA 75 g/m2</t>
  </si>
  <si>
    <t>MAT001273</t>
  </si>
  <si>
    <t>PAPEL TOALLA DOBLE HOJA</t>
  </si>
  <si>
    <t>ELITE</t>
  </si>
  <si>
    <t>MAT001274</t>
  </si>
  <si>
    <t>PARIHUELA DE MADERA DE 1,2 M X 1,0 M</t>
  </si>
  <si>
    <t>MAT001275</t>
  </si>
  <si>
    <t>PARIHUELA DE MADERA DE 1,2 M X 1,2 M</t>
  </si>
  <si>
    <t>MAT001276</t>
  </si>
  <si>
    <t>PASTA MURAL</t>
  </si>
  <si>
    <t>PINTURA DOMESTICA/EDIFICACION</t>
  </si>
  <si>
    <t>VENCEDOR</t>
  </si>
  <si>
    <t>MAT001277</t>
  </si>
  <si>
    <t>PEDESTAL PORTA EXTINTOR</t>
  </si>
  <si>
    <t>MAT001278</t>
  </si>
  <si>
    <t>PEGAMENTO ADHESIVO ENCHAPE TEROCHAP X 1 GAL</t>
  </si>
  <si>
    <t>MAT001279</t>
  </si>
  <si>
    <t>PEGAMENTO ADHESIVO ENCHAPE TEROCHAP X 1/4 GL</t>
  </si>
  <si>
    <t>MAT001280</t>
  </si>
  <si>
    <t>PEGAMENTO CEMENTO PARA CPVC EXTRA X 4 ONZ 118 ML</t>
  </si>
  <si>
    <t>PEGAMENTO PARA TUBERIA PVC</t>
  </si>
  <si>
    <t>OATEY</t>
  </si>
  <si>
    <t>MAT001281</t>
  </si>
  <si>
    <t>PEGAMENTO CEMENTO PARA CPVC EXTRA X 8 ONZ 237 ML</t>
  </si>
  <si>
    <t>MAT001282</t>
  </si>
  <si>
    <t>PEGAMENTO CEMENTO PARA CPVC X 16 ONZ 473 ML (1/8 GAL)</t>
  </si>
  <si>
    <t>MAT001283</t>
  </si>
  <si>
    <t>PEGAMENTO CEMENTO PARA CPVC X 32 ONZ 946 ML (1/4 GAL)</t>
  </si>
  <si>
    <t>MAT001284</t>
  </si>
  <si>
    <t>PEGAMENTO CEMENTO PARA PVC COLOR AZUL X 16 ONZ 473 ML (1/8 GAL)</t>
  </si>
  <si>
    <t>MAT001285</t>
  </si>
  <si>
    <t>PEGAMENTO CEMENTO PARA PVC COLOR AZUL X 32 ONZ 946 ML (1/4 GAL)</t>
  </si>
  <si>
    <t>MAT001286</t>
  </si>
  <si>
    <t>PEGAMENTO CEMENTO PARA PVC COLOR AZUL X 4 ONZ 118 ML</t>
  </si>
  <si>
    <t>MAT001287</t>
  </si>
  <si>
    <t>PEGAMENTO CEMENTO PARA PVC COLOR AZUL X 8 ONZ 237 ML</t>
  </si>
  <si>
    <t>MAT001288</t>
  </si>
  <si>
    <t>PEGAMENTO CEMENTO PARA PVC COLOR DORADO X 16 ONZ 473 ML (1/8 GAL)</t>
  </si>
  <si>
    <t>MAT001289</t>
  </si>
  <si>
    <t>PEGAMENTO CEMENTO PARA PVC COLOR DORADO X 32 ONZ 946 ML (1/4 GAL)</t>
  </si>
  <si>
    <t>MAT001290</t>
  </si>
  <si>
    <t>PEGAMENTO CEMENTO PARA PVC COLOR DORADO X 4 ONZ 118 ML</t>
  </si>
  <si>
    <t>MAT001291</t>
  </si>
  <si>
    <t>PEGAMENTO CEMENTO PARA PVC COLOR DORADO X 8 ONZ 237 ML</t>
  </si>
  <si>
    <t>MAT001292</t>
  </si>
  <si>
    <t>PEINE PARA TARRAJA 12 R DE 1 1/2"</t>
  </si>
  <si>
    <t>MAT001293</t>
  </si>
  <si>
    <t>PEINE PARA TARRAJA 12 R DE 1 1/4"</t>
  </si>
  <si>
    <t>MAT001294</t>
  </si>
  <si>
    <t>PEINE PARA TARRAJA 12 R DE 1"</t>
  </si>
  <si>
    <t>MAT001295</t>
  </si>
  <si>
    <t>PEINE PARA TARRAJA 12 R DE 1/2"</t>
  </si>
  <si>
    <t>MAT001296</t>
  </si>
  <si>
    <t>PEINE PARA TARRAJA 12 R DE 2"</t>
  </si>
  <si>
    <t>MAT001297</t>
  </si>
  <si>
    <t>PEINE PARA TARRAJA 12 R DE 3/4"</t>
  </si>
  <si>
    <t>MAT001298</t>
  </si>
  <si>
    <t>PELOTA ANTIESTRES</t>
  </si>
  <si>
    <t>MAT001299</t>
  </si>
  <si>
    <t>PELOTA DE PLASTICO GRANDE</t>
  </si>
  <si>
    <t>MAT001300</t>
  </si>
  <si>
    <t>PERFORADOR DE 3 ANILLOS</t>
  </si>
  <si>
    <t>MAT001301</t>
  </si>
  <si>
    <t>PERFORADOR DE PAPEL 2 HUECOS</t>
  </si>
  <si>
    <t>MAT001302</t>
  </si>
  <si>
    <t>PERNO CAB. HEXAGONAL A°G° 1/2" X 1 1/2" C/ TUERCA Y ARANDELA PLANA Y PRESION</t>
  </si>
  <si>
    <t>MAT001303</t>
  </si>
  <si>
    <t>PERNO CAB. HEXAGONAL A°G° 1/2" X 1 1/4" C/ TUERCA Y ARANDELA PLANA Y PRESION</t>
  </si>
  <si>
    <t>MAT001304</t>
  </si>
  <si>
    <t>PERNO CAB. HEXAGONAL A°G° 1/2" X 1 3/4" C/ TUERCA Y ARANDELA PLANA Y PRESION</t>
  </si>
  <si>
    <t>MAT001305</t>
  </si>
  <si>
    <t>PERNO CAB. HEXAGONAL A°G° 1/2" X 1" C/ TUERCA Y ARANDELA PLANA Y PRESION</t>
  </si>
  <si>
    <t>MAT001306</t>
  </si>
  <si>
    <t>PERNO CAB. HEXAGONAL A°G° 1/2" X 2 1/2" C/ TUERCA Y ARANDELA PLANA Y PRESION</t>
  </si>
  <si>
    <t>MAT001307</t>
  </si>
  <si>
    <t>PERNO CAB. HEXAGONAL A°G° 1/2" X 2" C/ TUERCA Y ARANDELA PLANA Y PRESION</t>
  </si>
  <si>
    <t>MAT001308</t>
  </si>
  <si>
    <t>PERNO CAB. HEXAGONAL A°G° 1/2" X 3" C/ TUERCA Y ARANDELA PLANA Y PRESION</t>
  </si>
  <si>
    <t>MAT001309</t>
  </si>
  <si>
    <t>PERNO CAB. HEXAGONAL A°G° 1/2" X 4" C/ TUERCA Y ARANDELA PLANA Y PRESION</t>
  </si>
  <si>
    <t>MAT001310</t>
  </si>
  <si>
    <t>PERNO CAB. HEXAGONAL A°G° 1/4" X 1 1/2" C/ TUERCA Y ARANDELA PLANA Y PRESION</t>
  </si>
  <si>
    <t>MAT001311</t>
  </si>
  <si>
    <t>PERNO CAB. HEXAGONAL A°G° 1/4" X 1 1/4" C/ TUERCA Y ARANDELA PLANA Y PRESION</t>
  </si>
  <si>
    <t>MAT001312</t>
  </si>
  <si>
    <t>PERNO CAB. HEXAGONAL A°G° 1/4" X 1" C/ TUERCA Y ARANDELA PLANA Y PRESION</t>
  </si>
  <si>
    <t>MAT001313</t>
  </si>
  <si>
    <t>PERNO CAB. HEXAGONAL A°G° 1/4" X 1/2" C/ TUERCA Y ARANDELA PLANA Y PRESION</t>
  </si>
  <si>
    <t>MAT001314</t>
  </si>
  <si>
    <t>PERNO CAB. HEXAGONAL A°G° 1/4" X 2 1/2" C/ TUERCA Y ARANDELA PLANA Y PRESION</t>
  </si>
  <si>
    <t>MAT001315</t>
  </si>
  <si>
    <t>PERNO CAB. HEXAGONAL A°G° 1/4" X 2" C/ TUERCA Y ARANDELA PLANA Y PRESION</t>
  </si>
  <si>
    <t>MAT001316</t>
  </si>
  <si>
    <t>PERNO CAB. HEXAGONAL A°G° 1/4" X 3" C/ TUERCA Y ARANDELA PLANA Y PRESION</t>
  </si>
  <si>
    <t>MAT001317</t>
  </si>
  <si>
    <t>PERNO CAB. HEXAGONAL A°G° 1/4" X 3/4" C/ TUERCA Y ARANDELA PLANA Y PRESION</t>
  </si>
  <si>
    <t>MAT001318</t>
  </si>
  <si>
    <t>PERNO CAB. HEXAGONAL A°G° 3/4" X 1 1/2" C/ TUERCA Y ARANDELA PLANA Y PRESION</t>
  </si>
  <si>
    <t>MAT001319</t>
  </si>
  <si>
    <t>PERNO CAB. HEXAGONAL A°G° 3/4" X 1 3/4" C/ TUERCA Y ARANDELA PLANA Y PRESION</t>
  </si>
  <si>
    <t>MAT001320</t>
  </si>
  <si>
    <t>PERNO CAB. HEXAGONAL A°G° 3/4" X 1" C/ TUERCA Y ARANDELA PLANA Y PRESION</t>
  </si>
  <si>
    <t>MAT001321</t>
  </si>
  <si>
    <t>PERNO CAB. HEXAGONAL A°G° 3/4" X 2 1/2" C/ TUERCA Y ARANDELA PLANA Y PRESION</t>
  </si>
  <si>
    <t>MAT001322</t>
  </si>
  <si>
    <t>PERNO CAB. HEXAGONAL A°G° 3/4" X 2" C/ TUERCA Y ARANDELA PLANA Y PRESION</t>
  </si>
  <si>
    <t>MAT001323</t>
  </si>
  <si>
    <t>PERNO CAB. HEXAGONAL A°G° 3/4" X 3 1/2" C/ TUERCA Y ARANDELA PLANA Y PRESION</t>
  </si>
  <si>
    <t>MAT001324</t>
  </si>
  <si>
    <t>PERNO CAB. HEXAGONAL A°G° 3/4" X 3" C/ TUERCA Y ARANDELA PLANA Y PRESION</t>
  </si>
  <si>
    <t>MAT001325</t>
  </si>
  <si>
    <t>PERNO CAB. HEXAGONAL A°G° 3/4" X 4" C/ TUERCA Y ARANDELA PLANA Y PRESION</t>
  </si>
  <si>
    <t>MAT001326</t>
  </si>
  <si>
    <t>PERNO CAB. HEXAGONAL A°G° 3/8" X 1 1/2" C/ TUERCA Y ARANDELA PLANA Y PRESION</t>
  </si>
  <si>
    <t>MAT001327</t>
  </si>
  <si>
    <t>PERNO CAB. HEXAGONAL A°G° 3/8" X 1 1/4" C/ TUERCA Y ARANDELA PLANA Y PRESION</t>
  </si>
  <si>
    <t>MAT001328</t>
  </si>
  <si>
    <t>PERNO CAB. HEXAGONAL A°G° 3/8" X 1" C/ TUERCA Y ARANDELA PLANA Y PRESION</t>
  </si>
  <si>
    <t>MAT001329</t>
  </si>
  <si>
    <t>PERNO CAB. HEXAGONAL A°G° 3/8" X 2 1/2" C/ TUERCA Y ARANDELA PLANA Y PRESION</t>
  </si>
  <si>
    <t>MAT001330</t>
  </si>
  <si>
    <t>PERNO CAB. HEXAGONAL A°G° 3/8" X 2" C/ TUERCA Y ARANDELA PLANA Y PRESION</t>
  </si>
  <si>
    <t>MAT001331</t>
  </si>
  <si>
    <t>PERNO CAB. HEXAGONAL A°G° 3/8" X 3 1/2" C/ TUERCA Y ARANDELA PLANA Y PRESION</t>
  </si>
  <si>
    <t>MAT001332</t>
  </si>
  <si>
    <t>PERNO CAB. HEXAGONAL A°G° 3/8" X 3" C/ TUERCA Y ARANDELA PLANA Y PRESION</t>
  </si>
  <si>
    <t>MAT001333</t>
  </si>
  <si>
    <t>PERNO CAB. HEXAGONAL A°G° 3/8" X 4" C/ TUERCA Y ARANDELA PLANA Y PRESION</t>
  </si>
  <si>
    <t>MAT001334</t>
  </si>
  <si>
    <t>PERNO CAB. HEXAGONAL A°G° 5/16 X 2" C/ TUERCA Y ARANDELA PLANA Y PRESION</t>
  </si>
  <si>
    <t>MAT001335</t>
  </si>
  <si>
    <t>PERNO CAB. HEXAGONAL A°G° 5/16 X 3" C/ TUERCA Y ARANDELA PLANA Y PRESION</t>
  </si>
  <si>
    <t>MAT001336</t>
  </si>
  <si>
    <t>PERNO CAB. HEXAGONAL A°G° 5/16" X 1 1/2" C/ TUERCA Y ARANDELA PLANA Y PRESION</t>
  </si>
  <si>
    <t>MAT001337</t>
  </si>
  <si>
    <t>PERNO CAB. HEXAGONAL A°G° 5/16" X 1" C/ TUERCA Y ARANDELA PLANA Y PRESION</t>
  </si>
  <si>
    <t>MAT001338</t>
  </si>
  <si>
    <t>PERNO CAB. HEXAGONAL A°G° 5/16" X 2 1/2" C/ TUERCA Y ARANDELA PLANA Y PRESION</t>
  </si>
  <si>
    <t>MAT001339</t>
  </si>
  <si>
    <t>PERNO CAB. HEXAGONAL A°G° 5/16" X 3/4" C/ TUERCA Y ARANDELA PLANA Y PRESION</t>
  </si>
  <si>
    <t>MAT001340</t>
  </si>
  <si>
    <t>PERNO CAB. HEXAGONAL A°G° 5/8" X 1 1/2" C/ TUERCA Y ARANDELA PLANA Y PRESION</t>
  </si>
  <si>
    <t>MAT001341</t>
  </si>
  <si>
    <t>PERNO CAB. HEXAGONAL A°G° 5/8" X 1 1/4" C/ TUERCA Y ARAND PLANA Y PRESION</t>
  </si>
  <si>
    <t>MAT001342</t>
  </si>
  <si>
    <t>PERNO CAB. HEXAGONAL A°G° 5/8" X 1 3/4" C/ TUERCA Y ARAND PLANA Y PRESION</t>
  </si>
  <si>
    <t>MAT001343</t>
  </si>
  <si>
    <t>PERNO CAB. HEXAGONAL A°G° 5/8" X 1" C/ TUERCA Y ARANDELA PLANA Y PRESION</t>
  </si>
  <si>
    <t>MAT001344</t>
  </si>
  <si>
    <t>PERNO CAB. HEXAGONAL A°G° 5/8" X 2 1/2" C/ TUERCA Y ARANDELA PLANA Y PRESION</t>
  </si>
  <si>
    <t>MAT001345</t>
  </si>
  <si>
    <t>PERNO CAB. HEXAGONAL A°G° 5/8" X 2" C/ TUERCA Y ARANDELA PLANA Y PRESION</t>
  </si>
  <si>
    <t>MAT001346</t>
  </si>
  <si>
    <t>PERNO CAB. HEXAGONAL A°G° 5/8" X 3 1/2" C/ TUERCA Y ARANDELA PLANA Y PRESION</t>
  </si>
  <si>
    <t>MAT001347</t>
  </si>
  <si>
    <t>PERNO CAB. HEXAGONAL A°G° 5/8" X 3 3/4" C/ TUERCA Y ARANDELA PLANA Y PRESION</t>
  </si>
  <si>
    <t>MAT001348</t>
  </si>
  <si>
    <t>PERNO CAB. HEXAGONAL A°G° 5/8" X 3" C/ TUERCA Y ARANDELA PLANA Y PRESION</t>
  </si>
  <si>
    <t>MAT001349</t>
  </si>
  <si>
    <t>PERNO CAB. HEXAGONAL A°G° 5/8" X 4" C/ TUERCA Y ARANDELA PLANA Y PRESION</t>
  </si>
  <si>
    <t>MAT001350</t>
  </si>
  <si>
    <t>PERNO CAB. HEXAGONAL A°G° 7/16" X 1 1/2" C/ TUERCA Y ARANDELA PLANA Y PRESION</t>
  </si>
  <si>
    <t>MAT001351</t>
  </si>
  <si>
    <t>PERNO CAB. HEXAGONAL A°G° 7/16" X 1" C/ TUERCA Y ARANDELA PLANA Y PRESION</t>
  </si>
  <si>
    <t>MAT001352</t>
  </si>
  <si>
    <t>PERNO CAB. HEXAGONAL A°G° 7/16" X 2 1/2" C/ TUERCA Y ARANDELA PLANA Y PRESION</t>
  </si>
  <si>
    <t>MAT001353</t>
  </si>
  <si>
    <t>PERNO CAB. HEXAGONAL A°G° 7/16" X 2" C/ TUERCA Y ARANDELA PLANA Y PRESION</t>
  </si>
  <si>
    <t>MAT001354</t>
  </si>
  <si>
    <t>PERNO CAB. HEXAGONAL A°G° 7/16" X 3 1/2" C/ TUERCA Y ARANDELA PLANA Y PRESION</t>
  </si>
  <si>
    <t>MAT001355</t>
  </si>
  <si>
    <t>PERNO CAB. HEXAGONAL A°G° 7/16" X 3" C/ TUERCA Y ARANDELA PLANA Y PRESION</t>
  </si>
  <si>
    <t>MAT001356</t>
  </si>
  <si>
    <t>PERNO CAB. HEXAGONAL A°G° 7/16" X 4" C/ TUERCA Y ARANDELA PLANA Y PRESION</t>
  </si>
  <si>
    <t>MAT001357</t>
  </si>
  <si>
    <t>PERNO CAB. HEXAGONAL A°G° 7/8" X 2 1/2" C/ TUERCA Y ARANDELA PLANA Y PRESION</t>
  </si>
  <si>
    <t>MAT001358</t>
  </si>
  <si>
    <t>PERNO CAB. HEXAGONAL A°G° 7/8" X 2" C/ TUERCA Y ARANDELA PLANA Y PRESION</t>
  </si>
  <si>
    <t>MAT001359</t>
  </si>
  <si>
    <t>PERNO CAB. HEXAGONAL A°G° 7/8" X 3 1/2" C/ TUERCA Y ARANDELA PLANA Y PRESION</t>
  </si>
  <si>
    <t>MAT001360</t>
  </si>
  <si>
    <t>PERNO CAB. HEXAGONAL A°G° 7/8" X 3" C/ TUERCA Y ARANDELA PLANA Y PRESION</t>
  </si>
  <si>
    <t>MAT001361</t>
  </si>
  <si>
    <t>PERNO CAB. HEXAGONAL A°G° 7/8" X 4" C/ TUERCA Y ARANDELA PLANA Y PRESION</t>
  </si>
  <si>
    <t>MAT001362</t>
  </si>
  <si>
    <t>PERNO CAB. HEXAGONAL F°N° 1/2" X 1 1/2" C/ TUERCA Y ARANDELA PLANA Y PRESION</t>
  </si>
  <si>
    <t>MAT001363</t>
  </si>
  <si>
    <t>PERNO CAB. HEXAGONAL F°N° 1/2" X 1 1/4" C/ TUERCA Y ARANDELA PLANA Y PRESION</t>
  </si>
  <si>
    <t>MAT001364</t>
  </si>
  <si>
    <t>PERNO CAB. HEXAGONAL F°N° 1/2" X 1 3/4" C/ TUERCA Y ARANDELA PLANA Y PRESION</t>
  </si>
  <si>
    <t>MAT001365</t>
  </si>
  <si>
    <t>PERNO CAB. HEXAGONAL F°N° 1/2" X 1" C/ TUERCA Y ARANDELA PLANA Y PRESION</t>
  </si>
  <si>
    <t>MAT001366</t>
  </si>
  <si>
    <t>PERNO CAB. HEXAGONAL F°N° 1/2" X 2 1/2" C/ TUERCA Y ARANDELA PLANA Y PRESION</t>
  </si>
  <si>
    <t>MAT001367</t>
  </si>
  <si>
    <t>PERNO CAB. HEXAGONAL F°N° 1/2" X 2" C/ TUERCA Y ARANDELA PLANA Y PRESION</t>
  </si>
  <si>
    <t>MAT001368</t>
  </si>
  <si>
    <t>PERNO CAB. HEXAGONAL F°N° 1/2" X 3" C/ TUERCA Y ARANDELA PLANA Y PRESION</t>
  </si>
  <si>
    <t>MAT001369</t>
  </si>
  <si>
    <t>PERNO CAB. HEXAGONAL F°N° 1/2" X 4" C/ TUERCA Y ARANDELA PLANA Y PRESION</t>
  </si>
  <si>
    <t>MAT001370</t>
  </si>
  <si>
    <t>PERNO CAB. HEXAGONAL F°N° 1/4" X 1 1/2" C/ TUERCA Y ARANDELA PLANA Y PRESION</t>
  </si>
  <si>
    <t>MAT001371</t>
  </si>
  <si>
    <t>PERNO CAB. HEXAGONAL F°N° 1/4" X 1 1/4" C/ TUERCA Y ARANDELA PLANA Y PRESION</t>
  </si>
  <si>
    <t>MAT001372</t>
  </si>
  <si>
    <t>PERNO CAB. HEXAGONAL F°N° 1/4" X 1" C/ TUERCA Y ARANDELA PLANA Y PRESION</t>
  </si>
  <si>
    <t>MAT001373</t>
  </si>
  <si>
    <t>PERNO CAB. HEXAGONAL F°N° 1/4" X 1/2" C/ TUERCA Y ARANDELA PLANA Y PRESION</t>
  </si>
  <si>
    <t>MAT001374</t>
  </si>
  <si>
    <t>PERNO CAB. HEXAGONAL F°N° 1/4" X 2 1/2" C/ TUERCA Y ARANDELA PLANA Y PRESION</t>
  </si>
  <si>
    <t>MAT001375</t>
  </si>
  <si>
    <t>PERNO CAB. HEXAGONAL F°N° 1/4" X 2" C/ TUERCA Y ARANDELA PLANA Y PRESION</t>
  </si>
  <si>
    <t>MAT001376</t>
  </si>
  <si>
    <t>PERNO CAB. HEXAGONAL F°N° 1/4" X 3" C/ TUERCA Y ARANDELA PLANA Y PRESION</t>
  </si>
  <si>
    <t>MAT001377</t>
  </si>
  <si>
    <t>PERNO CAB. HEXAGONAL F°N° 1/4" X 3/4" C/ TUERCA Y ARANDELA PLANA Y PRESION</t>
  </si>
  <si>
    <t>MAT001378</t>
  </si>
  <si>
    <t>PERNO CAB. HEXAGONAL F°N° 3/4" X 2 1/2" C/ TUERCA Y ARANDELA PLANA Y PRESION</t>
  </si>
  <si>
    <t>MAT001379</t>
  </si>
  <si>
    <t>PERNO CAB. HEXAGONAL F°N° 3/4" X 3 1/2" C/ TUERCA Y ARANDELA PLANA Y PRESION</t>
  </si>
  <si>
    <t>MAT001380</t>
  </si>
  <si>
    <t>PERNO CAB. HEXAGONAL F°N° 3/4" X 3" C/ TUERCA Y ARANDELA PLANA Y PRESION</t>
  </si>
  <si>
    <t>MAT001381</t>
  </si>
  <si>
    <t>PERNO CAB. HEXAGONAL F°N° 3/4" X 4" C/ TUERCA Y ARANDELA PLANA Y PRESION</t>
  </si>
  <si>
    <t>MAT001382</t>
  </si>
  <si>
    <t>PERNO CAB. HEXAGONAL F°N° 3/8" X 1 1/2" C/ TUERCA Y ARANDELA PLANA Y PRESION</t>
  </si>
  <si>
    <t>MAT001383</t>
  </si>
  <si>
    <t>PERNO CAB. HEXAGONAL F°N° 3/8" X 1 1/4" C/ TUERCA Y ARANDELA PLANA Y PRESION</t>
  </si>
  <si>
    <t>MAT001384</t>
  </si>
  <si>
    <t>PERNO CAB. HEXAGONAL F°N° 3/8" X 1" C/ TUERCA Y ARANDELA PLANA Y PRESION</t>
  </si>
  <si>
    <t>MAT001385</t>
  </si>
  <si>
    <t>PERNO CAB. HEXAGONAL F°N° 3/8" X 2" C/ TUERCA Y ARANDELA PLANA Y PRESION</t>
  </si>
  <si>
    <t>MAT001386</t>
  </si>
  <si>
    <t>PERNO CAB. HEXAGONAL F°N° 3/8" X 3 1/2" C/ TUERCA Y ARANDELA PLANA Y PRESION</t>
  </si>
  <si>
    <t>MAT001387</t>
  </si>
  <si>
    <t>PERNO CAB. HEXAGONAL F°N° 3/8" X 3" C/ TUERCA Y ARANDELA PLANA Y PRESION</t>
  </si>
  <si>
    <t>MAT001388</t>
  </si>
  <si>
    <t>PERNO CAB. HEXAGONAL F°N° 3/8" X 4" C/ TUERCA Y ARANDELA PLANA Y PRESION</t>
  </si>
  <si>
    <t>MAT001389</t>
  </si>
  <si>
    <t>PERNO CAB. HEXAGONAL F°N° 5/16 X 2" C/ TUERCA Y ARANDELA PLANA Y PRESION</t>
  </si>
  <si>
    <t>MAT001390</t>
  </si>
  <si>
    <t>PERNO CAB. HEXAGONAL F°N° 5/16 X 3" C/ TUERCA Y ARANDELA PLANA Y PRESION</t>
  </si>
  <si>
    <t>MAT001391</t>
  </si>
  <si>
    <t>PERNO CAB. HEXAGONAL F°N° 5/16" X 1 1/2" C/ TUERCA Y ARANDELA PLANA Y PRESION</t>
  </si>
  <si>
    <t>MAT001392</t>
  </si>
  <si>
    <t>PERNO CAB. HEXAGONAL F°N° 5/16" X 1" C/ TUERCA Y ARANDELA PLANA Y PRESION</t>
  </si>
  <si>
    <t>MAT001393</t>
  </si>
  <si>
    <t>PERNO CAB. HEXAGONAL F°N° 5/16" X 2 1/2" C/ TUERCA Y ARANDELA PLANA Y PRESION</t>
  </si>
  <si>
    <t>MAT001394</t>
  </si>
  <si>
    <t>PERNO CAB. HEXAGONAL F°N° 5/8" X 1 1/2" C/ TUERCA Y ARANDELA PLANA Y PRESION</t>
  </si>
  <si>
    <t>MAT001395</t>
  </si>
  <si>
    <t>PERNO CAB. HEXAGONAL F°N° 5/8" X 1" C/ TUERCA Y ARANDELA PLANA Y PRESION</t>
  </si>
  <si>
    <t>MAT001396</t>
  </si>
  <si>
    <t>PERNO CAB. HEXAGONAL F°N° 5/8" X 2 1/2" C/ TUERCA Y ARANDELA PLANA Y PRESION</t>
  </si>
  <si>
    <t>MAT001397</t>
  </si>
  <si>
    <t>PERNO CAB. HEXAGONAL F°N° 5/8" X 2" C/ TUERCA Y ARANDELA PLANA Y PRESION</t>
  </si>
  <si>
    <t>MAT001398</t>
  </si>
  <si>
    <t>PERNO CAB. HEXAGONAL F°N° 5/8" X 3 1/2" C/ TUERCA Y ARANDELA PLANA Y PRESION</t>
  </si>
  <si>
    <t>MAT001399</t>
  </si>
  <si>
    <t>PERNO CAB. HEXAGONAL F°N° 5/8" X 3 3/4" C/ TUERCA Y ARANDELA PLANA Y PRESION</t>
  </si>
  <si>
    <t>MAT001400</t>
  </si>
  <si>
    <t>PERNO CAB. HEXAGONAL F°N° 5/8" X 3" C/ TUERCA Y ARANDELA PLANA Y PRESION</t>
  </si>
  <si>
    <t>MAT001401</t>
  </si>
  <si>
    <t>PERNO CAB. HEXAGONAL F°N° 5/8" X 4" C/ TUERCA Y ARANDELA PLANA Y PRESION</t>
  </si>
  <si>
    <t>MAT001402</t>
  </si>
  <si>
    <t>PERNO CAB. HEXAGONAL F°N° 5/8" X 6" C/ TUERCA Y ARANDELA PLANA Y PRESION</t>
  </si>
  <si>
    <t>MAT001403</t>
  </si>
  <si>
    <t>PERNO CAB. HEXAGONAL F°N° 7/16" X 1 1/2" C/ TUERCA Y ARANDELA PLANA Y PRESION</t>
  </si>
  <si>
    <t>MAT001404</t>
  </si>
  <si>
    <t>PERNO CAB. HEXAGONAL F°N° 7/16" X 1" C/ TUERCA Y ARANDELA PLANA Y PRESION</t>
  </si>
  <si>
    <t>MAT001405</t>
  </si>
  <si>
    <t>PERNO CAB. HEXAGONAL F°N° 7/16" X 2 1/2" C/ TUERCA Y ARANDELA PLANA Y PRESION</t>
  </si>
  <si>
    <t>MAT001406</t>
  </si>
  <si>
    <t>PERNO CAB. HEXAGONAL F°N° 7/16" X 2" C/ TUERCA Y ARANDELA PLANA Y PRESION</t>
  </si>
  <si>
    <t>MAT001407</t>
  </si>
  <si>
    <t>PERNO CAB. HEXAGONAL F°N° 7/16" X 3 1/2" C/ TUERCA Y ARANDELA PLANA Y PRESION</t>
  </si>
  <si>
    <t>MAT001408</t>
  </si>
  <si>
    <t>PERNO CAB. HEXAGONAL F°N° 7/16" X 3" C/ TUERCA Y ARANDELA PLANA Y PRESION</t>
  </si>
  <si>
    <t>MAT001409</t>
  </si>
  <si>
    <t>PERNO CAB. HEXAGONAL F°N° 7/16" X 4" C/ TUERCA Y ARANDELA PLANA Y PRESION</t>
  </si>
  <si>
    <t>MAT001410</t>
  </si>
  <si>
    <t>PERNO CAB. HEXAGONAL F°N° 7/8" X 2 1/2" C/ TUERCA Y ARANDELA PLANA Y PRESION</t>
  </si>
  <si>
    <t>MAT001411</t>
  </si>
  <si>
    <t>PERNO CAB. HEXAGONAL F°N° 7/8" X 2" C/ TUERCA Y ARANDELA PLANA Y PRESION</t>
  </si>
  <si>
    <t>MAT001412</t>
  </si>
  <si>
    <t>PERNO CAB. HEXAGONAL F°N° 7/8" X 3 1/2" C/ TUERCA Y ARANDELA PLANA Y PRESION</t>
  </si>
  <si>
    <t>MAT001413</t>
  </si>
  <si>
    <t>PERNO CAB. HEXAGONAL F°N° 7/8" X 3" C/ TUERCA Y ARANDELA PLANA Y PRESION</t>
  </si>
  <si>
    <t>MAT001414</t>
  </si>
  <si>
    <t>PERNO CAB. HEXAGONAL F°N° 7/8" X 4" C/ TUERCA Y ARANDELA PLANA Y PRESION</t>
  </si>
  <si>
    <t>MAT001415</t>
  </si>
  <si>
    <t>PERNO CAB. HEXAGONAL INOX 304 1/2" X 1 1/2" C/ TUERCA Y ARANDELA PLANA Y PRESION</t>
  </si>
  <si>
    <t>PERNO INOX</t>
  </si>
  <si>
    <t>MAT001416</t>
  </si>
  <si>
    <t>PERNO CAB. HEXAGONAL INOX 304 1/2" X 1 1/4" C/ TUERCA Y ARANDELA PLANA Y PRESION</t>
  </si>
  <si>
    <t>MAT001417</t>
  </si>
  <si>
    <t>PERNO CAB. HEXAGONAL INOX 304 1/2" X 1 3/4" C/ TUERCA Y ARANDELA PLANA Y PRESION</t>
  </si>
  <si>
    <t>MAT001418</t>
  </si>
  <si>
    <t>PERNO CAB. HEXAGONAL INOX 304 1/2" X 1" C/ TUERCA Y ARANDELA PLANA Y PRESION</t>
  </si>
  <si>
    <t>MAT001419</t>
  </si>
  <si>
    <t>PERNO CAB. HEXAGONAL INOX 304 1/2" X 2 1/2" C/ TUERCA Y ARANDELA PLANA Y PRESION</t>
  </si>
  <si>
    <t>MAT001420</t>
  </si>
  <si>
    <t>PERNO CAB. HEXAGONAL INOX 304 1/2" X 2" C/ TUERCA Y ARANDELA PLANA Y PRESION</t>
  </si>
  <si>
    <t>MAT001421</t>
  </si>
  <si>
    <t>PERNO CAB. HEXAGONAL INOX 304 1/2" X 3" C/ TUERCA Y ARANDELA PLANA Y PRESION</t>
  </si>
  <si>
    <t>MAT001422</t>
  </si>
  <si>
    <t>PERNO CAB. HEXAGONAL INOX 304 1/2" X 4" C/ TUERCA Y ARANDELA PLANA Y PRESION</t>
  </si>
  <si>
    <t>MAT001423</t>
  </si>
  <si>
    <t>PERNO CAB. HEXAGONAL INOX 304 1/4" X 1 1/2" C/ TUERCA Y ARANDELA PLANA Y PRESION</t>
  </si>
  <si>
    <t>MAT001424</t>
  </si>
  <si>
    <t>PERNO CAB. HEXAGONAL INOX 304 1/4" X 1 1/4" C/ TUERCA Y ARANDELA PLANA Y PRESION</t>
  </si>
  <si>
    <t>MAT001425</t>
  </si>
  <si>
    <t>PERNO CAB. HEXAGONAL INOX 304 1/4" X 1" C/ TUERCA Y ARANDELA PLANA Y PRESION</t>
  </si>
  <si>
    <t>MAT001426</t>
  </si>
  <si>
    <t>PERNO CAB. HEXAGONAL INOX 304 1/4" X 1/2" C/ TUERCA Y ARANDELA PLANA Y PRESION</t>
  </si>
  <si>
    <t>MAT001427</t>
  </si>
  <si>
    <t>PERNO CAB. HEXAGONAL INOX 304 1/4" X 2 1/2" C/ TUERCA Y ARANDELA PLANA Y PRESION</t>
  </si>
  <si>
    <t>MAT001428</t>
  </si>
  <si>
    <t>PERNO CAB. HEXAGONAL INOX 304 1/4" X 2" C/ TUERCA Y ARANDELA PLANA Y PRESION</t>
  </si>
  <si>
    <t>MAT001429</t>
  </si>
  <si>
    <t>PERNO CAB. HEXAGONAL INOX 304 1/4" X 3" C/ TUERCA Y ARANDELA PLANA Y PRESION</t>
  </si>
  <si>
    <t>MAT001430</t>
  </si>
  <si>
    <t>PERNO CAB. HEXAGONAL INOX 304 1/4" X 3/4" C/ TUERCA Y ARANDELA PLANA Y PRESION</t>
  </si>
  <si>
    <t>MAT001431</t>
  </si>
  <si>
    <t>PERNO CAB. HEXAGONAL INOX 304 3/4" X 1 1/2" C/ TUERCA Y ARANDELA PLANA Y PRESION</t>
  </si>
  <si>
    <t>MAT001432</t>
  </si>
  <si>
    <t>PERNO CAB. HEXAGONAL INOX 304 3/4" X 1 3/4" C/ TUERCA Y ARANDELA PLANA Y PRESION</t>
  </si>
  <si>
    <t>MAT001433</t>
  </si>
  <si>
    <t>PERNO CAB. HEXAGONAL INOX 304 3/4" X 1" C/ TUERCA Y ARANDELA PLANA Y PRESION</t>
  </si>
  <si>
    <t>MAT001434</t>
  </si>
  <si>
    <t>PERNO CAB. HEXAGONAL INOX 304 3/4" X 2 1/2" C/ TUERCA Y ARANDELA PLANA Y PRESION</t>
  </si>
  <si>
    <t>MAT001435</t>
  </si>
  <si>
    <t>PERNO CAB. HEXAGONAL INOX 304 3/4" X 2" C/ TUERCA Y ARANDELA PLANA Y PRESION</t>
  </si>
  <si>
    <t>MAT001436</t>
  </si>
  <si>
    <t>PERNO CAB. HEXAGONAL INOX 304 3/4" X 3 1/2" C/ TUERCA Y ARANDELA PLANA Y PRESION</t>
  </si>
  <si>
    <t>MAT001437</t>
  </si>
  <si>
    <t>PERNO CAB. HEXAGONAL INOX 304 3/4" X 3" C/ TUERCA Y ARANDELA PLANA Y PRESION</t>
  </si>
  <si>
    <t>MAT001438</t>
  </si>
  <si>
    <t>PERNO CAB. HEXAGONAL INOX 304 3/4" X 4" C/ TUERCA Y ARANDELA PLANA Y PRESION</t>
  </si>
  <si>
    <t>MAT001439</t>
  </si>
  <si>
    <t>PERNO CAB. HEXAGONAL INOX 304 3/8" X 1 1/2" C/ TUERCA Y ARANDELA PLANA Y PRESION</t>
  </si>
  <si>
    <t>MAT001440</t>
  </si>
  <si>
    <t>PERNO CAB. HEXAGONAL INOX 304 3/8" X 1 1/4" C/ TUERCA Y ARANDELA PLANA Y PRESION</t>
  </si>
  <si>
    <t>MAT001441</t>
  </si>
  <si>
    <t>PERNO CAB. HEXAGONAL INOX 304 3/8" X 1" C/ TUERCA Y ARANDELA PLANA Y PRESION</t>
  </si>
  <si>
    <t>MAT001442</t>
  </si>
  <si>
    <t>PERNO CAB. HEXAGONAL INOX 304 3/8" X 2 1/2" C/ TUERCA Y ARANDELA PLANA Y PRESION</t>
  </si>
  <si>
    <t>MAT001443</t>
  </si>
  <si>
    <t>PERNO CAB. HEXAGONAL INOX 304 3/8" X 2" C/ TUERCA Y ARANDELA PLANA Y PRESION</t>
  </si>
  <si>
    <t>MAT001444</t>
  </si>
  <si>
    <t>PERNO CAB. HEXAGONAL INOX 304 3/8" X 3 1/2" C/ TUERCA Y ARANDELA PLANA Y PRESION</t>
  </si>
  <si>
    <t>MAT001445</t>
  </si>
  <si>
    <t>PERNO CAB. HEXAGONAL INOX 304 3/8" X 3" C/ TUERCA Y ARANDELA PLANA Y PRESION</t>
  </si>
  <si>
    <t>MAT001446</t>
  </si>
  <si>
    <t>PERNO CAB. HEXAGONAL INOX 304 3/8" X 4" C/ TUERCA Y ARANDELA PLANA Y PRESION</t>
  </si>
  <si>
    <t>MAT001447</t>
  </si>
  <si>
    <t>PERNO CAB. HEXAGONAL INOX 304 5/16 X 2" C/ TUERCA Y ARANDELA PLANA Y PRESION</t>
  </si>
  <si>
    <t>MAT001448</t>
  </si>
  <si>
    <t>PERNO CAB. HEXAGONAL INOX 304 5/16 X 3" C/ TUERCA Y ARANDELA PLANA Y PRESION</t>
  </si>
  <si>
    <t>MAT001449</t>
  </si>
  <si>
    <t>PERNO CAB. HEXAGONAL INOX 304 5/16" X 1 1/2" C/ TUERCA Y ARAND PLANA Y PRESION</t>
  </si>
  <si>
    <t>MAT001450</t>
  </si>
  <si>
    <t>PERNO CAB. HEXAGONAL INOX 304 5/16" X 1" C/ TUERCA Y ARANDELA PLANA Y PRESION</t>
  </si>
  <si>
    <t>MAT001451</t>
  </si>
  <si>
    <t>PERNO CAB. HEXAGONAL INOX 304 5/16" X 2 1/2" C/ TUERCA Y ARAND PLANA Y PRESION</t>
  </si>
  <si>
    <t>MAT001452</t>
  </si>
  <si>
    <t>PERNO CAB. HEXAGONAL INOX 304 5/8" X 1 1/2" C/ TUERCA Y ARANDELA PLANA Y PRESION</t>
  </si>
  <si>
    <t>MAT001453</t>
  </si>
  <si>
    <t>PERNO CAB. HEXAGONAL INOX 304 5/8" X 1 1/4" C/ TUERCA Y ARAND PLANA Y PRESION</t>
  </si>
  <si>
    <t>MAT001454</t>
  </si>
  <si>
    <t>PERNO CAB. HEXAGONAL INOX 304 5/8" X 1 3/4" C/ TUERCA Y ARAND PLANA Y PRESION</t>
  </si>
  <si>
    <t>MAT001455</t>
  </si>
  <si>
    <t>PERNO CAB. HEXAGONAL INOX 304 5/8" X 1" C/ TUERCA Y ARANDELA PLANA Y PRESION</t>
  </si>
  <si>
    <t>MAT001456</t>
  </si>
  <si>
    <t>PERNO CAB. HEXAGONAL INOX 304 5/8" X 2 1/2" C/ TUERCA Y ARANDELA PLANA Y PRESION</t>
  </si>
  <si>
    <t>MAT001457</t>
  </si>
  <si>
    <t>PERNO CAB. HEXAGONAL INOX 304 5/8" X 2" C/ TUERCA Y ARANDELA PLANA Y PRESION</t>
  </si>
  <si>
    <t>MAT001458</t>
  </si>
  <si>
    <t>PERNO CAB. HEXAGONAL INOX 304 5/8" X 3 1/2" C/ TUERCA Y ARANDELA PLANA Y PRESION</t>
  </si>
  <si>
    <t>MAT001459</t>
  </si>
  <si>
    <t>PERNO CAB. HEXAGONAL INOX 304 5/8" X 3 3/4" C/ TUERCA Y ARANDELA PLANA Y PRESION</t>
  </si>
  <si>
    <t>MAT001460</t>
  </si>
  <si>
    <t>PERNO CAB. HEXAGONAL INOX 304 5/8" X 3" C/ TUERCA Y ARANDELA PLANA Y PRESION</t>
  </si>
  <si>
    <t>MAT001461</t>
  </si>
  <si>
    <t>PERNO CAB. HEXAGONAL INOX 304 5/8" X 4" C/ TUERCA Y ARANDELA PLANA Y PRESION</t>
  </si>
  <si>
    <t>MAT001462</t>
  </si>
  <si>
    <t>PERNO CAB. HEXAGONAL INOX 304 7/16" X 1 1/2" C/ TUERCA Y ARAND PLANA Y PRESION</t>
  </si>
  <si>
    <t>MAT001463</t>
  </si>
  <si>
    <t>PERNO CAB. HEXAGONAL INOX 304 7/16" X 1" C/ TUERCA Y ARANDELA PLANA Y PRESION</t>
  </si>
  <si>
    <t>MAT001464</t>
  </si>
  <si>
    <t>PERNO CAB. HEXAGONAL INOX 304 7/16" X 2 1/2" C/ TUERCA Y ARAND PLANA Y PRESION</t>
  </si>
  <si>
    <t>MAT001465</t>
  </si>
  <si>
    <t>PERNO CAB. HEXAGONAL INOX 304 7/16" X 2" C/ TUERCA Y ARANDELA PLANA Y PRESION</t>
  </si>
  <si>
    <t>MAT001466</t>
  </si>
  <si>
    <t>PERNO CAB. HEXAGONAL INOX 304 7/16" X 3 1/2" C/ TUERCA Y ARAND PLANA Y PRESION</t>
  </si>
  <si>
    <t>MAT001467</t>
  </si>
  <si>
    <t>PERNO CAB. HEXAGONAL INOX 304 7/16" X 3" C/ TUERCA Y ARANDELA PLANA Y PRESION</t>
  </si>
  <si>
    <t>MAT001468</t>
  </si>
  <si>
    <t>PERNO CAB. HEXAGONAL INOX 304 7/16" X 4" C/ TUERCA Y ARANDELA PLANA Y PRESION</t>
  </si>
  <si>
    <t>MAT001469</t>
  </si>
  <si>
    <t>PERNO CAB. HEXAGONAL INOX 304 7/8" X 2 1/2" C/ TUERCA Y ARANDELA PLANA Y PRESION</t>
  </si>
  <si>
    <t>MAT001470</t>
  </si>
  <si>
    <t>PERNO CAB. HEXAGONAL INOX 304 7/8" X 2" C/ TUERCA Y ARANDELA PLANA Y PRESION</t>
  </si>
  <si>
    <t>MAT001471</t>
  </si>
  <si>
    <t>PERNO CAB. HEXAGONAL INOX 304 7/8" X 3 1/2" C/ TUERCA Y ARANDELA PLANA Y PRESION</t>
  </si>
  <si>
    <t>MAT001472</t>
  </si>
  <si>
    <t>PERNO CAB. HEXAGONAL INOX 304 7/8" X 3" C/ TUERCA Y ARANDELA PLANA Y PRESION</t>
  </si>
  <si>
    <t>MAT001473</t>
  </si>
  <si>
    <t>PERNO CAB. HEXAGONAL INOX 304 7/8" X 4" C/ TUERCA Y ARANDELA PLANA Y PRESION</t>
  </si>
  <si>
    <t>MAT001474</t>
  </si>
  <si>
    <t>PERNO DE EXPANSION 1/2" X 2 3/4" C/ TUERCA Y ARANDELA PLANA Y PRESION</t>
  </si>
  <si>
    <t>PERNOS DE EXPANSION</t>
  </si>
  <si>
    <t>MAT001475</t>
  </si>
  <si>
    <t>PERNO DE EXPANSION 1/2" X 3 3/4" C/ TUERCA Y ARANDELA PLANA Y PRESION</t>
  </si>
  <si>
    <t>MAT001476</t>
  </si>
  <si>
    <t>PERNO DE EXPANSION 1/2" X 3" C/ TUERCA Y ARANDELA PLANA Y PRESION</t>
  </si>
  <si>
    <t>MAT001477</t>
  </si>
  <si>
    <t>PERNO DE EXPANSION 1/2" X 4" C/ TUERCA Y ARANDELA PLANA Y PRESION</t>
  </si>
  <si>
    <t>MAT001478</t>
  </si>
  <si>
    <t>PERNO DE EXPANSION 1/2" X 6" C/ TUERCA Y ARANDELA PLANA Y PRESION</t>
  </si>
  <si>
    <t>MAT001479</t>
  </si>
  <si>
    <t>PERNO DE EXPANSION 1/4" X 2 1/4" C/ TUERCA Y ARANDELA PLANA Y PRESION</t>
  </si>
  <si>
    <t>MAT001480</t>
  </si>
  <si>
    <t>PERNO DE EXPANSION 1/4" X 2 3/4" C/ TUERCA Y ARANDELA PLANA Y PRESION</t>
  </si>
  <si>
    <t>MAT001481</t>
  </si>
  <si>
    <t>PERNO DE EXPANSION 1/4" X 3 1/4" C/ TUERCA Y ARANDELA PLANA Y PRESION</t>
  </si>
  <si>
    <t>MAT001482</t>
  </si>
  <si>
    <t>PERNO DE EXPANSION 1/4" X 3" C/ TUERCA Y ARANDELA PLANA Y PRESION</t>
  </si>
  <si>
    <t>MAT001483</t>
  </si>
  <si>
    <t>PERNO DE EXPANSION 3/4" X 8 1/2" C/ TUERCA Y ARANDELA PLANA Y PRESION</t>
  </si>
  <si>
    <t>MAT001484</t>
  </si>
  <si>
    <t>PERNO DE EXPANSION 3/8" X 2 3/4" C/ TUERCA Y ARANDELA PLANA Y PRESION</t>
  </si>
  <si>
    <t>MAT001485</t>
  </si>
  <si>
    <t>PERNO DE EXPANSION 3/8" X 3" C/ TUERCA Y ARANDELA PLANA Y PRESION</t>
  </si>
  <si>
    <t>MAT001486</t>
  </si>
  <si>
    <t>PERNO DE EXPANSION 3/8" X 4" C/ TUERCA Y ARANDELA PLANA Y PRESION</t>
  </si>
  <si>
    <t>MAT001487</t>
  </si>
  <si>
    <t>PERNO DE EXPANSION 5/8" X 3 1/2" C/ TUERCA Y ARANDELA PLANA Y PRESION</t>
  </si>
  <si>
    <t>MAT001488</t>
  </si>
  <si>
    <t>PERNO DE EXPANSION 5/8" X 4 1/2" C/ TUERCA Y ARANDELA PLANA Y PRESION</t>
  </si>
  <si>
    <t>MAT001489</t>
  </si>
  <si>
    <t>PERNO DE EXPANSION 5/8" X 4" C/ TUERCA Y ARANDELA PLANA Y PRESION</t>
  </si>
  <si>
    <t>MAT001490</t>
  </si>
  <si>
    <t>PERNO DE EXPANSION 5/8" X 5" C/ TUERCA Y ARANDELA PLANA Y PRESION</t>
  </si>
  <si>
    <t>MAT001491</t>
  </si>
  <si>
    <t>PERNO DE EXPANSION 5/8" X 6" C/ TUERCA Y ARANDELA PLANA Y PRESION</t>
  </si>
  <si>
    <t>MAT001492</t>
  </si>
  <si>
    <t>PERTIGA FIBRA DE VIDRIO PARA VEHICULO X 10'</t>
  </si>
  <si>
    <t>MAT001493</t>
  </si>
  <si>
    <t>PERTIGA FIBRA DE VIDRIO PARA VEHICULO X 12'</t>
  </si>
  <si>
    <t>MAT001494</t>
  </si>
  <si>
    <t>PERTIGA FIBRA DE VIDRIO PARA VEHICULO X 8'</t>
  </si>
  <si>
    <t>MAT001495</t>
  </si>
  <si>
    <t>PILA ALCALINA "AA"</t>
  </si>
  <si>
    <t>DURACELL</t>
  </si>
  <si>
    <t>MAT001496</t>
  </si>
  <si>
    <t>PILA ALCALINA "AAA"</t>
  </si>
  <si>
    <t>MAT001497</t>
  </si>
  <si>
    <t>PILA O BATERIA 9V</t>
  </si>
  <si>
    <t>MAT001498</t>
  </si>
  <si>
    <t>PILA O BATERIA RECARGABLE 9V</t>
  </si>
  <si>
    <t>CAMELION</t>
  </si>
  <si>
    <t>MAT001499</t>
  </si>
  <si>
    <t>PILA RECARGABLE "AA"</t>
  </si>
  <si>
    <t>MAT001500</t>
  </si>
  <si>
    <t>PINCEL PARA PINTAR CON MANGO DE MADERA #09</t>
  </si>
  <si>
    <t>MAT001501</t>
  </si>
  <si>
    <t>PINTURA ANTICORROSIVO ESTANDAR GRIS AA-7315</t>
  </si>
  <si>
    <t>MAT001502</t>
  </si>
  <si>
    <t>PINTURA BASE GRIS (EPOXICO+CATALIZADOR)</t>
  </si>
  <si>
    <t>MAT001503</t>
  </si>
  <si>
    <t>PINTURA DE RETOQUE PARA PROTECCION DE TABLEROS ELECTRICOS COLOR GRIS RAL 7035</t>
  </si>
  <si>
    <t>DUPLI-COLOR</t>
  </si>
  <si>
    <t>MAT001504</t>
  </si>
  <si>
    <t>PINTURA EN SPRAY COLOR: AMARILLO</t>
  </si>
  <si>
    <t>KNAUF</t>
  </si>
  <si>
    <t>MAT001505</t>
  </si>
  <si>
    <t>PINTURA EN SPRAY COLOR: AZUL</t>
  </si>
  <si>
    <t>MAT001506</t>
  </si>
  <si>
    <t>PINTURA EN SPRAY COLOR: BLANCO</t>
  </si>
  <si>
    <t>MAT001507</t>
  </si>
  <si>
    <t>PINTURA EN SPRAY COLOR: GRIS</t>
  </si>
  <si>
    <t>MAT001508</t>
  </si>
  <si>
    <t>PINTURA EN SPRAY COLOR: GRIS CLARO</t>
  </si>
  <si>
    <t>MAT001509</t>
  </si>
  <si>
    <t>PINTURA EN SPRAY COLOR: NEGRO</t>
  </si>
  <si>
    <t>MAT001510</t>
  </si>
  <si>
    <t>PINTURA EN SPRAY COLOR: PLOMO</t>
  </si>
  <si>
    <t>MAT001511</t>
  </si>
  <si>
    <t>PINTURA EN SPRAY COLOR: ROJO</t>
  </si>
  <si>
    <t>MAT001512</t>
  </si>
  <si>
    <t>PINTURA EN SPRAY COLOR: VERDE</t>
  </si>
  <si>
    <t>MAT001513</t>
  </si>
  <si>
    <t>PINTURA EPOXICA 70 MP 2 COMPONENTES (EPOXICO + CATALIZADOR)</t>
  </si>
  <si>
    <t>MAT001514</t>
  </si>
  <si>
    <t>PINTURA ESMALTE SINTETICO MODELO: MAESTRO</t>
  </si>
  <si>
    <t>MAT001515</t>
  </si>
  <si>
    <t>PINTURA IGNIFUGA RETARDADORA AL FUEGO COLOR: BLANCO</t>
  </si>
  <si>
    <t>MAT001516</t>
  </si>
  <si>
    <t>PINTURA LATEX SATINADO COLOR: BLANCO</t>
  </si>
  <si>
    <t>MAT001517</t>
  </si>
  <si>
    <t>PINTURA LATEX SATINADO COLOR: BLANCO HUMO</t>
  </si>
  <si>
    <t>MAT001518</t>
  </si>
  <si>
    <t>PINTURA PARA TRAFICO MAESTRO TTP 115 F COLOR: AMARILLO</t>
  </si>
  <si>
    <t>MAT001519</t>
  </si>
  <si>
    <t>PINTURA PARA TRAFICO MAESTRO TTP 115 F COLOR: NARANJA</t>
  </si>
  <si>
    <t>MAT001520</t>
  </si>
  <si>
    <t>PINTURA PARA TRAFICO MAESTRO TTP 115 F COLOR: NEGRO</t>
  </si>
  <si>
    <t>MAT001521</t>
  </si>
  <si>
    <t>PINTURA RECUBRIDOR GRIS 1pt TC-1600</t>
  </si>
  <si>
    <t>PERMA COTE</t>
  </si>
  <si>
    <t>MAT001522</t>
  </si>
  <si>
    <t>PINZA DE LOCKOUT (BLOQUEO) DE SEGURIDAD DE 1 1/2" P/ 06 CANDADOS</t>
  </si>
  <si>
    <t>MAT001523</t>
  </si>
  <si>
    <t>PIONER A-3 DE 3 ANILLOS (LOMO ANCHO 65MM) COLOR BLANCO</t>
  </si>
  <si>
    <t>MAT001524</t>
  </si>
  <si>
    <t>PIONER A-4 DE 2 ANILLOS (LOMO ANCHO 45MM) COLOR AZUL</t>
  </si>
  <si>
    <t>MAT001525</t>
  </si>
  <si>
    <t>PIONER A-4 DE 2 ANILLOS (LOMO ANCHO 45MM) COLOR BLANCO</t>
  </si>
  <si>
    <t>MAT001526</t>
  </si>
  <si>
    <t>PIONER A-4 DE 2 ANILLOS (LOMO ANCHO 65MM) COLOR AZUL</t>
  </si>
  <si>
    <t>MAT001527</t>
  </si>
  <si>
    <t>PIONER A-4 DE 2 ANILLOS (LOMO ANCHO 65MM) COLOR BLANCO</t>
  </si>
  <si>
    <t>MAT001528</t>
  </si>
  <si>
    <t>PIONER A-4 DE 2 ANILLOS (LOMO DELGADO 25MM) COLOR AZUL</t>
  </si>
  <si>
    <t>MAT001529</t>
  </si>
  <si>
    <t>PIONER A-4 DE 2 ANILLOS (LOMO DELGADO 25MM) COLOR BLANCO</t>
  </si>
  <si>
    <t>MAT001530</t>
  </si>
  <si>
    <t>PIONER A-4 DE 3 ANILLOS (LOMO ANCHO 25MM) COLOR AZUL</t>
  </si>
  <si>
    <t>MAT001531</t>
  </si>
  <si>
    <t>PIONER A-4 DE 3 ANILLOS (LOMO ANCHO 25MM) COLOR BLANCO</t>
  </si>
  <si>
    <t>MAT001532</t>
  </si>
  <si>
    <t>PIONER A-4 DE 3 ANILLOS (LOMO ANCHO 45MM) COLOR AZUL</t>
  </si>
  <si>
    <t>MAT001533</t>
  </si>
  <si>
    <t>PIONER A-4 DE 3 ANILLOS (LOMO ANCHO 45MM) COLOR BLANCO</t>
  </si>
  <si>
    <t>MAT001534</t>
  </si>
  <si>
    <t>PIONER A-4 DE 3 ANILLOS (LOMO ANCHO 65MM) COLOR AZUL</t>
  </si>
  <si>
    <t>MAT001535</t>
  </si>
  <si>
    <t>PIONER A-4 DE 3 ANILLOS (LOMO ANCHO 65MM) COLOR BLANCO</t>
  </si>
  <si>
    <t>MAT001536</t>
  </si>
  <si>
    <t>PISO VINILICO LVT AUTOADHESIVO OLIVO CLASICO 1.5MM 3.62M2</t>
  </si>
  <si>
    <t>PISO VINILICO-PISOPACK,ETC</t>
  </si>
  <si>
    <t>PISOPAK</t>
  </si>
  <si>
    <t>MAT001537</t>
  </si>
  <si>
    <t>PISTOLA DE PINTAR</t>
  </si>
  <si>
    <t>ACCESORIO PARA PINTURA</t>
  </si>
  <si>
    <t>SAGOLA</t>
  </si>
  <si>
    <t>MAT001538</t>
  </si>
  <si>
    <t>PIZARRA ACRILICA DE 1.20 X 0.80 M</t>
  </si>
  <si>
    <t>MAT001539</t>
  </si>
  <si>
    <t>PIZARRA DE CORCHO DE 1.60 X 1.20 M</t>
  </si>
  <si>
    <t>MAT001540</t>
  </si>
  <si>
    <t>PLACA DOBLE HERMETICA HORIZONTAL ALUMINIO MODELO: WM1D-SGY</t>
  </si>
  <si>
    <t>MAT001541</t>
  </si>
  <si>
    <t>PLACA DOBLE PARA TOMACORRIENTE</t>
  </si>
  <si>
    <t>MAT001542</t>
  </si>
  <si>
    <t>Placa separadora para borne 2.5-4-6-10mm2</t>
  </si>
  <si>
    <t>MAT001543</t>
  </si>
  <si>
    <t>Placa separadora para borne 2.5-4mm2</t>
  </si>
  <si>
    <t>MAT001544</t>
  </si>
  <si>
    <t>Placa Separadora para Borne, ATP-UT 3047167</t>
  </si>
  <si>
    <t>MAT001545</t>
  </si>
  <si>
    <t>PLACA SEPARADORA LONG 60 MM ANC 2 MM ALT 48,9 MM GRIS MOD ATP-UK 5-MTK 3004210</t>
  </si>
  <si>
    <t>MAT001546</t>
  </si>
  <si>
    <t>Placa terminal para borne 2.5-10mm2 Viking3</t>
  </si>
  <si>
    <t>MAT001547</t>
  </si>
  <si>
    <t>PLANCHA ACANALADA LAF DE 1/16" (1.45) 1.08 X 2.40</t>
  </si>
  <si>
    <t>PLANCHA</t>
  </si>
  <si>
    <t>MAT001548</t>
  </si>
  <si>
    <t>PLANCHA DE ACERO INOXIDABLE 316 DE 1/4" X 1000 MM X 1000 MM</t>
  </si>
  <si>
    <t>MAT001549</t>
  </si>
  <si>
    <t>PLANCHA DE DRYWALL 1.22 X 2.44 X 1/2" HR PLANCHA DE YESO</t>
  </si>
  <si>
    <t>MAT001550</t>
  </si>
  <si>
    <t>PLANCHA ESTRIADA 2.0 X 1200 X 2400 MM</t>
  </si>
  <si>
    <t>MAT001551</t>
  </si>
  <si>
    <t>PLANCHA ESTRIADA 2.5 X 1200 X 2400 MM (3/32")</t>
  </si>
  <si>
    <t>MAT001552</t>
  </si>
  <si>
    <t>PLANCHA ESTRIADA 3.0 X 1200 X 2400 MM (1/8")</t>
  </si>
  <si>
    <t>MAT001553</t>
  </si>
  <si>
    <t>PLANCHA ESTRUCTURAL A-36 1.5 MM X 1200 X 2400 MM</t>
  </si>
  <si>
    <t>MAT001554</t>
  </si>
  <si>
    <t>PLANCHA ESTRUCTURAL A-36 12.0 X 1200 X 2400 MM (1/2")</t>
  </si>
  <si>
    <t>MAT001555</t>
  </si>
  <si>
    <t>PLANCHA ESTRUCTURAL A-36 16.0 X 1200 X 2400 MM (5/8")</t>
  </si>
  <si>
    <t>MAT001556</t>
  </si>
  <si>
    <t>PLANCHA ESTRUCTURAL A-36 19.0 X 1200 X 2400 MM (3/4")</t>
  </si>
  <si>
    <t>MAT001557</t>
  </si>
  <si>
    <t>PLANCHA ESTRUCTURAL A-36 2 MM X 1200 X 2400 MM</t>
  </si>
  <si>
    <t>MAT001558</t>
  </si>
  <si>
    <t>PLANCHA ESTRUCTURAL A-36 2.50 X 1200 X 2400 MM (3/32")</t>
  </si>
  <si>
    <t>MAT001559</t>
  </si>
  <si>
    <t>PLANCHA ESTRUCTURAL A-36 2.9 X 1200 X 2400 MM (1/8")</t>
  </si>
  <si>
    <t>MAT001560</t>
  </si>
  <si>
    <t>PLANCHA ESTRUCTURAL A-36 25.0 X 1200 X 2400 MM (1")</t>
  </si>
  <si>
    <t>MAT001561</t>
  </si>
  <si>
    <t>PLANCHA ESTRUCTURAL A-36 4.5 X 1200 X 2400 MM (3/16")</t>
  </si>
  <si>
    <t>MAT001562</t>
  </si>
  <si>
    <t>PLANCHA ESTRUCTURAL A-36 6.00 X 1200 X 2400 MM (1/4")</t>
  </si>
  <si>
    <t>MAT001563</t>
  </si>
  <si>
    <t>PLANCHA ESTRUCTURAL A-36 9.5 X 1200 X 2400 MM (3/8")</t>
  </si>
  <si>
    <t>MAT001564</t>
  </si>
  <si>
    <t>PLANCHA ESTRUCTURAL A-36 X 1200 X 2400 MM (1/20")</t>
  </si>
  <si>
    <t>MAT001565</t>
  </si>
  <si>
    <t>PLASTICO DOBLE ANCHO X 1.50M DE MANGA X 100 M</t>
  </si>
  <si>
    <t>MAT001566</t>
  </si>
  <si>
    <t>PLASTICO DOBLE ANCHO X 2.00M DE MANGA X 100 M</t>
  </si>
  <si>
    <t>MAT001567</t>
  </si>
  <si>
    <t>PLATINA DE COBRE DURO DESNUDO 10X100MM 6MTS</t>
  </si>
  <si>
    <t>PLATINA</t>
  </si>
  <si>
    <t>COPPERPRO</t>
  </si>
  <si>
    <t>MAT001568</t>
  </si>
  <si>
    <t>PLATINA DE COBRE DURO DESNUDO 10X120MM 6MTS</t>
  </si>
  <si>
    <t>MAT001569</t>
  </si>
  <si>
    <t>PLATINA DE COBRE DURO DESNUDO 10X30MM 6MTS</t>
  </si>
  <si>
    <t>MAT001570</t>
  </si>
  <si>
    <t>PLATINA DE COBRE DURO DESNUDO 10X40MM 6MTS</t>
  </si>
  <si>
    <t>MAT001571</t>
  </si>
  <si>
    <t>PLATINA DE COBRE DURO DESNUDO 10X50MM 6MTS</t>
  </si>
  <si>
    <t>MAT001572</t>
  </si>
  <si>
    <t>PLATINA DE COBRE DURO DESNUDO 10X60MM 6MTS</t>
  </si>
  <si>
    <t>MAT001573</t>
  </si>
  <si>
    <t>PLATINA DE COBRE DURO DESNUDO 3X15MM 6MTS</t>
  </si>
  <si>
    <t>MAT001574</t>
  </si>
  <si>
    <t>PLATINA DE COBRE DURO DESNUDO 3X20MM 6MTS</t>
  </si>
  <si>
    <t>MAT001575</t>
  </si>
  <si>
    <t>PLATINA DE COBRE DURO DESNUDO 3X25MM 6MTS</t>
  </si>
  <si>
    <t>MAT001576</t>
  </si>
  <si>
    <t>PLATINA DE COBRE DURO DESNUDO 3X30MM 6MTS</t>
  </si>
  <si>
    <t>MAT001577</t>
  </si>
  <si>
    <t>PLATINA DE COBRE DURO DESNUDO 3X40MM 6MTS</t>
  </si>
  <si>
    <t>MAT001578</t>
  </si>
  <si>
    <t>PLATINA DE COBRE DURO DESNUDO 5X100MM 6MTS</t>
  </si>
  <si>
    <t>MAT001579</t>
  </si>
  <si>
    <t>PLATINA DE COBRE DURO DESNUDO 5X20MM 6MTS</t>
  </si>
  <si>
    <t>MAT001580</t>
  </si>
  <si>
    <t>PLATINA DE COBRE DURO DESNUDO 5X25MM 6MTS</t>
  </si>
  <si>
    <t>MAT001581</t>
  </si>
  <si>
    <t>PLATINA DE COBRE DURO DESNUDO 5X30MM 6MTS</t>
  </si>
  <si>
    <t>MAT001582</t>
  </si>
  <si>
    <t>PLATINA DE COBRE DURO DESNUDO 5X40MM 6MTS</t>
  </si>
  <si>
    <t>MAT001583</t>
  </si>
  <si>
    <t>PLATINA DE COBRE DURO DESNUDO 5X50MM 6MTS</t>
  </si>
  <si>
    <t>MAT001584</t>
  </si>
  <si>
    <t>PLATINA F°N° DE 1/2" X 2 1/2" X 6 M</t>
  </si>
  <si>
    <t>MAT001585</t>
  </si>
  <si>
    <t>PLATINA F°N° DE 1/4" X 1 1/2" X 6 M</t>
  </si>
  <si>
    <t>MAT001586</t>
  </si>
  <si>
    <t>PLATINA F°N° DE 1/4" X 1/2" X 6 M</t>
  </si>
  <si>
    <t>MAT001587</t>
  </si>
  <si>
    <t>PLATINA F°N° DE 1/8" X 1" X 6 M</t>
  </si>
  <si>
    <t>MAT001588</t>
  </si>
  <si>
    <t>PLATINA F°N° DE 1/8" X 1/2" X 6 M</t>
  </si>
  <si>
    <t>MAT001589</t>
  </si>
  <si>
    <t>PLATINA F°N° DE 1/8" X 2" X 6 M</t>
  </si>
  <si>
    <t>MAT001590</t>
  </si>
  <si>
    <t>PLATINA F°N° DE 3/16" X 1" X 6 M</t>
  </si>
  <si>
    <t>MAT001591</t>
  </si>
  <si>
    <t>PLATINA F°N° DE 3/16" X 2" X 6 M</t>
  </si>
  <si>
    <t>MAT001592</t>
  </si>
  <si>
    <t>PLATINA F°N° DE 3/16" X 3" X 6 M</t>
  </si>
  <si>
    <t>MAT001593</t>
  </si>
  <si>
    <t>PLATINA F°N° DE 3/16" X 4" X 6 M</t>
  </si>
  <si>
    <t>MAT001594</t>
  </si>
  <si>
    <t>PLATINA F°N° DE 3/16" X 6" X 5 M</t>
  </si>
  <si>
    <t>MAT001595</t>
  </si>
  <si>
    <t>PLUMON DELGADO INDELEBLE #421 COLOR AZUL</t>
  </si>
  <si>
    <t>MAT001596</t>
  </si>
  <si>
    <t>PLUMON DELGADO INDELEBLE #421 COLOR NEGRO</t>
  </si>
  <si>
    <t>MAT001597</t>
  </si>
  <si>
    <t>PLUMON DELGADO INDELEBLE #421 COLOR ROJO</t>
  </si>
  <si>
    <t>MAT001598</t>
  </si>
  <si>
    <t>PLUMON GRUESO INDELEBLE #23 COLOR AZUL</t>
  </si>
  <si>
    <t>MAT001599</t>
  </si>
  <si>
    <t>PLUMON GRUESO INDELEBLE #23 COLOR NEGRO</t>
  </si>
  <si>
    <t>MAT001600</t>
  </si>
  <si>
    <t>PLUMON GRUESO INDELEBLE #23 COLOR ROJO</t>
  </si>
  <si>
    <t>MAT001601</t>
  </si>
  <si>
    <t>PLUMON GRUESO INDELEBLE 412-S COLOR NEGRO</t>
  </si>
  <si>
    <t>MAT001602</t>
  </si>
  <si>
    <t>PLUMON PARA PIZARRA ACRILICA #152 COLOR AZUL</t>
  </si>
  <si>
    <t>MAT001603</t>
  </si>
  <si>
    <t>PLUMON PARA PIZARRA ACRILICA #152 COLOR NEGRO</t>
  </si>
  <si>
    <t>MAT001604</t>
  </si>
  <si>
    <t>PLUMON PARA PIZARRA ACRILICA #152 COLOR ROJO</t>
  </si>
  <si>
    <t>MAT001605</t>
  </si>
  <si>
    <t>PLUMON PARA PIZARRA ACRILICA #152 COLOR VERDE</t>
  </si>
  <si>
    <t>MAT001606</t>
  </si>
  <si>
    <t>POLIESTIRENO EXPANDIDO DE TECNOPOR DE 1/2" X 1.2 X 2.4 M</t>
  </si>
  <si>
    <t>TECNOPOR</t>
  </si>
  <si>
    <t>MAT001607</t>
  </si>
  <si>
    <t>PORTA HERRAMIENTA CON CINTURON CARNAZA MODELO: 11533</t>
  </si>
  <si>
    <t>MAT001608</t>
  </si>
  <si>
    <t>PORTA LAPICERO ACRILICO</t>
  </si>
  <si>
    <t>MAT001609</t>
  </si>
  <si>
    <t>PORTA MARTILLO DE CUERO CON CINTURON</t>
  </si>
  <si>
    <t>MAT001610</t>
  </si>
  <si>
    <t>PORTA MARTILLO DE CUERO SIN CINTURON</t>
  </si>
  <si>
    <t>MAT001611</t>
  </si>
  <si>
    <t>PORTA USB MULTIPLE</t>
  </si>
  <si>
    <t>MAT001612</t>
  </si>
  <si>
    <t>PORTACINTILLO AUTOADHES 19 X 19 X 100 UND</t>
  </si>
  <si>
    <t>HONT</t>
  </si>
  <si>
    <t>MAT001613</t>
  </si>
  <si>
    <t>PORTACINTILLO AUTOADHES 21.0 X 21.0 X 100 UND</t>
  </si>
  <si>
    <t>MAT001614</t>
  </si>
  <si>
    <t>PORTACINTILLO AUTOADHES 25 X 25 X 100 UND</t>
  </si>
  <si>
    <t>MAT001615</t>
  </si>
  <si>
    <t>PORTACINTILLO AUTOADHES 28X28X100 UND</t>
  </si>
  <si>
    <t>MAT001616</t>
  </si>
  <si>
    <t>PORTACINTILLO AUTOADHES 30 X 30 X 100 UND</t>
  </si>
  <si>
    <t>MAT001617</t>
  </si>
  <si>
    <t>POST IT POP UP NEÓN SURTIDO 2X2IN, 5 PADS (500 HOJAS)</t>
  </si>
  <si>
    <t>MAT001618</t>
  </si>
  <si>
    <t>POST IT POP UP NEÓN SURTIDO 3X3IN, 5 PADS (500 HOJAS)</t>
  </si>
  <si>
    <t>MAT001619</t>
  </si>
  <si>
    <t>PRECINTOS PLASTICOS DE SEGURIDAD PARA EXTINTORES</t>
  </si>
  <si>
    <t>MAT001620</t>
  </si>
  <si>
    <t>PRENSAESTOPA DE NYLON GRIS CON UL DE 10-14MM</t>
  </si>
  <si>
    <t>ACSA</t>
  </si>
  <si>
    <t>MAT001621</t>
  </si>
  <si>
    <t>PRENSAESTOPA DE NYLON GRIS CON UL DE 13-18MM</t>
  </si>
  <si>
    <t>MAT001622</t>
  </si>
  <si>
    <t>PRENSAESTOPA DE NYLON GRIS CON UL DE 18-25MM</t>
  </si>
  <si>
    <t>MAT001623</t>
  </si>
  <si>
    <t>PRENSAESTOPA DE NYLON GRIS CON UL DE 22-32MM</t>
  </si>
  <si>
    <t>MAT001624</t>
  </si>
  <si>
    <t>PRENSAESTOPA DE NYLON GRIS CON UL DE 32-38MM</t>
  </si>
  <si>
    <t>MAT001625</t>
  </si>
  <si>
    <t>PRENSAESTOPA DE NYLON GRIS CON UL DE 3-6.5mm</t>
  </si>
  <si>
    <t>MAT001626</t>
  </si>
  <si>
    <t>PRENSAESTOPA DE NYLON GRIS CON UL DE 37-44MM</t>
  </si>
  <si>
    <t>MAT001627</t>
  </si>
  <si>
    <t>PRENSAESTOPA DE NYLON GRIS CON UL DE 5-10mm</t>
  </si>
  <si>
    <t>MAT001628</t>
  </si>
  <si>
    <t>PRENSAESTOPA DE NYLON GRIS CON UL DE 6-12MM</t>
  </si>
  <si>
    <t>MAT001629</t>
  </si>
  <si>
    <t>PRENSAESTOPA DE NYLON ROSCA NPT 1-1/4" GRIS</t>
  </si>
  <si>
    <t>MAT001630</t>
  </si>
  <si>
    <t>PRENSAESTOPA DE NYLON ROSCA NPT 3/8» GRIS</t>
  </si>
  <si>
    <t>MAT001631</t>
  </si>
  <si>
    <t>PRENSAESTOPA NIQUELADA GRIS CON UL DE 10-14MM</t>
  </si>
  <si>
    <t>MAT001632</t>
  </si>
  <si>
    <t>PRENSAESTOPA NIQUELADA GRIS CON UL DE 22-32MM</t>
  </si>
  <si>
    <t>MAT001633</t>
  </si>
  <si>
    <t>PRENSAESTOPA NIQUELADA GRIS CON UL DE 32-38MM</t>
  </si>
  <si>
    <t>MAT001634</t>
  </si>
  <si>
    <t>PRENSAESTOPA NIQUELADA GRIS CON UL DE 37-44MM</t>
  </si>
  <si>
    <t>MAT001635</t>
  </si>
  <si>
    <t>PRENSAESTOPA NIQUELADA GRIS CON UL DE 6-12MM</t>
  </si>
  <si>
    <t>MAT001636</t>
  </si>
  <si>
    <t>PRENSAESTOPA PARA TUBERÍA CORRUGADA 1/2" GRIS</t>
  </si>
  <si>
    <t>MAT001637</t>
  </si>
  <si>
    <t>PRENSAESTOPA PARA TUBERÍA CORRUGADA 3/4" GRIS</t>
  </si>
  <si>
    <t>MAT001638</t>
  </si>
  <si>
    <t>PRENSAESTOPA PARA TUBERÍA CORRUGADA 3/8" GRIS</t>
  </si>
  <si>
    <t>MAT001639</t>
  </si>
  <si>
    <t>PRENSAESTOPA SIMÉTRICA PARA 125A GRIS</t>
  </si>
  <si>
    <t>MAT001640</t>
  </si>
  <si>
    <t>PRENSAESTOPA SIMÉTRICA PARA 63A GRIS</t>
  </si>
  <si>
    <t>MAT001641</t>
  </si>
  <si>
    <t>PULPO DE CADENA DE DOS RAMALES DE 10MM - 4.250KG</t>
  </si>
  <si>
    <t>MAT001642</t>
  </si>
  <si>
    <t>PULSERA ANTIESTATICA MD ZD-152</t>
  </si>
  <si>
    <t>TAKEMA</t>
  </si>
  <si>
    <t>MAT001643</t>
  </si>
  <si>
    <t>PULVERIZADOR A PRESIÓN 2L</t>
  </si>
  <si>
    <t>MAT001644</t>
  </si>
  <si>
    <t>PUNTA DE ATORNILLAR + VASO Y PORTA PUNTA MAGNETICO</t>
  </si>
  <si>
    <t>OTRO ACCESORIO</t>
  </si>
  <si>
    <t>MAT001645</t>
  </si>
  <si>
    <t>PUNTA DE PISTOLAS P/ CALAFATEO SIKA</t>
  </si>
  <si>
    <t>MAT001646</t>
  </si>
  <si>
    <t>PUNTAS MAGNÉTICAS PARA TALADRO X 44 PZS</t>
  </si>
  <si>
    <t>MAT001647</t>
  </si>
  <si>
    <t>QUITA GRASA</t>
  </si>
  <si>
    <t>MAT001648</t>
  </si>
  <si>
    <t>RACK PARA TELEVISOR 32"-55"</t>
  </si>
  <si>
    <t>MUEBLE, ENSER Y EQUIPOS DE OFICINA</t>
  </si>
  <si>
    <t>MUEBLE Y ENSER</t>
  </si>
  <si>
    <t>MAT001649</t>
  </si>
  <si>
    <t>RACK PARA TELEVISOR 32"-75"</t>
  </si>
  <si>
    <t>MAT001650</t>
  </si>
  <si>
    <t>RECOGEDOR DE BASURA DE METAL</t>
  </si>
  <si>
    <t>MAT001651</t>
  </si>
  <si>
    <t>RECOGEDOR DE BASURA DE PLASTICO</t>
  </si>
  <si>
    <t>MAT001652</t>
  </si>
  <si>
    <t>RECOGEDOR DE BASURA DE PLASTICO PEQUEÑO</t>
  </si>
  <si>
    <t>MAT001653</t>
  </si>
  <si>
    <t>REDUCCION BUSHING ACERO INOXIDABLE 1 1/2" X 1 1/4" ROSCA NPT C-304 X 150 LIB</t>
  </si>
  <si>
    <t>MAT001654</t>
  </si>
  <si>
    <t>REDUCCION BUSHING ACERO INOXIDABLE 1 1/2" X 1" ROSCA NPT C-304 X 150 LIB</t>
  </si>
  <si>
    <t>MAT001655</t>
  </si>
  <si>
    <t>REDUCCION BUSHING ACERO INOXIDABLE 1 1/4" X 1" ROSCA NPT C-304 X 150 LIB</t>
  </si>
  <si>
    <t>MAT001656</t>
  </si>
  <si>
    <t>REDUCCION BUSHING ACERO INOXIDABLE 1" X 1/2" ROSCA NPT C-304 X 150 LIB</t>
  </si>
  <si>
    <t>MAT001657</t>
  </si>
  <si>
    <t>REDUCCION BUSHING ACERO INOXIDABLE 1" X 3/4" ROSCA NPT C-304 X 150 LIB</t>
  </si>
  <si>
    <t>MAT001658</t>
  </si>
  <si>
    <t>REDUCCION BUSHING ACERO INOXIDABLE 1/2'' X 1/4'' ROSCA NPT C-304 X 150 LIB</t>
  </si>
  <si>
    <t>MAT001659</t>
  </si>
  <si>
    <t>REDUCCION BUSHING ACERO INOXIDABLE 1/2" X 1/4"</t>
  </si>
  <si>
    <t>MAT001660</t>
  </si>
  <si>
    <t>REDUCCION BUSHING ACERO INOXIDABLE 1/2" X 1/4" ROSCA NPT C-304 X 150 LIB</t>
  </si>
  <si>
    <t>MAT001661</t>
  </si>
  <si>
    <t>REDUCCION BUSHING ACERO INOXIDABLE 2" X 1 1/2" ROSCA NPT C-304 X 150 LIB</t>
  </si>
  <si>
    <t>MAT001662</t>
  </si>
  <si>
    <t>REDUCCION BUSHING ACERO INOXIDABLE 2" X 1" ROSCA NPT C-304 X 150 LIB</t>
  </si>
  <si>
    <t>MAT001663</t>
  </si>
  <si>
    <t>REDUCCION BUSHING ACERO INOXIDABLE 2" X 1/2" ROSCA NPT C-304 X 150 LIB</t>
  </si>
  <si>
    <t>MAT001664</t>
  </si>
  <si>
    <t>REDUCCION BUSHING ACERO INOXIDABLE 2" X 3/4" ROSCA NPT C-304 X 150 LIB</t>
  </si>
  <si>
    <t>MAT001665</t>
  </si>
  <si>
    <t>REDUCCION BUSHING ACERO INOXIDABLE 3" X 1/2" ROSCA NPT C-304 X 150 LIB</t>
  </si>
  <si>
    <t>MAT001666</t>
  </si>
  <si>
    <t>REDUCCION BUSHING ACERO INOXIDABLE 3/4" X 1/2"</t>
  </si>
  <si>
    <t>MAT001667</t>
  </si>
  <si>
    <t>REDUCCION BUSHING ACERO INOXIDABLE 3/4" X 1/2" ROSCA NPT C-304 X 150 LIB</t>
  </si>
  <si>
    <t>MAT001668</t>
  </si>
  <si>
    <t>REDUCCION BUSHING F°N° DE 1 1/2" A 1" ROSCA NPT X 150/300 LIB</t>
  </si>
  <si>
    <t>JIANZHI</t>
  </si>
  <si>
    <t>MAT001669</t>
  </si>
  <si>
    <t>REDUCCION BUSHING F°N° DE 1 1/2" A 1/2" ROSCA NPT X 150/300 LIB</t>
  </si>
  <si>
    <t>MAT001670</t>
  </si>
  <si>
    <t>REDUCCION BUSHING F°N° DE 1 1/2" A 1/4" ROSCA NPT X 150/300 LIB</t>
  </si>
  <si>
    <t>MAT001671</t>
  </si>
  <si>
    <t>REDUCCION BUSHING F°N° DE 1 1/2" A 3/4" ROSCA NPT X 150/300 LIB</t>
  </si>
  <si>
    <t>MAT001672</t>
  </si>
  <si>
    <t>REDUCCION BUSHING F°N° DE 1" A 1/2" ROSCA NPT X 150/300 LIB</t>
  </si>
  <si>
    <t>MAT001673</t>
  </si>
  <si>
    <t>REDUCCION BUSHING F°N° DE 1" A 1/4" ROSCA NPT X 150/300 LIB</t>
  </si>
  <si>
    <t>MAT001674</t>
  </si>
  <si>
    <t>REDUCCION BUSHING F°N° DE 1" A 3/4" ROSCA NPT X 150/300 LIB</t>
  </si>
  <si>
    <t>MAT001675</t>
  </si>
  <si>
    <t>REDUCCION BUSHING F°N° DE 1" A 3/8" ROSCA NPT X 150/300 LIB</t>
  </si>
  <si>
    <t>MAT001676</t>
  </si>
  <si>
    <t>REDUCCION BUSHING F°N° DE 1/2" A 3/4" ROSCA NPT X 150/300 LIB</t>
  </si>
  <si>
    <t>MAT001677</t>
  </si>
  <si>
    <t>REDUCCION BUSHING F°N° DE 2" A 1 1/2" ROSCA NPT X 150/300 LIB</t>
  </si>
  <si>
    <t>MAT001678</t>
  </si>
  <si>
    <t>REDUCCION BUSHING F°N° DE 2" A 1" ROSCA NPT X 150/300 LIB</t>
  </si>
  <si>
    <t>MAT001679</t>
  </si>
  <si>
    <t>REDUCCION BUSHING F°N° DE 2" A 1/2" ROSCA NPT X 150/300 LIB</t>
  </si>
  <si>
    <t>MAT001680</t>
  </si>
  <si>
    <t>REDUCCION BUSHING F°N° DE 2" A 3/4" ROSCA NPT X 150/300 LIB</t>
  </si>
  <si>
    <t>MAT001681</t>
  </si>
  <si>
    <t>REDUCCION BUSHING F°N° DE 3/4" A 1/2" ROSCA NPT X 150/300 LIB</t>
  </si>
  <si>
    <t>MAT001682</t>
  </si>
  <si>
    <t>REDUCCION BUSHING F°N° DE 3/4" A 1/4" ROSCA NPT X 150/300 LIB</t>
  </si>
  <si>
    <t>MAT001683</t>
  </si>
  <si>
    <t>REDUCCION BUSHING F°N° DE 3/4" A 3/8" ROSCA NPT X 150/300 LIB</t>
  </si>
  <si>
    <t>MAT001684</t>
  </si>
  <si>
    <t>REDUCCION BUSHING FIERRO GALV 1 1/2" X 1 1/4" ROSCA NPT X 150 LIBRAS UL/FM</t>
  </si>
  <si>
    <t>MAT001685</t>
  </si>
  <si>
    <t>REDUCCION BUSHING FIERRO GALV 1 1/2" X 1" ROSCA NPT X 150 LIBRAS UL/FM</t>
  </si>
  <si>
    <t>MAT001686</t>
  </si>
  <si>
    <t>REDUCCION BUSHING FIERRO GALV 1 1/2" X 1/2" ROSCA NPT X 150 LIBRAS UL/FM</t>
  </si>
  <si>
    <t>MAT001687</t>
  </si>
  <si>
    <t>REDUCCION BUSHING FIERRO GALV 1 1/2" X 1/4" ROSCA NPT X 150 LIBRAS UL/FM</t>
  </si>
  <si>
    <t>MAT001688</t>
  </si>
  <si>
    <t>REDUCCION BUSHING FIERRO GALV 1 1/2" X 3/4" ROSCA NPT X 150 LIBRAS UL/FM</t>
  </si>
  <si>
    <t>MAT001689</t>
  </si>
  <si>
    <t>REDUCCION BUSHING FIERRO GALV 1 1/4" X 1" ROSCA NPT X 150 LIBRAS UL/FM</t>
  </si>
  <si>
    <t>MAT001690</t>
  </si>
  <si>
    <t>REDUCCION BUSHING FIERRO GALV 1 1/4" X 1/2" ROSCA NPT X 150 LIBRAS UL/FM</t>
  </si>
  <si>
    <t>MAT001691</t>
  </si>
  <si>
    <t>REDUCCION BUSHING FIERRO GALV 1 1/4" X 3/4" ROSCA NPT X 150 LIBRAS UL/FM</t>
  </si>
  <si>
    <t>MAT001692</t>
  </si>
  <si>
    <t>REDUCCION BUSHING FIERRO GALV 1" X 1/2" ROSCA NPT X 150 LIBRAS UL/FM</t>
  </si>
  <si>
    <t>MAT001693</t>
  </si>
  <si>
    <t>REDUCCION BUSHING FIERRO GALV 1" X 1/4" ROSCA NPT X 150 LIBRAS UL/FM</t>
  </si>
  <si>
    <t>MAT001694</t>
  </si>
  <si>
    <t>REDUCCION BUSHING FIERRO GALV 1" X 3/4" ROSCA NPT X 150 LIBRAS UL/FM</t>
  </si>
  <si>
    <t>MAT001695</t>
  </si>
  <si>
    <t>REDUCCION BUSHING FIERRO GALV 1/2" X 1/4" ROSCA NPT X 150 LIBRAS UL/FM</t>
  </si>
  <si>
    <t>MAT001696</t>
  </si>
  <si>
    <t>REDUCCION BUSHING FIERRO GALV 1/2" X 3/8" ROSCA NPT X 150 LIBRAS UL/FM</t>
  </si>
  <si>
    <t>MAT001697</t>
  </si>
  <si>
    <t>REDUCCION BUSHING FIERRO GALV 1/4" X 1/2" ROSCA NPT X 150 LIBRAS UL/FM</t>
  </si>
  <si>
    <t>MAT001698</t>
  </si>
  <si>
    <t>REDUCCION BUSHING FIERRO GALV 2" X 1 1/2" ROSCA NPT X 150 LIBRAS UL/FM</t>
  </si>
  <si>
    <t>MAT001699</t>
  </si>
  <si>
    <t>REDUCCION BUSHING FIERRO GALV 2" X 1 1/4" ROSCA NPT X 150 LIBRAS UL/FM</t>
  </si>
  <si>
    <t>MAT001700</t>
  </si>
  <si>
    <t>REDUCCION BUSHING FIERRO GALV 2" X 1" ROSCA NPT X 150 LIBRAS UL/FM</t>
  </si>
  <si>
    <t>MAT001701</t>
  </si>
  <si>
    <t>REDUCCION BUSHING FIERRO GALV 2" X 1/2" ROSCA NPT X 150 LIBRAS UL/FM</t>
  </si>
  <si>
    <t>MAT001702</t>
  </si>
  <si>
    <t>REDUCCION BUSHING FIERRO GALV 2" X 3/4" ROSCA NPT X 150 LIBRAS UL/FM</t>
  </si>
  <si>
    <t>MAT001703</t>
  </si>
  <si>
    <t>REDUCCION BUSHING FIERRO GALV 3/4" X 1/2" ROSCA NPT X 150 LIBRAS UL/FM</t>
  </si>
  <si>
    <t>MAT001704</t>
  </si>
  <si>
    <t>REDUCCION BUSHING FIERRO GALV 3/4" X 1/4" ROSCA NPT X 150 LIBRAS UL/FM</t>
  </si>
  <si>
    <t>MAT001705</t>
  </si>
  <si>
    <t>REDUCCION BUSHING P/CONDUIT DE 1 1/2" A 1 1/4"</t>
  </si>
  <si>
    <t>MAT001706</t>
  </si>
  <si>
    <t>REDUCCION BUSHING P/CONDUIT DE 1 1/2" A 1"</t>
  </si>
  <si>
    <t>MAT001707</t>
  </si>
  <si>
    <t>REDUCCION BUSHING P/CONDUIT DE 1 1/2" A 1/2"</t>
  </si>
  <si>
    <t>MAT001708</t>
  </si>
  <si>
    <t>REDUCCION BUSHING P/CONDUIT DE 1 1/2" A 3/4"</t>
  </si>
  <si>
    <t>MAT001709</t>
  </si>
  <si>
    <t>REDUCCION BUSHING P/CONDUIT DE 1 1/4" A 1"</t>
  </si>
  <si>
    <t>MAT001710</t>
  </si>
  <si>
    <t>REDUCCION BUSHING P/CONDUIT DE 1" A 1/2"</t>
  </si>
  <si>
    <t>MAT001711</t>
  </si>
  <si>
    <t>REDUCCION BUSHING P/CONDUIT DE 1" A 3/4"</t>
  </si>
  <si>
    <t>MAT001712</t>
  </si>
  <si>
    <t>REDUCCION BUSHING P/CONDUIT DE 2" A 1 1/2"</t>
  </si>
  <si>
    <t>MAT001713</t>
  </si>
  <si>
    <t>REDUCCION BUSHING P/CONDUIT DE 2" A 1 1/4"</t>
  </si>
  <si>
    <t>MAT001714</t>
  </si>
  <si>
    <t>REDUCCION BUSHING P/CONDUIT DE 2" A 1"</t>
  </si>
  <si>
    <t>MAT001715</t>
  </si>
  <si>
    <t>REDUCCION BUSHING P/CONDUIT DE 2" A 1/2"</t>
  </si>
  <si>
    <t>MAT001716</t>
  </si>
  <si>
    <t>REDUCCION BUSHING P/CONDUIT DE 2" A 3/4"</t>
  </si>
  <si>
    <t>MAT001717</t>
  </si>
  <si>
    <t>REDUCCION BUSHING P/CONDUIT DE 3/4" A 1/2"</t>
  </si>
  <si>
    <t>MAT001718</t>
  </si>
  <si>
    <t>REDUCCION CAMPANA FIERRO GALVANIZADO 1 1/2" X 1 1/4" X 150 LIBRAS UL/FM</t>
  </si>
  <si>
    <t>MAT001719</t>
  </si>
  <si>
    <t>REDUCCION CAMPANA FIERRO GALVANIZADO 1 1/2" X 1" X 150 LIBRAS UL/FM</t>
  </si>
  <si>
    <t>MAT001720</t>
  </si>
  <si>
    <t>REDUCCION CAMPANA FIERRO GALVANIZADO 1 1/2" X 3/4" X 150 LIBRAS UL/FM</t>
  </si>
  <si>
    <t>MAT001721</t>
  </si>
  <si>
    <t>REDUCCION CAMPANA FIERRO GALVANIZADO 1 1/4" X 1/2" X 150 LIBRAS UL/FM</t>
  </si>
  <si>
    <t>MAT001722</t>
  </si>
  <si>
    <t>REDUCCION CAMPANA FIERRO GALVANIZADO 1/2" X 1/4" X 150 LIBRAS UL/FM</t>
  </si>
  <si>
    <t>MAT001723</t>
  </si>
  <si>
    <t>REDUCCION CAMPANA FIERRO GALVANIZADO 2 1/2" X 1 1/2" X 150 LIBRAS UL/FM</t>
  </si>
  <si>
    <t>MAT001724</t>
  </si>
  <si>
    <t>REDUCCION CAMPANA FIERRO GALVANIZADO 2 1/2" X 1 1/4" X 150 LIBRAS UL/FM</t>
  </si>
  <si>
    <t>MAT001725</t>
  </si>
  <si>
    <t>REDUCCION CAMPANA FIERRO GALVANIZADO 2" X 3/4" X 150 LIBRAS UL/FM</t>
  </si>
  <si>
    <t>MAT001726</t>
  </si>
  <si>
    <t>REDUCCION CAMPANA FIERRO GALVANIZADO 3" X 1 1/2" X 150 LIBRAS UL/FM</t>
  </si>
  <si>
    <t>MAT001727</t>
  </si>
  <si>
    <t>REDUCCION CAMPANA FIERRO GALVANIZADO 3" X 2" X 150 LIBRAS UL/FM</t>
  </si>
  <si>
    <t>MAT001728</t>
  </si>
  <si>
    <t>REDUCCION CAMPANA FIERRO GALVANIZADO 3/4" X 1/2" X 150 LIBRAS UL/FM</t>
  </si>
  <si>
    <t>MAT001729</t>
  </si>
  <si>
    <t>REDUCCION CAMPANA FIERRO GALVANIZADO 3/4" X 1/4" X 150 LIBRAS UL/FM</t>
  </si>
  <si>
    <t>MAT001730</t>
  </si>
  <si>
    <t>REDUCCION CAMPANA FIERRO GALVANIZADO 4" X 1 1/2" X 150 LIBRAS UL/FM</t>
  </si>
  <si>
    <t>MAT001731</t>
  </si>
  <si>
    <t>REDUCCION CAMPANA FIERRO GALVANIZADO 4" X 2" X 150 LIBRAS UL/FM</t>
  </si>
  <si>
    <t>MAT001732</t>
  </si>
  <si>
    <t>REDUCCION CAMPANA FIERRO NEGRO CLASS150 UL/FM 1 1/2" X 1 1/4"</t>
  </si>
  <si>
    <t xml:space="preserve">	MECH</t>
  </si>
  <si>
    <t>MAT001733</t>
  </si>
  <si>
    <t>REDUCCION CAMPANA FIERRO NEGRO CLASS150 UL/FM 1 1/2" X 1"</t>
  </si>
  <si>
    <t>MAT001734</t>
  </si>
  <si>
    <t>REDUCCION CAMPANA FIERRO NEGRO CLASS150 UL/FM 1 1/2" X 1/2"</t>
  </si>
  <si>
    <t>MAT001735</t>
  </si>
  <si>
    <t>REDUCCION CAMPANA FIERRO NEGRO CLASS150 UL/FM 1 1/2" X 3/4"</t>
  </si>
  <si>
    <t>MAT001736</t>
  </si>
  <si>
    <t>REDUCCION CAMPANA FIERRO NEGRO CLASS150 UL/FM 1 1/4" X 1"</t>
  </si>
  <si>
    <t>MAT001737</t>
  </si>
  <si>
    <t>REDUCCION CAMPANA FIERRO NEGRO CLASS150 UL/FM 1 1/4" X 1/2"</t>
  </si>
  <si>
    <t>MAT001738</t>
  </si>
  <si>
    <t>REDUCCION CAMPANA FIERRO NEGRO CLASS150 UL/FM 1" X 1/2"</t>
  </si>
  <si>
    <t>MAT001739</t>
  </si>
  <si>
    <t>REDUCCION CAMPANA FIERRO NEGRO CLASS150 UL/FM 1" X 3/4"</t>
  </si>
  <si>
    <t>MAT001740</t>
  </si>
  <si>
    <t>REDUCCION CAMPANA FIERRO NEGRO CLASS150 UL/FM 1/2" X 3/8"</t>
  </si>
  <si>
    <t>MAT001741</t>
  </si>
  <si>
    <t>REDUCCION CAMPANA FIERRO NEGRO CLASS150 UL/FM 2 1/2" X 1 1/2"</t>
  </si>
  <si>
    <t>MAT001742</t>
  </si>
  <si>
    <t>REDUCCION CAMPANA FIERRO NEGRO CLASS150 UL/FM 2 1/2" X 1 1/4"</t>
  </si>
  <si>
    <t>MAT001743</t>
  </si>
  <si>
    <t>REDUCCION CAMPANA FIERRO NEGRO CLASS150 UL/FM 2 1/2" X 1"</t>
  </si>
  <si>
    <t>MAT001744</t>
  </si>
  <si>
    <t>REDUCCION CAMPANA FIERRO NEGRO CLASS150 UL/FM 2 1/2" X 2"</t>
  </si>
  <si>
    <t>MAT001745</t>
  </si>
  <si>
    <t>REDUCCION CAMPANA FIERRO NEGRO CLASS150 UL/FM 2" X 1 1/2"</t>
  </si>
  <si>
    <t>MAT001746</t>
  </si>
  <si>
    <t>REDUCCION CAMPANA FIERRO NEGRO CLASS150 UL/FM 2" X 1 1/4"</t>
  </si>
  <si>
    <t>MAT001747</t>
  </si>
  <si>
    <t>REDUCCION CAMPANA FIERRO NEGRO CLASS150 UL/FM 2" X 1"</t>
  </si>
  <si>
    <t>MAT001748</t>
  </si>
  <si>
    <t>REDUCCION CAMPANA FIERRO NEGRO CLASS150 UL/FM 3" X 1 1/4"</t>
  </si>
  <si>
    <t>MAT001749</t>
  </si>
  <si>
    <t>REDUCCION CAMPANA FIERRO NEGRO CLASS150 UL/FM 3" X 1"</t>
  </si>
  <si>
    <t>MAT001750</t>
  </si>
  <si>
    <t>REDUCCION CAMPANA FIERRO NEGRO CLASS150 UL/FM 3" X 2 1/2"</t>
  </si>
  <si>
    <t>MAT001751</t>
  </si>
  <si>
    <t>REDUCCION CAMPANA FIERRO NEGRO CLASS150 UL/FM 3" X 2"</t>
  </si>
  <si>
    <t>MAT001752</t>
  </si>
  <si>
    <t>REDUCCION CAMPANA FIERRO NEGRO CLASS150 UL/FM 3/4" X 1/2"</t>
  </si>
  <si>
    <t>MAT001753</t>
  </si>
  <si>
    <t>REDUCCION CAMPANA FIERRO NEGRO CLASS150 UL/FM 4'' X 3''</t>
  </si>
  <si>
    <t>MAT001754</t>
  </si>
  <si>
    <t>REDUCCION CAMPANA FIERRO NEGRO CLASS150 UL/FM 4" X 1"</t>
  </si>
  <si>
    <t>MAT001755</t>
  </si>
  <si>
    <t>REDUCCION CAMPANA FIERRO NEGRO CLASS150 UL/FM 4" X 2 1/2"</t>
  </si>
  <si>
    <t>MAT001756</t>
  </si>
  <si>
    <t>REDUCCION CAMPANA FIERRO NEGRO CLASS150 UL/FM 4" X 2"</t>
  </si>
  <si>
    <t>MAT001757</t>
  </si>
  <si>
    <t>REDUCCION CAMPANA FIERRO NEGRO CLASS150 UL/FM 4" X 3"</t>
  </si>
  <si>
    <t>MAT001758</t>
  </si>
  <si>
    <t>REDUCCION CAMPANA FIERRO NEGRO CLASS150 UL/FM 6'' X 4''</t>
  </si>
  <si>
    <t>MAT001759</t>
  </si>
  <si>
    <t>REDUCCION CAMPANA FIERRO NEGRO CLASS150 UL/FM 8'' X 4''</t>
  </si>
  <si>
    <t>MAT001760</t>
  </si>
  <si>
    <t>REDUCCION CONCENTRICA SOLDABLE SCH-40 1 1/4 "X 1"</t>
  </si>
  <si>
    <t>MAT001761</t>
  </si>
  <si>
    <t>REDUCCION CONCENTRICA SOLDABLE SCH-40 2 1/2" X 1 1/2"</t>
  </si>
  <si>
    <t>MAT001762</t>
  </si>
  <si>
    <t>REDUCCION CONCENTRICA SOLDABLE SCH-40 2 1/2" X 1 1/4"</t>
  </si>
  <si>
    <t>MAT001763</t>
  </si>
  <si>
    <t>REDUCCION CONCENTRICA SOLDABLE SCH-40 2" X 1"</t>
  </si>
  <si>
    <t>MAT001764</t>
  </si>
  <si>
    <t>REDUCCION CONCENTRICA SOLDABLE SCH-40 3" X 1 1/2"</t>
  </si>
  <si>
    <t>MAT001765</t>
  </si>
  <si>
    <t>REDUCCION CONCENTRICA SOLDABLE SCH-40 3" X 1 1/4"</t>
  </si>
  <si>
    <t>MAT001766</t>
  </si>
  <si>
    <t>REDUCCION CONCENTRICA SOLDABLE SCH-40 3" X 2 1/2"</t>
  </si>
  <si>
    <t>MAT001767</t>
  </si>
  <si>
    <t>REDUCCION CONCENTRICA SOLDABLE SCH-40 3" X 2"</t>
  </si>
  <si>
    <t>MAT001768</t>
  </si>
  <si>
    <t>REDUCCION CONCENTRICA SOLDABLE SCH-40 4" X 2 1/2"</t>
  </si>
  <si>
    <t>MAT001769</t>
  </si>
  <si>
    <t>REDUCCION CONCENTRICA SOLDABLE SCH-40 4" X 2"</t>
  </si>
  <si>
    <t>MAT001770</t>
  </si>
  <si>
    <t>REDUCCION CONCENTRICA SOLDABLE SCH-40 4" X 3"</t>
  </si>
  <si>
    <t>MAT001771</t>
  </si>
  <si>
    <t>REDUCCION DE PVC ROSCA EXTERIOR DE 1"-3/4"</t>
  </si>
  <si>
    <t>MAT001772</t>
  </si>
  <si>
    <t>REDUCCION DE PVC ROSCA EXTERIOR DE 3/4"-1/2"</t>
  </si>
  <si>
    <t>MAT001773</t>
  </si>
  <si>
    <t>REDUCCION EXCENTRICA DE 10" - 5" DE ACERO NEGRO SOLDABLE SCH-40</t>
  </si>
  <si>
    <t>MAT001774</t>
  </si>
  <si>
    <t>REDUCCION EXCENTRICA DE 5" - 4" DE ACERO NEGRO SOLDABLE SCH-40</t>
  </si>
  <si>
    <t>MAT001775</t>
  </si>
  <si>
    <t>REDUCCION PVC A PRESION DE 1 1/2" A 1"</t>
  </si>
  <si>
    <t>MAT001776</t>
  </si>
  <si>
    <t>REDUCCION PVC A PRESION DE 1 1/2" A 1/2"</t>
  </si>
  <si>
    <t>MAT001777</t>
  </si>
  <si>
    <t>REDUCCION PVC A PRESION DE 1 1/2" A 3/4"</t>
  </si>
  <si>
    <t>MAT001778</t>
  </si>
  <si>
    <t>REDUCCION PVC A PRESION DE 1" A 1/2"</t>
  </si>
  <si>
    <t>MAT001779</t>
  </si>
  <si>
    <t>REDUCCION PVC A PRESION DE 1" A 3/4"</t>
  </si>
  <si>
    <t>MAT001780</t>
  </si>
  <si>
    <t>REDUCCION PVC A PRESION DE 2" A 1 1/2"</t>
  </si>
  <si>
    <t>MAT001781</t>
  </si>
  <si>
    <t>REDUCCION PVC A PRESION DE 2" A 1"</t>
  </si>
  <si>
    <t>MAT001782</t>
  </si>
  <si>
    <t>REDUCCION PVC A PRESION DE 2" A 3/4"</t>
  </si>
  <si>
    <t>MAT001783</t>
  </si>
  <si>
    <t>REDUCCION PVC A PRESION DE 3" A 2"</t>
  </si>
  <si>
    <t>MAT001784</t>
  </si>
  <si>
    <t>REDUCCION PVC A PRESION DE 3/4" A 1/2"</t>
  </si>
  <si>
    <t>MAT001785</t>
  </si>
  <si>
    <t>REDUCCION PVC A PRESION DE 4" A 2"</t>
  </si>
  <si>
    <t>MAT001786</t>
  </si>
  <si>
    <t>REDUCCION PVC SAL 4" A 3"</t>
  </si>
  <si>
    <t>MAT001787</t>
  </si>
  <si>
    <t>REFLECTOR DE LUZ BLANCA LED 50W 220V</t>
  </si>
  <si>
    <t>MAT001788</t>
  </si>
  <si>
    <t>REGLA DE ALUMINIO PARA ALBAÑIL DE 1 1/2" X 3 1/4" X 6 M</t>
  </si>
  <si>
    <t>MAT001789</t>
  </si>
  <si>
    <t>REGLA DE ALUMINIO PARA ALBAÑIL DE 1 1/2" X 4" X 6 M</t>
  </si>
  <si>
    <t>MAT001790</t>
  </si>
  <si>
    <t>REGLA METALICA DE 30 CM</t>
  </si>
  <si>
    <t>MAT001791</t>
  </si>
  <si>
    <t>REMACHE POP 1/4" X 1" X 100 UND</t>
  </si>
  <si>
    <t>TORNILLO</t>
  </si>
  <si>
    <t>MAT001792</t>
  </si>
  <si>
    <t>REMACHE POP 1/4" X 1/2" X 100 UND</t>
  </si>
  <si>
    <t>MAT001793</t>
  </si>
  <si>
    <t>REMACHE POP 1/4" X 3/4" X 100 UND</t>
  </si>
  <si>
    <t>MAT001794</t>
  </si>
  <si>
    <t>REMACHE POP 1/8" X 1" X 100 UND</t>
  </si>
  <si>
    <t>MAT001795</t>
  </si>
  <si>
    <t>REMACHE POP 1/8" X 1/2" X 100 UND</t>
  </si>
  <si>
    <t>MAT001796</t>
  </si>
  <si>
    <t>REMACHE POP 1/8" X 3/4" X 100 UND</t>
  </si>
  <si>
    <t>MAT001797</t>
  </si>
  <si>
    <t>REMACHE POP 3/16" X 1" X 100 UND</t>
  </si>
  <si>
    <t>MAT001798</t>
  </si>
  <si>
    <t>REMACHE POP 3/16" X 1/2" X 100 UND</t>
  </si>
  <si>
    <t>MAT001799</t>
  </si>
  <si>
    <t>REMACHE POP 3/16"X 3/4" X 100 UND</t>
  </si>
  <si>
    <t>MAT001800</t>
  </si>
  <si>
    <t>REMACHE POP 5/32" X 1" X 100 UND</t>
  </si>
  <si>
    <t>MAT001801</t>
  </si>
  <si>
    <t>REMACHE POP 5/32" X 1/2" X 100 UND</t>
  </si>
  <si>
    <t>MAT001802</t>
  </si>
  <si>
    <t>REMACHE POP 5/32" X 3/4" X 100 UND</t>
  </si>
  <si>
    <t>MAT001803</t>
  </si>
  <si>
    <t>REMOVEDOR DE ÓXIDO X 1 GAL</t>
  </si>
  <si>
    <t>MAT001804</t>
  </si>
  <si>
    <t>REPUESTO MAQUINA CORTA CERAMINA 6MM</t>
  </si>
  <si>
    <t>RUBI</t>
  </si>
  <si>
    <t>MAT001805</t>
  </si>
  <si>
    <t>REPUESTO PARA CHISPERO TRIANGULAR</t>
  </si>
  <si>
    <t>MAT001806</t>
  </si>
  <si>
    <t>RESALTADOR COLOR AMARILLO</t>
  </si>
  <si>
    <t>MAT001807</t>
  </si>
  <si>
    <t>RESALTADOR COLOR NARANJA</t>
  </si>
  <si>
    <t>MAT001808</t>
  </si>
  <si>
    <t>RESALTADOR COLOR VERDE</t>
  </si>
  <si>
    <t>MAT001809</t>
  </si>
  <si>
    <t>RESINA DE ANCAJE QUIMICO Sika AnchorFix®-2</t>
  </si>
  <si>
    <t>MAT001810</t>
  </si>
  <si>
    <t>RIEL DIN SIMETRICO X 2 MT</t>
  </si>
  <si>
    <t xml:space="preserve">	HEX</t>
  </si>
  <si>
    <t>MAT001811</t>
  </si>
  <si>
    <t>RODILLO DE 10" PARA PINTURA</t>
  </si>
  <si>
    <t>TORO</t>
  </si>
  <si>
    <t>MAT001812</t>
  </si>
  <si>
    <t>RODILLO DE 12" PARA PINTURA</t>
  </si>
  <si>
    <t>MAT001813</t>
  </si>
  <si>
    <t>RODILLO DE 3" PARA PINTURA</t>
  </si>
  <si>
    <t>MAT001814</t>
  </si>
  <si>
    <t>RODILLO DE 4" PARA PINTURA</t>
  </si>
  <si>
    <t>MAT001815</t>
  </si>
  <si>
    <t>RODILLO DE 5" PARA PINTURA</t>
  </si>
  <si>
    <t>MAT001816</t>
  </si>
  <si>
    <t>RODILLO DE 6" PARA PINTURA</t>
  </si>
  <si>
    <t>MAT001817</t>
  </si>
  <si>
    <t>RODILLO DE 8" PARA PINTURA</t>
  </si>
  <si>
    <t>MAT001818</t>
  </si>
  <si>
    <t>RODILLO DE 9" PARA PINTURA</t>
  </si>
  <si>
    <t>MAT001819</t>
  </si>
  <si>
    <t>RODILLO DE SILICONA DE 40 MM</t>
  </si>
  <si>
    <t>MAT001820</t>
  </si>
  <si>
    <t>RUEDA INOX PARA CORTADOR DE TUBING DE 1/8" - 1 1/8"</t>
  </si>
  <si>
    <t>MAT001821</t>
  </si>
  <si>
    <t>SAL INDUSTRIAL X 50 KG</t>
  </si>
  <si>
    <t>MAT001822</t>
  </si>
  <si>
    <t>AMBIENTADOR SPRAY X 360 ML</t>
  </si>
  <si>
    <t>MAT001823</t>
  </si>
  <si>
    <t>SELLADOR BASE LATEX PARA MUROS</t>
  </si>
  <si>
    <t>MAT001824</t>
  </si>
  <si>
    <t xml:space="preserve">SELLADOR CERA PARA PISO VINILICO X 1 GLN </t>
  </si>
  <si>
    <t>MAT001825</t>
  </si>
  <si>
    <t>SELLADOR SILICONA CORTAFUEGO MOD CFS-S SIL GG X 5.0 GAL</t>
  </si>
  <si>
    <t>MAT001826</t>
  </si>
  <si>
    <t>SELLADOR SIKAFLEX 11FC PLUS CAP.300ML</t>
  </si>
  <si>
    <t>MAT001827</t>
  </si>
  <si>
    <t>SELLADOR BASE LATEX DE CONCRETO X 4 L</t>
  </si>
  <si>
    <t>MAT001828</t>
  </si>
  <si>
    <t>SELLANTE CORTAFUEGO SIKACRYL 620 FIRE GRIS 600ML</t>
  </si>
  <si>
    <t>MAT001829</t>
  </si>
  <si>
    <t>SELLANTE CORTAFUEGO SIKACRYL 620 FIRE NEGRO 300ML</t>
  </si>
  <si>
    <t>MAT001830</t>
  </si>
  <si>
    <t>SELLO CORTAFUEGO DE 2" NPT HEMBRA. USO VERTICAL / HORIZONTAL</t>
  </si>
  <si>
    <t>MAT001831</t>
  </si>
  <si>
    <t>SELLO FECHADOR</t>
  </si>
  <si>
    <t>TRODAT</t>
  </si>
  <si>
    <t>MAT001832</t>
  </si>
  <si>
    <t>SELLO 4911</t>
  </si>
  <si>
    <t>MAT001833</t>
  </si>
  <si>
    <t>SEPARADOR DE CONCRETO PLANO DE 7.5 CM X 7.5 CM</t>
  </si>
  <si>
    <t>ACCESORIO DE CONCRETO</t>
  </si>
  <si>
    <t>Z ADITIVOS</t>
  </si>
  <si>
    <t>MAT001834</t>
  </si>
  <si>
    <t>SEPARADOR INDEX PLASTIFICADO DE COLORES ALFABETICO (A-Z)</t>
  </si>
  <si>
    <t>MAT001835</t>
  </si>
  <si>
    <t>SEPARADOR INDEX PLASTIFICADO DE COLORES NUMERICO (1-20)</t>
  </si>
  <si>
    <t>MAT001836</t>
  </si>
  <si>
    <t>SEPARADOR NUMERICO COLORES (1-12) PLASTICO T/A-4</t>
  </si>
  <si>
    <t>MAT001837</t>
  </si>
  <si>
    <t>SEPARADORES PLASTICOS (1-31) T/ A-4</t>
  </si>
  <si>
    <t>MAT001838</t>
  </si>
  <si>
    <t>SEPARADORES PLASTICOS (A-Z) T/ A-4</t>
  </si>
  <si>
    <t>MAT001839</t>
  </si>
  <si>
    <t>SIERRA DE COPA BIMETALICA DE 1 1/2"</t>
  </si>
  <si>
    <t>MAT001840</t>
  </si>
  <si>
    <t>SIERRA DE COPA BIMETALICA DE 1"</t>
  </si>
  <si>
    <t>MAT001841</t>
  </si>
  <si>
    <t>SIERRA DE COPA BIMETALICA DE 1/2"</t>
  </si>
  <si>
    <t>MAT001842</t>
  </si>
  <si>
    <t>SIERRA DE COPA BIMETALICA DE 2"</t>
  </si>
  <si>
    <t>MAT001843</t>
  </si>
  <si>
    <t>SIERRA DE COPA BIMETALICA DE 3/4"</t>
  </si>
  <si>
    <t>MAT001844</t>
  </si>
  <si>
    <t>SIKABOND AT-METAL GRIS X 300 ML</t>
  </si>
  <si>
    <t>MAT001845</t>
  </si>
  <si>
    <t>SIKAFLEX-11 FC PLUS SELLADOR Y ADHESIVO 600 ML GRIS</t>
  </si>
  <si>
    <t>MAT001846</t>
  </si>
  <si>
    <t>SIKAREP MORTERO DE REPARACIÓN REFORZADO CON FIBRAS X 30 KG</t>
  </si>
  <si>
    <t>MAT001847</t>
  </si>
  <si>
    <t>SILBATO DE POLICIA</t>
  </si>
  <si>
    <t>MAT001848</t>
  </si>
  <si>
    <t>SILICONA BLANCA SIKASIL AC COLOR: BLANCO CAPAC. 300 ML</t>
  </si>
  <si>
    <t>MAT001849</t>
  </si>
  <si>
    <t>SILICONA DE ALTA TEMPERATURA 2400</t>
  </si>
  <si>
    <t>ABRO</t>
  </si>
  <si>
    <t>MAT001850</t>
  </si>
  <si>
    <t>SILICONA PARA LIMPIAR MUEBLE</t>
  </si>
  <si>
    <t>MAT001851</t>
  </si>
  <si>
    <t>SILICONA PARA TABLERO</t>
  </si>
  <si>
    <t>MATERIAL PARA MANTENIMIENTO DE VEHICULOS</t>
  </si>
  <si>
    <t>LIQUIDO PARA MANTENIMIENTO DE VEHICULO</t>
  </si>
  <si>
    <t>MAT001852</t>
  </si>
  <si>
    <t>SILICONA TRANSPARENTE SIKASIL - C X 300 ML</t>
  </si>
  <si>
    <t>MAT001853</t>
  </si>
  <si>
    <t>SILLA ERGONOMICA GIRATORIA CON BRAZOS</t>
  </si>
  <si>
    <t>MAT001854</t>
  </si>
  <si>
    <t>SOBRE MANILA T/A4 X 50 UND</t>
  </si>
  <si>
    <t>GRAFI</t>
  </si>
  <si>
    <t>MAT001855</t>
  </si>
  <si>
    <t>SOGA NYLON T/ DRIZA DE 1/2" X 13 M</t>
  </si>
  <si>
    <t>SOGA (DRIZA, NYLON)</t>
  </si>
  <si>
    <t>FERC</t>
  </si>
  <si>
    <t>MAT001856</t>
  </si>
  <si>
    <t>SOGA NYLON T/ DRIZA DE 1/4" X 42 M</t>
  </si>
  <si>
    <t>MAT001857</t>
  </si>
  <si>
    <t>SOGA NYLON T/ DRIZA DE 1/8" X 196 M</t>
  </si>
  <si>
    <t>MAT001858</t>
  </si>
  <si>
    <t>SOGA NYLON T/ DRIZA DE 3/8" X 21 M</t>
  </si>
  <si>
    <t>MAT001859</t>
  </si>
  <si>
    <t>SOGA NYLON T/ DRIZA DE 5/16" X 29 M</t>
  </si>
  <si>
    <t>MAT001860</t>
  </si>
  <si>
    <t>SOGA NYLON T/ DRIZA DE 5/8" X 7 M</t>
  </si>
  <si>
    <t>MAT001861</t>
  </si>
  <si>
    <t>SOLDADURA CELLOCORD E-6011 DE 1/8"</t>
  </si>
  <si>
    <t>OERLIKON</t>
  </si>
  <si>
    <t>MAT001862</t>
  </si>
  <si>
    <t>SOLDADURA CELLOCORD E-6011 DE 3/16"</t>
  </si>
  <si>
    <t>MAT001863</t>
  </si>
  <si>
    <t>SOLDADURA CELLOCORD E-6011 DE 3/32"</t>
  </si>
  <si>
    <t>MAT001864</t>
  </si>
  <si>
    <t>SOLDADURA CELLOCORD E-6011 DE 5/32"</t>
  </si>
  <si>
    <t>MAT001865</t>
  </si>
  <si>
    <t>SOLDADURA CHAMFERCORD E-900 1/8"</t>
  </si>
  <si>
    <t>MAT001866</t>
  </si>
  <si>
    <t>SOLDADURA CHAMFERCORD E-900 5/32"</t>
  </si>
  <si>
    <t>MAT001867</t>
  </si>
  <si>
    <t>SOLDADURA CITOFONTE E NI-CI DE 1/8"</t>
  </si>
  <si>
    <t>MAT001868</t>
  </si>
  <si>
    <t>SOLDADURA INOX 29/9 DE 1/8"</t>
  </si>
  <si>
    <t>MAT001869</t>
  </si>
  <si>
    <t>SOLDADURA INOX AW E 308L-16 DE 1/8"</t>
  </si>
  <si>
    <t>MAT001870</t>
  </si>
  <si>
    <t>SOLDADURA INOX AW E 308L-16 DE 3/32"</t>
  </si>
  <si>
    <t>MAT001871</t>
  </si>
  <si>
    <t>SOLDADURA SUPERCITO E-7018 DE 1/8"</t>
  </si>
  <si>
    <t>MAT001872</t>
  </si>
  <si>
    <t>SOLDADURA SUPERCITO E-7018 DE 3/16"</t>
  </si>
  <si>
    <t>MAT001873</t>
  </si>
  <si>
    <t>SOLDADURA SUPERCITO E-7018 DE 3/32"</t>
  </si>
  <si>
    <t>MAT001874</t>
  </si>
  <si>
    <t>SOLDADURA SUPERCITO E-7018 DE 5/32"</t>
  </si>
  <si>
    <t>MAT001875</t>
  </si>
  <si>
    <t>SOLDADURA EN FRIO A+B</t>
  </si>
  <si>
    <t>SOLDIMIX</t>
  </si>
  <si>
    <t>MAT001876</t>
  </si>
  <si>
    <t>STRETCH FILM MANUAL 18" X 20 MICRAS</t>
  </si>
  <si>
    <t>MAT001877</t>
  </si>
  <si>
    <t>SUMIDERO DE 3 DE BRONCE</t>
  </si>
  <si>
    <t>MAT001878</t>
  </si>
  <si>
    <t>SUMIDERO DE 6 DE BRONCE</t>
  </si>
  <si>
    <t>MAT001879</t>
  </si>
  <si>
    <t>SUPRESOR DE PICOS - 6 TOMAS</t>
  </si>
  <si>
    <t>MAT001880</t>
  </si>
  <si>
    <t>TABLERO ACERO INOX 304 200X200X150MM PLACA MONTAJE 2.0 MM ESP PARED 1.5MM</t>
  </si>
  <si>
    <t>TABLERO ELECTRICO</t>
  </si>
  <si>
    <t>MAT001881</t>
  </si>
  <si>
    <t>TABLERO ACERO INOX 304 400X300X200MM PLACA MONTAJE 2.0 MM ESP PARED 1.5MM</t>
  </si>
  <si>
    <t>MAT001882</t>
  </si>
  <si>
    <t>TABLERO ACRILICO PORTAPAPELES T/A-4 CON MANIJA</t>
  </si>
  <si>
    <t>MAT001883</t>
  </si>
  <si>
    <t>TABLERO ACRILICO PORTAPAPELES T/OFICIO CON CLIP</t>
  </si>
  <si>
    <t>MAT001884</t>
  </si>
  <si>
    <t>TABLERO DISTRIBUCION DE 220VAC 2F+T 60 Hz 4 TOMAS 16A 6H DE 400X300X200MM</t>
  </si>
  <si>
    <t>ELECTRO ENCHUFE</t>
  </si>
  <si>
    <t>MAT001885</t>
  </si>
  <si>
    <t>TABLERO DISTRIBUCION DE 380-415VAC 3F+T 60 Hz 4 TOMAS 63A 6H DE 500X400X200MM</t>
  </si>
  <si>
    <t>MAT001886</t>
  </si>
  <si>
    <t>TABLERO DE MADERA PORTAPAPELES T/OFICIO CON CLIP</t>
  </si>
  <si>
    <t>MAT001887</t>
  </si>
  <si>
    <t>TACHO DE PLASTICO DE BASURA COLOR AMARILLO "RESIDUOS METALICOS" DE 25 LTS</t>
  </si>
  <si>
    <t>REY</t>
  </si>
  <si>
    <t>MAT001888</t>
  </si>
  <si>
    <t>TACHO DE PLASTICO DE BASURA COLOR AMARILLO "RESIDUOS METALICOS" DE 51 LTS</t>
  </si>
  <si>
    <t>MAT001889</t>
  </si>
  <si>
    <t>TACHO DE PLASTICO DE BASURA COLOR AZUL "PAPEL Y CARTON" DE 25 LTS</t>
  </si>
  <si>
    <t>MAT001890</t>
  </si>
  <si>
    <t>TACHO DE PLASTICO DE BASURA COLOR AZUL "PAPEL Y CARTON" DE 51 LTS</t>
  </si>
  <si>
    <t>MAT001891</t>
  </si>
  <si>
    <t>TACHO DE PLASTICO DE BASURA COLOR BLANCO "RESIDUOS PLASTICOS PET" DE 25 LTS</t>
  </si>
  <si>
    <t>MAT001892</t>
  </si>
  <si>
    <t>TACHO DE PLASTICO DE BASURA COLOR BLANCO "RESIDUOS PLASTICOS PET" DE 51 LTS</t>
  </si>
  <si>
    <t>MAT001893</t>
  </si>
  <si>
    <t>TACHO DE PLASTICO DE BASURA COLOR MARRON "REDISUOS ORGANICOS" DE 25 LTS</t>
  </si>
  <si>
    <t>MAT001894</t>
  </si>
  <si>
    <t>TACHO DE PLASTICO DE BASURA COLOR MARRON "REDISUOS ORGANICOS" DE 51 LTS</t>
  </si>
  <si>
    <t>MAT001895</t>
  </si>
  <si>
    <t>TACHO DE PLASTICO DE BASURA COLOR NEGRO "RESIDUOS GENERALES" DE 25 LTS</t>
  </si>
  <si>
    <t>MAT001896</t>
  </si>
  <si>
    <t>TACHO DE PLASTICO DE BASURA COLOR NEGRO "RESIDUOS GENERALES" DE 51 LTS</t>
  </si>
  <si>
    <t>MAT001897</t>
  </si>
  <si>
    <t>TACHO DE PLASTICO DE BASURA COLOR ROJO "RESIDUOS PELIGROSOS" DE 51 LTS</t>
  </si>
  <si>
    <t>MAT001898</t>
  </si>
  <si>
    <t>TACO DE MADERA PARA FIJACION DE ANDAMIOS DE 2" X 30 CM X 30 CM</t>
  </si>
  <si>
    <t>MAT001899</t>
  </si>
  <si>
    <t>TACO DE SEGURIDAD DE MADERA PARA VEHICULO COLOR AMARILLO</t>
  </si>
  <si>
    <t>MAT001900</t>
  </si>
  <si>
    <t>TAJADOR DE LAPIZ</t>
  </si>
  <si>
    <t>MAT001901</t>
  </si>
  <si>
    <t>TAMPON COLOR NEGRO</t>
  </si>
  <si>
    <t>MAT001902</t>
  </si>
  <si>
    <t>TAMPON COLOR ROJO</t>
  </si>
  <si>
    <t>MAT001903</t>
  </si>
  <si>
    <t>TAMPON DACTILAR COLOR AZUL (HUELLERO)</t>
  </si>
  <si>
    <t>MAT001904</t>
  </si>
  <si>
    <t>TAMPON DACTILAR COLOR NEGRO (HUELLERO)</t>
  </si>
  <si>
    <t>MAT001905</t>
  </si>
  <si>
    <t>TANQUE P/AGUA D/ POLITILENO D/1100 L</t>
  </si>
  <si>
    <t>TANQUE</t>
  </si>
  <si>
    <t>ROTOPLAST</t>
  </si>
  <si>
    <t>MAT001906</t>
  </si>
  <si>
    <t>TAPA CIEGA BLANCA PARA CAJA DE TOMACORRIENTE</t>
  </si>
  <si>
    <t>MAT001907</t>
  </si>
  <si>
    <t>TAPA CIEGA RECTANGULAR GALVANIZADA</t>
  </si>
  <si>
    <t>MAT001908</t>
  </si>
  <si>
    <t>TAPA DE PVC PARA TOMACORRIENTE DOBLE COLOR NARANJA</t>
  </si>
  <si>
    <t>MAT001909</t>
  </si>
  <si>
    <t>TAPA DOBLE PARA TOMACORRIENTE MONOFASICO</t>
  </si>
  <si>
    <t>MAT001910</t>
  </si>
  <si>
    <t>TAPA FINAL PARA BORNE, D-UT 16 3047206</t>
  </si>
  <si>
    <t>MAT001911</t>
  </si>
  <si>
    <t>TAPA FINAL PARA BORNE, D-UT 2,5/10 A=2.2MM 3047028</t>
  </si>
  <si>
    <t>MAT001912</t>
  </si>
  <si>
    <t>TAPA FINAL PARA BORNE, D-UT 2,5/4-TWIN 3047141</t>
  </si>
  <si>
    <t>MAT001913</t>
  </si>
  <si>
    <t>TAPA PARA CAJAS OCTOGONALES DE PVC</t>
  </si>
  <si>
    <t>MAT001914</t>
  </si>
  <si>
    <t>TAPA PARA TOMACORRIENTE DOBLE</t>
  </si>
  <si>
    <t>MAT001915</t>
  </si>
  <si>
    <t>TAPA TERMINAL PARA BORNES: 37164-165, 37104-105, 37174-175</t>
  </si>
  <si>
    <t>MAT001916</t>
  </si>
  <si>
    <t>TAPON CAP SOLDABLE F°N° 1 1/2" SCH-40</t>
  </si>
  <si>
    <t>MAT001917</t>
  </si>
  <si>
    <t>TAPON CAP SOLDABLE F°N° 1 1/4" SCH-40</t>
  </si>
  <si>
    <t>MAT001918</t>
  </si>
  <si>
    <t>TAPON CAP SOLDABLE F°N° 1" SCH-40</t>
  </si>
  <si>
    <t>MAT001919</t>
  </si>
  <si>
    <t>TAPON CAP SOLDABLE F°N° 2" SCH-40</t>
  </si>
  <si>
    <t>MAT001920</t>
  </si>
  <si>
    <t>TAPON CAP SOLDABLE F°N° 3" SCH-40</t>
  </si>
  <si>
    <t>MAT001921</t>
  </si>
  <si>
    <t>TAPON CAP SOLDABLE F°N° 3/4" SCH-40</t>
  </si>
  <si>
    <t>MAT001922</t>
  </si>
  <si>
    <t>TAPON CAP SOLDABLE F°N° 4" X SCH-40</t>
  </si>
  <si>
    <t>MAT001923</t>
  </si>
  <si>
    <t>TAPON DE REJILLA DE BRONCE CROMADO DE 3"</t>
  </si>
  <si>
    <t>MAT001924</t>
  </si>
  <si>
    <t>TAPON HEMBRA DE PVC A PRESION DE 1 1/2"</t>
  </si>
  <si>
    <t>MAT001925</t>
  </si>
  <si>
    <t>TAPON HEMBRA DE PVC A PRESION DE 1"</t>
  </si>
  <si>
    <t>MAT001926</t>
  </si>
  <si>
    <t>TAPON HEMBRA DE PVC A PRESION DE 1/2"</t>
  </si>
  <si>
    <t>MAT001927</t>
  </si>
  <si>
    <t>TAPON HEMBRA DE PVC A PRESION DE 3/4"</t>
  </si>
  <si>
    <t>MAT001928</t>
  </si>
  <si>
    <t>TAPON HEMBRA DE PVC ROSCADO DE 1"</t>
  </si>
  <si>
    <t>MAT001929</t>
  </si>
  <si>
    <t>TAPON HEMBRA ROSCADO DE A°G° DE 1 1/2"</t>
  </si>
  <si>
    <t>CIFUNSA</t>
  </si>
  <si>
    <t>MAT001930</t>
  </si>
  <si>
    <t>TAPON HEMBRA ROSCADO DE A°G° DE 1"</t>
  </si>
  <si>
    <t>MAT001931</t>
  </si>
  <si>
    <t>TAPON HEMBRA ROSCADO DE A°G° DE 1/2"</t>
  </si>
  <si>
    <t>MAT001932</t>
  </si>
  <si>
    <t>TAPON HEMBRA ROSCADO DE A°G° DE 2"</t>
  </si>
  <si>
    <t>MAT001933</t>
  </si>
  <si>
    <t>TAPON HEMBRA ROSCADO DE A°G° DE 3/4"</t>
  </si>
  <si>
    <t>MAT001934</t>
  </si>
  <si>
    <t>TAPON HEMBRA ROSCADO P/TUBO CONDUIT DE 1 1/2"</t>
  </si>
  <si>
    <t>MAT001935</t>
  </si>
  <si>
    <t>TAPON HEMBRA ROSCADO P/TUBO CONDUIT DE 1"</t>
  </si>
  <si>
    <t>MAT001936</t>
  </si>
  <si>
    <t>TAPON HEMBRA ROSCADO P/TUBO CONDUIT DE 1/2"</t>
  </si>
  <si>
    <t>MAT001937</t>
  </si>
  <si>
    <t>TAPON HEMBRA ROSCADO P/TUBO CONDUIT DE 2"</t>
  </si>
  <si>
    <t>MAT001938</t>
  </si>
  <si>
    <t>TAPON HEMBRA ROSCADO P/TUBO CONDUIT DE 3/4"</t>
  </si>
  <si>
    <t>MAT001939</t>
  </si>
  <si>
    <t>TAPON MACHO DE PVC ROSCADO DE 1"</t>
  </si>
  <si>
    <t>MAT001940</t>
  </si>
  <si>
    <t>TAPON MACHO DE PVC ROSCADO DE 3/4"</t>
  </si>
  <si>
    <t>MAT001941</t>
  </si>
  <si>
    <t>TAPON MACHO ROSCADO DE A°G° DE 1 1/2"</t>
  </si>
  <si>
    <t>MAT001942</t>
  </si>
  <si>
    <t>TAPON MACHO ROSCADO DE A°G° DE 1"</t>
  </si>
  <si>
    <t>MAT001943</t>
  </si>
  <si>
    <t>TAPON MACHO ROSCADO DE A°G° DE 1/2"</t>
  </si>
  <si>
    <t>MAT001944</t>
  </si>
  <si>
    <t>TAPON MACHO ROSCADO DE A°G° DE 2"</t>
  </si>
  <si>
    <t>MAT001945</t>
  </si>
  <si>
    <t>TAPON MACHO ROSCADO DE A°G° DE 3/4"</t>
  </si>
  <si>
    <t>MAT001946</t>
  </si>
  <si>
    <t>TAPON MACHO ROSCADO P/TUBO CONDUIT DE 1 1/2"</t>
  </si>
  <si>
    <t>MAT001947</t>
  </si>
  <si>
    <t>TAPON MACHO ROSCADO P/TUBO CONDUIT DE 1"</t>
  </si>
  <si>
    <t>MAT001948</t>
  </si>
  <si>
    <t>TAPON MACHO ROSCADO P/TUBO CONDUIT DE 1/2"</t>
  </si>
  <si>
    <t>MAT001949</t>
  </si>
  <si>
    <t>TAPON MACHO ROSCADO P/TUBO CONDUIT DE 2"</t>
  </si>
  <si>
    <t>MAT001950</t>
  </si>
  <si>
    <t>TAPON MACHO ROSCADO P/TUBO CONDUIT DE 3/4"</t>
  </si>
  <si>
    <t>MAT001951</t>
  </si>
  <si>
    <t>TARJETA DE SEÑALIZACION PARA ANDAMIO COLOR: ROJO</t>
  </si>
  <si>
    <t>MAT001952</t>
  </si>
  <si>
    <t>TARJETA DE SEÑALIZACION PARA ANDAMIO COLOR: VERDE</t>
  </si>
  <si>
    <t>MAT001953</t>
  </si>
  <si>
    <t>TARUGO DE PLASTICO DE 1/2" X 100 UND</t>
  </si>
  <si>
    <t>TARUGO</t>
  </si>
  <si>
    <t>FIXSER</t>
  </si>
  <si>
    <t>MAT001954</t>
  </si>
  <si>
    <t>TARUGO DE PLASTICO DE 1/4" X 100 UND</t>
  </si>
  <si>
    <t>MAT001955</t>
  </si>
  <si>
    <t>TARUGO DE PLASTICO DE 1/8" X 100 UND</t>
  </si>
  <si>
    <t>MAT001956</t>
  </si>
  <si>
    <t>TARUGO DE PLASTICO DE 3/8" X 100 UND</t>
  </si>
  <si>
    <t>MAT001957</t>
  </si>
  <si>
    <t>TARUGO DE PLASTICO DE 5/16" X 100 UND</t>
  </si>
  <si>
    <t>MAT001958</t>
  </si>
  <si>
    <t>TECLADO P/ COMPUTADORA</t>
  </si>
  <si>
    <t>MAT001959</t>
  </si>
  <si>
    <t>TEE ACERO AL CARBONO DE 1 1/2" SOLDABLE SCH-40</t>
  </si>
  <si>
    <t>MAT001960</t>
  </si>
  <si>
    <t>TEE ACERO AL CARBONO DE 1 1/4" SOLDABLE SCH-40</t>
  </si>
  <si>
    <t>MAT001961</t>
  </si>
  <si>
    <t>TEE ACERO AL CARBONO DE 1" SOLDABLE SCH-40</t>
  </si>
  <si>
    <t>MAT001962</t>
  </si>
  <si>
    <t>TEE ACERO AL CARBONO DE 2" SOLDABLE SCH-40</t>
  </si>
  <si>
    <t>MAT001963</t>
  </si>
  <si>
    <t>TEE ACERO AL CARBONO DE 3/4" SOLDABLE SCH-40</t>
  </si>
  <si>
    <t>MAT001964</t>
  </si>
  <si>
    <t>TEE ACERO INOXIDABLE DE 1 1/2" ROSCA NPT</t>
  </si>
  <si>
    <t>MAT001965</t>
  </si>
  <si>
    <t>TEE ACERO INOXIDABLE DE 1" ROSCA NPT</t>
  </si>
  <si>
    <t>MAT001966</t>
  </si>
  <si>
    <t>TEE ACERO INOXIDABLE DE 1/2" ROSCA NPT</t>
  </si>
  <si>
    <t>MAT001967</t>
  </si>
  <si>
    <t>TEE ACERO INOXIDABLE DE 2" ROSCA NPT</t>
  </si>
  <si>
    <t>MAT001968</t>
  </si>
  <si>
    <t>TEE ACERO INOXIDABLE DE 3/4" ROSCA NPT</t>
  </si>
  <si>
    <t>MAT001969</t>
  </si>
  <si>
    <t>TEE DE PVC SAL 2"</t>
  </si>
  <si>
    <t>MAT001970</t>
  </si>
  <si>
    <t>TEE DE PVC SAL 3"</t>
  </si>
  <si>
    <t>MAT001971</t>
  </si>
  <si>
    <t>TEE DE PVC SAL 4"</t>
  </si>
  <si>
    <t>MAT001972</t>
  </si>
  <si>
    <t>TEE FIERRO GALVANIZADO 1 1/2" ROSCA NPT X 150 LIBRAS UL/FM</t>
  </si>
  <si>
    <t>MAT001973</t>
  </si>
  <si>
    <t>TEE FIERRO GALVANIZADO 1" ROSCA NPT X 150 LIBRAS UL/FM</t>
  </si>
  <si>
    <t>MAT001974</t>
  </si>
  <si>
    <t>TEE FIERRO GALVANIZADO 1/2" ROSCA NPT X 150 LIBRAS UL/FM</t>
  </si>
  <si>
    <t>MAT001975</t>
  </si>
  <si>
    <t>TEE FIERRO GALVANIZADO 2" ROSCA NPT X 150 LIBRAS UL/FM</t>
  </si>
  <si>
    <t>MAT001976</t>
  </si>
  <si>
    <t>TEE FIERRO GALVANIZADO 3/4" ROSCA NPT X 150 LIBRAS UL/FM</t>
  </si>
  <si>
    <t>MAT001977</t>
  </si>
  <si>
    <t>TEE FIERRO NEGRO CLASS150 DE 1 1/2"</t>
  </si>
  <si>
    <t>MAT001978</t>
  </si>
  <si>
    <t>TEE FIERRO NEGRO CLASS150 DE 1"</t>
  </si>
  <si>
    <t>MAT001979</t>
  </si>
  <si>
    <t>TEE FIERRO NEGRO CLASS150 DE 1/2"</t>
  </si>
  <si>
    <t>MAT001980</t>
  </si>
  <si>
    <t>TEE FIERRO NEGRO CLASS150 DE 2"</t>
  </si>
  <si>
    <t>MAT001981</t>
  </si>
  <si>
    <t>TEE FIERRO NEGRO CLASS150 DE 3/4"</t>
  </si>
  <si>
    <t>MAT001982</t>
  </si>
  <si>
    <t>TEMPLADOR OJO-GANCHO DE FºGº DE 1/2" X 10"</t>
  </si>
  <si>
    <t>PERNO</t>
  </si>
  <si>
    <t>MAT001983</t>
  </si>
  <si>
    <t>TEMPLADOR OJO-GANCHO DE FºGº DE 3/8" X 10"</t>
  </si>
  <si>
    <t>MAT001984</t>
  </si>
  <si>
    <t>TENAZA PARA SOLDADURA EXOTERMICA</t>
  </si>
  <si>
    <t>MAT001985</t>
  </si>
  <si>
    <t>TENAZA PORTAELECTRODO DE 150 AMP</t>
  </si>
  <si>
    <t>MAT001986</t>
  </si>
  <si>
    <t>TENAZA PORTAELECTRODO DE 300 AMP</t>
  </si>
  <si>
    <t>MAT001987</t>
  </si>
  <si>
    <t>TENAZA PORTAELECTRODO DE 500 AMP</t>
  </si>
  <si>
    <t>MAT001988</t>
  </si>
  <si>
    <t>TENAZA TIERRA DE 150 AMP</t>
  </si>
  <si>
    <t>MAT001989</t>
  </si>
  <si>
    <t>TENAZA TIERRA DE 300 AMP</t>
  </si>
  <si>
    <t>MAT001990</t>
  </si>
  <si>
    <t>TENAZA TIERRA DE 500 AMP</t>
  </si>
  <si>
    <t>MAT001991</t>
  </si>
  <si>
    <t>TERMINAL AISLADO T/ HORQUILLA DE 8 AWG X 100 UND</t>
  </si>
  <si>
    <t>MAT001992</t>
  </si>
  <si>
    <t>TERMINAL AISLADO T/ OJO DE 8 AWG X 100 UND</t>
  </si>
  <si>
    <t>MAT001993</t>
  </si>
  <si>
    <t>TERMINAL AISLADO T/ PIN DE 8 AWG X 100 UND</t>
  </si>
  <si>
    <t>MAT001994</t>
  </si>
  <si>
    <t>TERMINAL AISLADO T/HORQUILLA AMARILLO 10 - 12 AWG X 100 UND</t>
  </si>
  <si>
    <t>MAT001995</t>
  </si>
  <si>
    <t>TERMINAL AISLADO T/HORQUILLA AZUL 14 - 16 AWG X 100 UND</t>
  </si>
  <si>
    <t>MAT001996</t>
  </si>
  <si>
    <t>TERMINAL AISLADO T/HORQUILLA ROJO 16 - 22 AWG X 100 UND</t>
  </si>
  <si>
    <t>MAT001997</t>
  </si>
  <si>
    <t>TERMINAL AISLADO T/OJO AMARILLO 10 - 12 AWG X 100 UND</t>
  </si>
  <si>
    <t>MAT001998</t>
  </si>
  <si>
    <t>TERMINAL AISLADO T/OJO AZUL 14 - 16 AWG X 100 UND</t>
  </si>
  <si>
    <t>MAT001999</t>
  </si>
  <si>
    <t>TERMINAL AISLADO T/OJO ROJO 16 - 22 AWG X 100 UND</t>
  </si>
  <si>
    <t>MAT002000</t>
  </si>
  <si>
    <t>TERMINAL AISLADO T/PIN AMARILLO 10 - 12 AWG X 100 UND</t>
  </si>
  <si>
    <t>MAT002001</t>
  </si>
  <si>
    <t>TERMINAL AISLADO T/PIN AZUL 14 - 16 AWG X 100 UND</t>
  </si>
  <si>
    <t>MAT002002</t>
  </si>
  <si>
    <t>TERMINAL DE COMPRESION CAÑON CORTO 1 HUECO DE 1/0 AWG OJAL DE 5/16" (8 MM )</t>
  </si>
  <si>
    <t>MAT002003</t>
  </si>
  <si>
    <t>TERMINAL DE COMPRESION CAÑON CORTO 1 HUECO DE 2 AWG OJAL DE 1/4" (6 MM )</t>
  </si>
  <si>
    <t>MAT002004</t>
  </si>
  <si>
    <t>TERMINAL DE COMPRESION CAÑON CORTO 1 HUECO DE 2/0 AWG OJAL DE 5/16" (8 MM )</t>
  </si>
  <si>
    <t>MAT002005</t>
  </si>
  <si>
    <t>TERMINAL DE COMPRESION CAÑON CORTO 1 HUECO DE 250 MCM OJAL DE 1/2" (12.5 MM )</t>
  </si>
  <si>
    <t>MAT002006</t>
  </si>
  <si>
    <t>TERMINAL DE COMPRESION CAÑON CORTO 1 HUECO DE 300 MCM  OJAL DE 9/16" (14 MM )</t>
  </si>
  <si>
    <t>MAT002007</t>
  </si>
  <si>
    <t>TERMINAL DE COMPRESION CAÑON CORTO 1 HUECO DE 4 AWG OJAL DE 3/8" (10 MM )</t>
  </si>
  <si>
    <t>MAT002008</t>
  </si>
  <si>
    <t>TERMINAL DE COMPRESION CAÑON CORTO 1 HUECO DE 4/0 AWG OJAL DE 3/8" (10 MM )</t>
  </si>
  <si>
    <t>MAT002009</t>
  </si>
  <si>
    <t>TERMINAL DE COMPRESION CAÑON CORTO 1 HUECO DE 400 MCM OJAL DE 5/8" (16 MM )</t>
  </si>
  <si>
    <t>MAT002010</t>
  </si>
  <si>
    <t>TERMINAL DE COMPRESION CAÑON CORTO 1 HUECO DE 500 MCM OJAL DE 5/8" (16 MM )</t>
  </si>
  <si>
    <t>MAT002011</t>
  </si>
  <si>
    <t>TERMINAL DE COMPRESION CAÑON CORTO 1 HUECO DE 6 AWG OJAL DE 1/4" (6 MM )</t>
  </si>
  <si>
    <t>MAT002012</t>
  </si>
  <si>
    <t>TERMINAL DE COMPRESION CAÑON CORTO 1 HUECO DE 600 MCM OJAL DE 3/4" (20 MM )</t>
  </si>
  <si>
    <t>MAT002013</t>
  </si>
  <si>
    <t>TERMINAL DE COMPRESION CAÑON LARGO 1 HUECO  DE 1/0 AWG OJAL DE 10.5 MM</t>
  </si>
  <si>
    <t>MAT002014</t>
  </si>
  <si>
    <t>TERMINAL DE COMPRESION CAÑON LARGO 1 HUECO  DE 1/0 AWG OJAL DE 13 MM</t>
  </si>
  <si>
    <t>MAT002015</t>
  </si>
  <si>
    <t>TERMINAL DE COMPRESION CAÑON LARGO 1 HUECO  DE 1000 MCM OJAL DE 13 MM</t>
  </si>
  <si>
    <t>MAT002016</t>
  </si>
  <si>
    <t>TERMINAL DE COMPRESION CAÑON LARGO 1 HUECO  DE 2 AWG OJAL DE 10.5 MM</t>
  </si>
  <si>
    <t>MAT002017</t>
  </si>
  <si>
    <t>TERMINAL DE COMPRESION CAÑON LARGO 1 HUECO  DE 2 AWG OJAL DE 13 MM</t>
  </si>
  <si>
    <t>MAT002018</t>
  </si>
  <si>
    <t>TERMINAL DE COMPRESION CAÑON LARGO 1 HUECO  DE 2/0 AWG OJAL DE 13 MM</t>
  </si>
  <si>
    <t>MAT002019</t>
  </si>
  <si>
    <t>TERMINAL DE COMPRESION CAÑON LARGO 1 HUECO  DE 250 MCM OJAL DE 13 MM</t>
  </si>
  <si>
    <t>MAT002020</t>
  </si>
  <si>
    <t>TERMINAL DE COMPRESION CAÑON LARGO 1 HUECO  DE 3/0 AWG OJAL DE 13 MM</t>
  </si>
  <si>
    <t>MAT002021</t>
  </si>
  <si>
    <t>TERMINAL DE COMPRESION CAÑON LARGO 1 HUECO  DE 4 AWG OJAL DE 8.4 MM</t>
  </si>
  <si>
    <t>MAT002022</t>
  </si>
  <si>
    <t>TERMINAL DE COMPRESION CAÑON LARGO 1 HUECO  DE 4/0 AWG OJAL DE 13 MM</t>
  </si>
  <si>
    <t>MAT002023</t>
  </si>
  <si>
    <t>TERMINAL DE COMPRESION CAÑON LARGO 1 HUECO  DE 600 MCM OJAL DE 13 MM</t>
  </si>
  <si>
    <t>MAT002024</t>
  </si>
  <si>
    <t>TERMINAL DE COMPRESION CAÑON LARGO 2 HUECOS DE 1/0 AWG OJAL DE 1/2" (12.5 MM )</t>
  </si>
  <si>
    <t>MAT002025</t>
  </si>
  <si>
    <t>TERMINAL DE COMPRESION CAÑON LARGO 2 HUECOS DE 1/0 AWG OJAL DE 3/8" (10 MM )</t>
  </si>
  <si>
    <t>MAT002026</t>
  </si>
  <si>
    <t>TERMINAL DE COMPRESION CAÑON LARGO 2 HUECOS DE 2/0 AWG OJAL DE 3/8" (10 MM )</t>
  </si>
  <si>
    <t>MAT002027</t>
  </si>
  <si>
    <t>TERMINAL DE COMPRESION CAÑON LARGO 2 HUECOS DE 250 MCM OJAL DE 1/2" (12.5 MM )</t>
  </si>
  <si>
    <t>MAT002028</t>
  </si>
  <si>
    <t>TERMINAL DE COMPRESION CAÑON LARGO 2 HUECOS DE 3/0 AWG OJAL DE 1/2" (12.5 MM )</t>
  </si>
  <si>
    <t>MAT002029</t>
  </si>
  <si>
    <t>TERMINAL DE COMPRESION CAÑON LARGO 2 HUECOS DE 300 MCM OJAL DE 1/2" (12.5 MM )</t>
  </si>
  <si>
    <t>MAT002030</t>
  </si>
  <si>
    <t>TERMINAL DE COMPRESION CAÑON LARGO 2 HUECOS DE 350 MCM OJAL DE 1/2" (12.5 MM )</t>
  </si>
  <si>
    <t>MAT002031</t>
  </si>
  <si>
    <t>TERMINAL DE COMPRESION CAÑON LARGO 2 HUECOS DE 4/0 AWG OJAL DE 1/2" (12.5 MM )</t>
  </si>
  <si>
    <t>MAT002032</t>
  </si>
  <si>
    <t>TERMINAL DE COMPRESION CAÑON LARGO 2 HUECOS DE 400 MCM OJAL DE 1/2" (12.5 MM )</t>
  </si>
  <si>
    <t>MAT002033</t>
  </si>
  <si>
    <t>TERMINAL DE COMPRESION CAÑON LARGO 2 HUECOS DE 500 MCM OJAL DE 1/2" (12.5 MM )</t>
  </si>
  <si>
    <t>MAT002034</t>
  </si>
  <si>
    <t>TERMINAL DE COMPRESION CAÑON LARGO 2 HUECOS DE 600 MCM OJAL DE 1/2" (12.5 MM )</t>
  </si>
  <si>
    <t>MAT002035</t>
  </si>
  <si>
    <t>TERMINAL TUBULAR SOBREMOLDEADO, MANGUITO AISLADO - 10 AWG X 100 UND</t>
  </si>
  <si>
    <t>MAT002036</t>
  </si>
  <si>
    <t>TERMINAL TUBULAR SOBREMOLDEADO, MANGUITO AISLADO - 12 AWG X 100 UND</t>
  </si>
  <si>
    <t>MAT002037</t>
  </si>
  <si>
    <t>TERMINAL TUBULAR SOBREMOLDEADO, MANGUITO AISLADO - 6 AWG o 16mm2 X 100 UND</t>
  </si>
  <si>
    <t>MAT002038</t>
  </si>
  <si>
    <t>TERMINAL TUBULAR SOBREMOLDEADO, MANGUITO AISLADO - 8 AWG X 100 UND</t>
  </si>
  <si>
    <t>MAT002039</t>
  </si>
  <si>
    <t>TERMORADIADOR DE 11 CELDAS 2000W</t>
  </si>
  <si>
    <t>IMACO</t>
  </si>
  <si>
    <t>MAT002040</t>
  </si>
  <si>
    <t>THINNER ACRILICO MAESTRO</t>
  </si>
  <si>
    <t>MAT002041</t>
  </si>
  <si>
    <t>THREADOLET - ADAPTADOR OBLICUO SOLDABLE AL TUBO Y ROSCA HEMBRA DE 2"</t>
  </si>
  <si>
    <t>MAT002042</t>
  </si>
  <si>
    <t>THREADOLET - ADAPTADOR OBLICUO SOLDABLE AL TUBO Y ROSCA HEMBRA DE 3/4"</t>
  </si>
  <si>
    <t>MAT002043</t>
  </si>
  <si>
    <t>TIJERA DE OFICINA</t>
  </si>
  <si>
    <t>FULTONS</t>
  </si>
  <si>
    <t>MAT002044</t>
  </si>
  <si>
    <t>TIJERA DE TRAUMA</t>
  </si>
  <si>
    <t>MAT002045</t>
  </si>
  <si>
    <t>TIRALINEA DE PLASTICO</t>
  </si>
  <si>
    <t>MAT002046</t>
  </si>
  <si>
    <t>TIZA DE CALDERERO</t>
  </si>
  <si>
    <t>ENZO</t>
  </si>
  <si>
    <t>MAT002047</t>
  </si>
  <si>
    <t xml:space="preserve">TOMA 16A 2P+T 250V AZUL 6H IP44 </t>
  </si>
  <si>
    <t>MAT002048</t>
  </si>
  <si>
    <t xml:space="preserve">TOMA ADOSABLE 32A 2P+T 250V AZUL 6H IP44 </t>
  </si>
  <si>
    <t>MAT002049</t>
  </si>
  <si>
    <t>TOMA AEREA 2P+T 15A 125 V (DOMESTICO)</t>
  </si>
  <si>
    <t>MAT002050</t>
  </si>
  <si>
    <t>TOMA AEREA PLANO 2X15A+T NEMA 5-15R PVC AMARILLO</t>
  </si>
  <si>
    <t>MAT002051</t>
  </si>
  <si>
    <t>TOMA AEREA RECTA 2X20A+T NEMA 6-20R PYTHON AMARILLO (HEMBRA) 5459-VY</t>
  </si>
  <si>
    <t>MAT002052</t>
  </si>
  <si>
    <t>TOMA AEREO 32AMP 3P+T 415V ROJO 6H IP67</t>
  </si>
  <si>
    <t>MAT002053</t>
  </si>
  <si>
    <t>TOMA TRIPLE AEREO 32 AMP 3P+T 415 ROJO 6H IP44 (DELTA BOX)</t>
  </si>
  <si>
    <t>MAT002054</t>
  </si>
  <si>
    <t>TOMA TRIPLE PULPO O DELTA BOX AEREO 16AMP 2P+T 250V AZUL 6H IP67</t>
  </si>
  <si>
    <t>MAT002055</t>
  </si>
  <si>
    <t>TOMACORRIENTE DOBLE 2X20AMP, 250 V T/CHINO INDUSTRIAL + PLACA DE NYLON</t>
  </si>
  <si>
    <t>MAT002056</t>
  </si>
  <si>
    <t>TOMACORRIENTE DOBLE 2X20AMP, 250 V T/CHINO INDUSTRIAL + PLACA HERMETICA</t>
  </si>
  <si>
    <t>MAT002057</t>
  </si>
  <si>
    <t>TOMACORRIENTE EMPOTRABLE 32A 3P+N+T 415V ROJO 6H IP44</t>
  </si>
  <si>
    <t>MAT002058</t>
  </si>
  <si>
    <t>TOMACORRIENTE MONOFASICO 15A, 2POLOS + TIERRA. 250VAC NEMA 3 - 15R</t>
  </si>
  <si>
    <t>MAT002059</t>
  </si>
  <si>
    <t>TOMACORRIENTE MONOFASICO DOBLE, 20A, 220, 2H+T 5262-I</t>
  </si>
  <si>
    <t>MAT002060</t>
  </si>
  <si>
    <t>TOMACORRIENTE SIMPLE 2X15A + T 220V</t>
  </si>
  <si>
    <t>MAT002061</t>
  </si>
  <si>
    <t>TOMACORRIENTE UNIVERSAL DOBLE 2X15A+T 250V MARFIL.DECORA</t>
  </si>
  <si>
    <t>MAT002062</t>
  </si>
  <si>
    <t>TOMACORRIENTE UNIVERSAL DOBLE</t>
  </si>
  <si>
    <t>MAT002063</t>
  </si>
  <si>
    <t>TOMACORRIENTE VISIBLE 32AMP 3P+N+T 415V 6H IP44 ROJO  MOD 27008</t>
  </si>
  <si>
    <t>MAT002064</t>
  </si>
  <si>
    <t>TOMACORRIENTE VISIBLE 32 AMP 2P+T 250V AZUL 6H IP44 CODIGO 1369</t>
  </si>
  <si>
    <t>MAT002065</t>
  </si>
  <si>
    <t>TOMACORRIENTE VISIBLE 32 AMP 3P+T 250 V AZUL 9H IP 44 CODIGO 1372</t>
  </si>
  <si>
    <t>MAT002066</t>
  </si>
  <si>
    <t>TOPE DE FIJACIÓN PARA BORNES RIEL PROFUNDIDAD 7.5-15MM PASO 12MM</t>
  </si>
  <si>
    <t>MAT002067</t>
  </si>
  <si>
    <t>TOPE DE FIJACIÓN PARA BORNES VIKING</t>
  </si>
  <si>
    <t>MAT002068</t>
  </si>
  <si>
    <t>TOPE DE FIJACIÓN Y/O TAPA PARA BORNES 1 PASO 5-6-8-10MM</t>
  </si>
  <si>
    <t>MAT002069</t>
  </si>
  <si>
    <t>TOPE FINAL PARA RIEL DIN, E/UK</t>
  </si>
  <si>
    <t>MAT002070</t>
  </si>
  <si>
    <t>TOPEX MORTERO FÁCIL 40 KG</t>
  </si>
  <si>
    <t>MAT002071</t>
  </si>
  <si>
    <t>TORNILLO AUTOPERFORANTE PUNTA BROCA #10 X 1 1/2" CON ARANDELA DE NEOPRENO</t>
  </si>
  <si>
    <t>MAT002072</t>
  </si>
  <si>
    <t>TORNILLO AUTOPERFORANTE PUNTA BROCA #10 X 1" CON ARANDELA DE NEOPRENO</t>
  </si>
  <si>
    <t>MAT002073</t>
  </si>
  <si>
    <t>TORNILLO AUTOPERFORANTE PUNTA BROCA #10 X 2" CON ARANDELA DE NEOPRENO</t>
  </si>
  <si>
    <t>MAT002074</t>
  </si>
  <si>
    <t>TORNILLO AUTOPERFORANTE PUNTA BROCA #10 X 3/4" CON ARANDELA DE NEOPRENO</t>
  </si>
  <si>
    <t>MAT002075</t>
  </si>
  <si>
    <t>TORNILLO AUTOPERFORANTE PUNTA BROCA #12 X 1 1/2" CON ARANDELA DE NEOPRENO</t>
  </si>
  <si>
    <t>MAT002076</t>
  </si>
  <si>
    <t>TORNILLO AUTOPERFORANTE PUNTA BROCA #12 X 1" CON ARANDELA DE NEOPRENO</t>
  </si>
  <si>
    <t>MAT002077</t>
  </si>
  <si>
    <t>TORNILLO AUTOPERFORANTE PUNTA BROCA #12 X 2" CON ARANDELA DE NEOPRENO</t>
  </si>
  <si>
    <t>MAT002078</t>
  </si>
  <si>
    <t>TORNILLO AUTOPERFORANTE PUNTA BROCA #12 X 3/4" CON ARANDELA DE NEOPRENO</t>
  </si>
  <si>
    <t>MAT002079</t>
  </si>
  <si>
    <t>TORNILLO AUTOPERFORANTE PUNTA BROCA #6 X 1 1/2" CON ARANDELA DENEOPRENO</t>
  </si>
  <si>
    <t>MAT002080</t>
  </si>
  <si>
    <t>TORNILLO AUTOPERFORANTE PUNTA BROCA #6 X 1" CON ARANDELA DE NEOPRENO</t>
  </si>
  <si>
    <t>MAT002081</t>
  </si>
  <si>
    <t>TORNILLO AUTOPERFORANTE PUNTA BROCA #6 X 2" CON ARANDELA DE NEOPRENO</t>
  </si>
  <si>
    <t>MAT002082</t>
  </si>
  <si>
    <t>TORNILLO AUTOPERFORANTE PUNTA BROCA #6 X 3/4" CON ARANDELA DE NEOPRENO</t>
  </si>
  <si>
    <t>MAT002083</t>
  </si>
  <si>
    <t>TORNILLO AUTOPERFORANTE PUNTA BROCA #8 X 1 1/2" CON ARANDELA DENEOPRENO</t>
  </si>
  <si>
    <t>MAT002084</t>
  </si>
  <si>
    <t>TORNILLO AUTOPERFORANTE PUNTA BROCA #8 X 1" CON ARANDELA DE NEOPRENO</t>
  </si>
  <si>
    <t>MAT002085</t>
  </si>
  <si>
    <t>TORNILLO AUTOPERFORANTE PUNTA BROCA #8 X 2" CON ARANDELA DE NEOPRENO</t>
  </si>
  <si>
    <t>MAT002086</t>
  </si>
  <si>
    <t>TORNILLO AUTOPERFORANTE PUNTA BROCA #8 X 3/4" CON ARANDELA DE NEOPRENO</t>
  </si>
  <si>
    <t>MAT002087</t>
  </si>
  <si>
    <t>TORNILLO AUTOPERFORANTE PUNTA FINA #10 X 1 1/2" CON ARANDELA DE NEOPRENO</t>
  </si>
  <si>
    <t>MAT002088</t>
  </si>
  <si>
    <t>TORNILLO AUTOPERFORANTE PUNTA FINA #10 X 1" CON ARANDELA DE NEOPRENO</t>
  </si>
  <si>
    <t>MAT002089</t>
  </si>
  <si>
    <t>TORNILLO AUTOPERFORANTE PUNTA FINA #10 X 2" CON ARANDELA DE NEOPRENO</t>
  </si>
  <si>
    <t>MAT002090</t>
  </si>
  <si>
    <t>TORNILLO AUTOPERFORANTE PUNTA FINA #10 X 3/4" CON ARANDELA DE NEOPRENO</t>
  </si>
  <si>
    <t>MAT002091</t>
  </si>
  <si>
    <t>TORNILLO AUTOPERFORANTE PUNTA FINA #8 X 1 1/2" CON ARANDELA DE NEOPRENO</t>
  </si>
  <si>
    <t>MAT002092</t>
  </si>
  <si>
    <t>TORNILLO AUTOPERFORANTE PUNTA FINA #8 X 1" CON ARANDELA DE NEOPRENO</t>
  </si>
  <si>
    <t>MAT002093</t>
  </si>
  <si>
    <t>TORNILLO AUTOPERFORANTE PUNTA FINA #8 X 2" CON ARANDELA DE NEOPRENO</t>
  </si>
  <si>
    <t>MAT002094</t>
  </si>
  <si>
    <t>TORNILLO AUTOPERFORANTE PUNTA FINA #8 X 3/4" CON ARANDELA DE NEOPRENO</t>
  </si>
  <si>
    <t>MAT002095</t>
  </si>
  <si>
    <t>TORNILLO STOVE-BOLT DE A°G° DE 1/4" X 1 1/2" C/ TUERCA, ARAND PLANA RED Y PRES</t>
  </si>
  <si>
    <t>MAT002096</t>
  </si>
  <si>
    <t>TORNILLO STOVE-BOLT DE A°G° DE 1/4" X 1" C/ TUERCA, ARAND PLANA RED Y PRES</t>
  </si>
  <si>
    <t>MAT002097</t>
  </si>
  <si>
    <t>TORNILLO STOVE-BOLT DE A°G° DE 1/4" X 1/2"  C/ TUERCA, ARAND PLANA RED Y PRES</t>
  </si>
  <si>
    <t>MAT002098</t>
  </si>
  <si>
    <t>TORNILLO STOVE-BOLT DE A°G° DE 1/4" X 2"  C/ TUERCA, ARAND PLANA RED Y PRES</t>
  </si>
  <si>
    <t>MAT002099</t>
  </si>
  <si>
    <t>TORNILLO STOVE-BOLT DE A°G° DE 1/8" X 1 1/2"  C/ TUERCA, ARAND PLANA RED Y PRES</t>
  </si>
  <si>
    <t>MAT002100</t>
  </si>
  <si>
    <t>TORNILLO STOVE-BOLT DE A°G° DE 1/8" X 1/2"  C/ TUERCA, ARAND PLANA RED Y PRES</t>
  </si>
  <si>
    <t>MAT002101</t>
  </si>
  <si>
    <t>TORNILLO STOVE-BOLT DE A°G° DE 1/8" X 2"  C/ TUERCA, ARAND PLANA RED Y PRES</t>
  </si>
  <si>
    <t>MAT002102</t>
  </si>
  <si>
    <t>TORNILLO STOVE-BOLT DE A°G° DE 1/8" X 3/4"  C/ TUERCA, ARAND PLANA RED Y PRES</t>
  </si>
  <si>
    <t>MAT002103</t>
  </si>
  <si>
    <t>TORNILLO STOVE-BOLT DE A°G° DE 3/16" X 1 1/2"  C/ TUERCA, ARAND PLANA RED Y PRES</t>
  </si>
  <si>
    <t>MAT002104</t>
  </si>
  <si>
    <t>TORNILLO STOVE-BOLT DE A°G° DE 3/16" X 1/2"  C/ TUERCA, ARAND PLANA RED Y PRES</t>
  </si>
  <si>
    <t>MAT002105</t>
  </si>
  <si>
    <t>TORNILLO STOVE-BOLT DE A°G° DE 3/16" X 2"  C/ TUERCA, ARAND PLANA RED Y PRES</t>
  </si>
  <si>
    <t>MAT002106</t>
  </si>
  <si>
    <t>TORNILLO STOVE-BOLT DE A°G° DE 3/16" X 3/4"  C/ TUERCA, ARAND PLANA RED Y PRES</t>
  </si>
  <si>
    <t>MAT002107</t>
  </si>
  <si>
    <t>TORNILLO VOLCANITA (PARA DRYWALL) PUNTA FINA 6 X 1 1/4" X 250 UND (COLOR NEGRO)</t>
  </si>
  <si>
    <t>MAT002108</t>
  </si>
  <si>
    <t>TORNILLO VOLCANITA (PARA DRYWALL) PUNTA FINA 6 X 1" X 250 UND (COLOR NEGRO)</t>
  </si>
  <si>
    <t>MAT002109</t>
  </si>
  <si>
    <t>TORNILLO VOLCANITA (PARA DRYWALL) PUNTA FINA 6 X 2" X 250 UND (COLOR NEGRO)</t>
  </si>
  <si>
    <t>MAT002110</t>
  </si>
  <si>
    <t>TORNILLO WAFER DE 8 X 1 1/2" PUNTA BROCA X 100 UND</t>
  </si>
  <si>
    <t>MAT002111</t>
  </si>
  <si>
    <t>TRAPEADOR DE YUTE</t>
  </si>
  <si>
    <t>MAT002112</t>
  </si>
  <si>
    <t>TRAPO INDUSTRIAL DE COLORES</t>
  </si>
  <si>
    <t>MAT002113</t>
  </si>
  <si>
    <t>TRENZA FLEXIBLE DE COBRE 0.94 X 12</t>
  </si>
  <si>
    <t>MAT002114</t>
  </si>
  <si>
    <t>TRIPLAY FENOLICO DE 12 MM X 1.22 X 2.44M CON FILM</t>
  </si>
  <si>
    <t>MAT002115</t>
  </si>
  <si>
    <t>TRIPLAY FENOLICO DE 15 MM X 1.22 X 2.44M CON FILM</t>
  </si>
  <si>
    <t>MAT002116</t>
  </si>
  <si>
    <t>TRIPLAY FENOLICO DE 18 MM X 1.22 X 2.44M CON FILM</t>
  </si>
  <si>
    <t>MAT002117</t>
  </si>
  <si>
    <t>TRIPLAY LUPUNA DE 12 MM X 1.22 X 2.44M</t>
  </si>
  <si>
    <t>MAT002118</t>
  </si>
  <si>
    <t>TRIPLAY LUPUNA DE 18 MM X 1.22 X 2.44M</t>
  </si>
  <si>
    <t>MAT002119</t>
  </si>
  <si>
    <t>TRIPLAY LUPUNA DE 4 MM X 1.22 X 2.44M</t>
  </si>
  <si>
    <t>MAT002120</t>
  </si>
  <si>
    <t>TRIPLAY LUPUNA DE 6 MM X 1.22 X 2.44M</t>
  </si>
  <si>
    <t>MAT002121</t>
  </si>
  <si>
    <t>TRIPLAY LUPUNA DE 9 MM X 1.22 X 2.44M</t>
  </si>
  <si>
    <t>MAT002122</t>
  </si>
  <si>
    <t>TUBERIA FLEXIBLE DE 1 1/2" HERMETICO C/FORRO PVC LIQUID TIGHT</t>
  </si>
  <si>
    <t>TUBERIA</t>
  </si>
  <si>
    <t>TUBERIA DE ACERO CONDUIT</t>
  </si>
  <si>
    <t>MAT002123</t>
  </si>
  <si>
    <t>TUBERIA FLEXIBLE DE 1" HERMETICO C/FORRO PVC LIQUID TIGHT</t>
  </si>
  <si>
    <t>MAT002124</t>
  </si>
  <si>
    <t>TUBERIA FLEXIBLE DE 1/2" HERMETICO C/FORRO PVC LIQUID TIGHT</t>
  </si>
  <si>
    <t>MAT002125</t>
  </si>
  <si>
    <t>TUBERIA FLEXIBLE DE 2" HERMETICO C/FORRO PVC LIQUID TIGHT</t>
  </si>
  <si>
    <t>MAT002126</t>
  </si>
  <si>
    <t>TUBERIA FLEXIBLE DE 3" HERMETICO C/FORRO PVC LIQUID TIGHT</t>
  </si>
  <si>
    <t>MAT002127</t>
  </si>
  <si>
    <t>TUBERIA FLEXIBLE DE 3/4" HERMETICO C/FORRO PVC LIQUID TIGHT</t>
  </si>
  <si>
    <t>MAT002128</t>
  </si>
  <si>
    <t>TUBING INOX S/C DE 1/2" X 30.48 M RECUBIERTO DE PVC</t>
  </si>
  <si>
    <t>TUBERIA DE ACERO INOXIDABLE</t>
  </si>
  <si>
    <t>MAT002129</t>
  </si>
  <si>
    <t>TUBING INOX S/C DE 1/2" X 6.1 M</t>
  </si>
  <si>
    <t>MAT002130</t>
  </si>
  <si>
    <t>TUBING INOX S/C DE 1/4" X 6.1 M</t>
  </si>
  <si>
    <t>MAT002131</t>
  </si>
  <si>
    <t>TUBING INOX S/C DE 3/8" X 6.1 M</t>
  </si>
  <si>
    <t>MAT002132</t>
  </si>
  <si>
    <t>TUBO ACERO INOX. S/C SCH-40 C-304L X 6 MT. 1" SOLDABLE</t>
  </si>
  <si>
    <t>TUBERIA DE ACERO NEGRO</t>
  </si>
  <si>
    <t>MAT002133</t>
  </si>
  <si>
    <t>TUBO ACERO INOX. S/C SCH-40 C-304L X 6 MT. 1/2" SOLDABLE</t>
  </si>
  <si>
    <t>MAT002134</t>
  </si>
  <si>
    <t>TUBO ACERO INOX. S/C SCH-40 C-304L X 6 MT. 2" SOLDABLE</t>
  </si>
  <si>
    <t>MAT002135</t>
  </si>
  <si>
    <t>TUBO ACERO INOX. S/C SCH-40 C-304L X 6 MT. 3/4" SOLDABLE</t>
  </si>
  <si>
    <t>MAT002136</t>
  </si>
  <si>
    <t>TUBO CONDUIT C/FORRO DE PVC DE 1 1/2" X 3 M</t>
  </si>
  <si>
    <t>MAT002137</t>
  </si>
  <si>
    <t>TUBO CONDUIT C/FORRO DE PVC DE 1" X 3 M</t>
  </si>
  <si>
    <t>MAT002138</t>
  </si>
  <si>
    <t>TUBO CONDUIT C/FORRO DE PVC DE 1/2" X 3 M</t>
  </si>
  <si>
    <t>MAT002139</t>
  </si>
  <si>
    <t>TUBO CONDUIT C/FORRO DE PVC DE 2" X 3 M</t>
  </si>
  <si>
    <t>MAT002140</t>
  </si>
  <si>
    <t>TUBO CONDUIT C/FORRO DE PVC DE 3" X 3 M</t>
  </si>
  <si>
    <t>MAT002141</t>
  </si>
  <si>
    <t>TUBO CONDUIT C/FORRO DE PVC DE 3/4" X 3 M</t>
  </si>
  <si>
    <t>MAT002142</t>
  </si>
  <si>
    <t>TUBO CONDUIT C/FORRO DE PVC DE 4" X 3 M</t>
  </si>
  <si>
    <t>MAT002143</t>
  </si>
  <si>
    <t>TUBO CONDUIT PESADO F°G° DE 1 1/2" X 3 M UL6 ANSI C 80.1</t>
  </si>
  <si>
    <t>WEIFANG</t>
  </si>
  <si>
    <t>MAT002144</t>
  </si>
  <si>
    <t>TUBO CONDUIT PESADO F°G° DE 1 1/4" X 3 M UL6 ANSI C 80.1</t>
  </si>
  <si>
    <t>MAT002145</t>
  </si>
  <si>
    <t>TUBO CONDUIT PESADO F°G° DE 1" X 3 M UL6 ANSI C 80.1</t>
  </si>
  <si>
    <t>MAT002146</t>
  </si>
  <si>
    <t>TUBO CONDUIT PESADO F°G° DE 1/2" X 3 M UL6 ANSI C 80.1</t>
  </si>
  <si>
    <t>MAT002147</t>
  </si>
  <si>
    <t>TUBO CONDUIT PESADO F°G° DE 2" X 3 M UL6 ANSI C 80.1</t>
  </si>
  <si>
    <t>MAT002148</t>
  </si>
  <si>
    <t>TUBO CONDUIT PESADO F°G° DE 3" X 3 M UL6 ANSI C 80.1</t>
  </si>
  <si>
    <t>MAT002149</t>
  </si>
  <si>
    <t>TUBO CONDUIT PESADO F°G° DE 3/4" X 3 M UL6 ANSI C 80.1</t>
  </si>
  <si>
    <t>MAT002150</t>
  </si>
  <si>
    <t>TUBO CONDUIT PESADO F°G° DE 4" X 3 M UL6 ANSI C 80.1</t>
  </si>
  <si>
    <t>MAT002151</t>
  </si>
  <si>
    <t>TUBO CUADRADO LAC 1 1/2" X 1 1/2" X 3 MM X 6 M</t>
  </si>
  <si>
    <t>TUBERIA DE ACERO</t>
  </si>
  <si>
    <t>MAT002152</t>
  </si>
  <si>
    <t>TUBO CUADRADO LAC 2" X 2" X 3 MM X 6 M</t>
  </si>
  <si>
    <t>MAT002153</t>
  </si>
  <si>
    <t>TUBO CUADRADO LAC 3" X 3" X 2.5 MM X 6 M</t>
  </si>
  <si>
    <t>MAT002154</t>
  </si>
  <si>
    <t>TUBO CUADRADO LAC 4" X 4" X 3 MM X 6 M</t>
  </si>
  <si>
    <t>MAT002155</t>
  </si>
  <si>
    <t>TUBO DE ABASTO DE 1/2" DE HILO TRENZADO DE LUMINIO CON REFUERZO DE NYLON</t>
  </si>
  <si>
    <t>MAT002156</t>
  </si>
  <si>
    <t>TUBO DE CPVC DE 1 1/4" X 5 M</t>
  </si>
  <si>
    <t>TUBERIA DE CPVC</t>
  </si>
  <si>
    <t>MAT002157</t>
  </si>
  <si>
    <t>TUBO DE CPVC DE 1" X 5 M</t>
  </si>
  <si>
    <t>MAT002158</t>
  </si>
  <si>
    <t>TUBO DE CPVC DE 1/2" X 5 M</t>
  </si>
  <si>
    <t>MAT002159</t>
  </si>
  <si>
    <t>TUBO DE CPVC DE 3/4" X 5 M</t>
  </si>
  <si>
    <t>MAT002160</t>
  </si>
  <si>
    <t>TUBO DE HDPE SDR 11 DE 1" X 6 M</t>
  </si>
  <si>
    <t>TUBERIA HDPE</t>
  </si>
  <si>
    <t>MAT002161</t>
  </si>
  <si>
    <t>TUBO DE HDPE SDR 11 DE 2" X 6 M</t>
  </si>
  <si>
    <t>MAT002162</t>
  </si>
  <si>
    <t>TUBO DE HDPE SDR 11 DE 3"</t>
  </si>
  <si>
    <t>MAT002163</t>
  </si>
  <si>
    <t>TUBO DE HDPE SDR 11 DE 4" X 6 M</t>
  </si>
  <si>
    <t>MAT002164</t>
  </si>
  <si>
    <t>TUBO DE PVC SAP PESADO DE 1 1/2" X 3 M</t>
  </si>
  <si>
    <t>TUBERIA DE PVC ELECTRICA, AGUA DESAGUE</t>
  </si>
  <si>
    <t>MAT002165</t>
  </si>
  <si>
    <t>TUBO DE PVC SAP PESADO DE 1" X 3 M</t>
  </si>
  <si>
    <t>MAT002166</t>
  </si>
  <si>
    <t>TUBO DE PVC SAP PESADO DE 1/2" X 3 M</t>
  </si>
  <si>
    <t>MAT002167</t>
  </si>
  <si>
    <t>TUBO DE PVC SAP PESADO DE 2" X 3 M</t>
  </si>
  <si>
    <t>MAT002168</t>
  </si>
  <si>
    <t>TUBO DE PVC SAP PESADO DE 3" X 3 M</t>
  </si>
  <si>
    <t>MAT002169</t>
  </si>
  <si>
    <t>TUBO DE PVC SAP PESADO DE 3/4" X 3 M</t>
  </si>
  <si>
    <t>MAT002170</t>
  </si>
  <si>
    <t>TUBO DE PVC SAP PESADO DE 4" X 3 M</t>
  </si>
  <si>
    <t>MAT002171</t>
  </si>
  <si>
    <t>TUBO DE PVC SCH-40 DE 1" X 3 M</t>
  </si>
  <si>
    <t>MAT002172</t>
  </si>
  <si>
    <t>TUBO DE PVC SCH-40 DE 1/2" X 3 M</t>
  </si>
  <si>
    <t>MAT002173</t>
  </si>
  <si>
    <t>TUBO DE PVC SCH-40 DE 2" X 3 M</t>
  </si>
  <si>
    <t>MAT002174</t>
  </si>
  <si>
    <t>TUBO DE PVC SCH-40 DE 3/4" X 3 M</t>
  </si>
  <si>
    <t>MAT002175</t>
  </si>
  <si>
    <t>TUBO DE PVC SCH-40 DE 4" X 3 M</t>
  </si>
  <si>
    <t>MAT002176</t>
  </si>
  <si>
    <t>TUBO DE PVC SCH-40 DE 6" X 3 M</t>
  </si>
  <si>
    <t>MAT002177</t>
  </si>
  <si>
    <t>TUBO DE PVC SCH-80 DE 1" 1/2" X 3 M</t>
  </si>
  <si>
    <t>MAT002178</t>
  </si>
  <si>
    <t>TUBO DE PVC SCH-80 DE 1" X 3 M</t>
  </si>
  <si>
    <t>MAT002179</t>
  </si>
  <si>
    <t>TUBO DE PVC SCH-80 DE 2" X 3 M</t>
  </si>
  <si>
    <t>MAT002180</t>
  </si>
  <si>
    <t>TUBO DE PVC SCH-80 DE 3/4" X 3 M</t>
  </si>
  <si>
    <t>MAT002181</t>
  </si>
  <si>
    <t>TUBO FIERRO GALVANIZADO DE 1 1/2" SCH-40</t>
  </si>
  <si>
    <t>TUBERIA DE ACERO GALVANIZADO</t>
  </si>
  <si>
    <t>MAT002182</t>
  </si>
  <si>
    <t>TUBO FIERRO GALVANIZADO DE 1 1/2" STANDAR</t>
  </si>
  <si>
    <t>MAT002183</t>
  </si>
  <si>
    <t>TUBO FIERRO GALVANIZADO DE 1 1/4" SCH-40</t>
  </si>
  <si>
    <t>MAT002184</t>
  </si>
  <si>
    <t>TUBO FIERRO GALVANIZADO DE 1 1/4" STANDAR</t>
  </si>
  <si>
    <t>MAT002185</t>
  </si>
  <si>
    <t>TUBO FIERRO GALVANIZADO DE 1" SCH-40</t>
  </si>
  <si>
    <t>MAT002186</t>
  </si>
  <si>
    <t>TUBO FIERRO GALVANIZADO DE 1" STANDAR</t>
  </si>
  <si>
    <t>MAT002187</t>
  </si>
  <si>
    <t>TUBO FIERRO GALVANIZADO DE 1/2" SCH-40</t>
  </si>
  <si>
    <t>MAT002188</t>
  </si>
  <si>
    <t>TUBO FIERRO GALVANIZADO DE 1/2" STANDAR</t>
  </si>
  <si>
    <t>MAT002189</t>
  </si>
  <si>
    <t>TUBO FIERRO GALVANIZADO DE 2 1/2" SCH-40</t>
  </si>
  <si>
    <t>MAT002190</t>
  </si>
  <si>
    <t>TUBO FIERRO GALVANIZADO DE 2 1/2" STANDAR</t>
  </si>
  <si>
    <t>MAT002191</t>
  </si>
  <si>
    <t>TUBO FIERRO GALVANIZADO DE 2" SCH-40</t>
  </si>
  <si>
    <t>MAT002192</t>
  </si>
  <si>
    <t>TUBO FIERRO GALVANIZADO DE 2" STANDAR</t>
  </si>
  <si>
    <t>MAT002193</t>
  </si>
  <si>
    <t>TUBO FIERRO GALVANIZADO DE 3" SCH-40</t>
  </si>
  <si>
    <t>MAT002194</t>
  </si>
  <si>
    <t>TUBO FIERRO GALVANIZADO DE 3" STANDAR</t>
  </si>
  <si>
    <t>MAT002195</t>
  </si>
  <si>
    <t>TUBO FIERRO GALVANIZADO DE 3/4" SCH-40</t>
  </si>
  <si>
    <t>MAT002196</t>
  </si>
  <si>
    <t>TUBO FIERRO GALVANIZADO DE 3/4" STANDAR</t>
  </si>
  <si>
    <t>MAT002197</t>
  </si>
  <si>
    <t>TUBO FIERRO GALVANIZADO DE 4" SCH-40</t>
  </si>
  <si>
    <t>MAT002198</t>
  </si>
  <si>
    <t>TUBO FIERRO GALVANIZADO DE 4" STANDAR</t>
  </si>
  <si>
    <t>MAT002199</t>
  </si>
  <si>
    <t>TUBO NEGRO SCH 40 A-53/API 5L S/C 1 1/2" X 6 M</t>
  </si>
  <si>
    <t>MAT002200</t>
  </si>
  <si>
    <t>TUBO NEGRO SCH 40 A-53/API 5L S/C 1 1/4" X 6 M</t>
  </si>
  <si>
    <t>MAT002201</t>
  </si>
  <si>
    <t>TUBO NEGRO SCH 40 A-53/API 5L S/C 1" X 6 M</t>
  </si>
  <si>
    <t>MAT002202</t>
  </si>
  <si>
    <t>TUBO NEGRO SCH 40 A-53/API 5L S/C 1/2" X 6 M</t>
  </si>
  <si>
    <t>MAT002203</t>
  </si>
  <si>
    <t>TUBO NEGRO SCH 40 A-53/API 5L S/C 2" X 6.00M</t>
  </si>
  <si>
    <t>MAT002204</t>
  </si>
  <si>
    <t>TUBO NEGRO SCH 40 A-53/API 5L S/C 3" X 6 M</t>
  </si>
  <si>
    <t>MAT002205</t>
  </si>
  <si>
    <t>TUBO NEGRO SCH 40 A-53/API 5L S/C 3/4" X 6 M</t>
  </si>
  <si>
    <t>MAT002206</t>
  </si>
  <si>
    <t>TUBO NEGRO SCH 40 A-53/API 5L S/C 4" X 6 M</t>
  </si>
  <si>
    <t>MAT002207</t>
  </si>
  <si>
    <t>TUBO NEGRO STANDARD 1 1/2" X 3.25MM X 6.40M</t>
  </si>
  <si>
    <t>MAT002208</t>
  </si>
  <si>
    <t>TUBO NEGRO STANDARD 1 1/4" X 3.25MM X 6.40M</t>
  </si>
  <si>
    <t>MAT002209</t>
  </si>
  <si>
    <t>TUBO NEGRO STANDARD 1" X 3.25MM X 6.40M</t>
  </si>
  <si>
    <t>MAT002210</t>
  </si>
  <si>
    <t>TUBO NEGRO STANDARD 1/2" X 3.25MM X 6.40M</t>
  </si>
  <si>
    <t>MAT002211</t>
  </si>
  <si>
    <t>TUBO NEGRO STANDARD 2" X 3.25MM X 6.40M</t>
  </si>
  <si>
    <t>MAT002212</t>
  </si>
  <si>
    <t>TUBO NEGRO STANDARD 3" X 3.25MM X 6.40M</t>
  </si>
  <si>
    <t>MAT002213</t>
  </si>
  <si>
    <t>TUBO NEGRO STANDARD 3/4" X 3.25MM X 6.40M</t>
  </si>
  <si>
    <t>MAT002214</t>
  </si>
  <si>
    <t>TUBO PVC 2" X 3 M SAL</t>
  </si>
  <si>
    <t>MAT002215</t>
  </si>
  <si>
    <t>TUBO PVC 4" X 3 M SAL</t>
  </si>
  <si>
    <t>MAT002216</t>
  </si>
  <si>
    <t>TUBO RECTANGULAR LAC A500 X 3.0 MM X 6 MT. 40 X 80</t>
  </si>
  <si>
    <t>MAT002217</t>
  </si>
  <si>
    <t>TUBO RECTANGULAR LAC A500 X 4.5 MM X 6 MT. (3" X 4") 75 X 100</t>
  </si>
  <si>
    <t>MAT002218</t>
  </si>
  <si>
    <t>TUBO RECTANGULAR LAC A500 X 4.5 MM X 6 MT. (4" X 6") 100 X 150</t>
  </si>
  <si>
    <t>MAT002219</t>
  </si>
  <si>
    <t>TUERCA ACOPLE DE 1/2" P/VARILLA ROSCADA DE 1/2" GALVANIZADA</t>
  </si>
  <si>
    <t>TUERCA EN GENERAL</t>
  </si>
  <si>
    <t>MAT002220</t>
  </si>
  <si>
    <t>TUERCA ACOPLE DE 3/4" P/VARILLA ROSCADA DE 1" GALVANIZADA</t>
  </si>
  <si>
    <t>MAT002221</t>
  </si>
  <si>
    <t>TUERCA ACOPLE DE 3/4" P/VARILLA ROSCADA DE 3/4" GALVANIZADA</t>
  </si>
  <si>
    <t>MAT002222</t>
  </si>
  <si>
    <t>TUERCA ACOPLE DE 5/8" P/VARILLA ROSCADA DE 5/8" GALVANIZADA</t>
  </si>
  <si>
    <t>MAT002223</t>
  </si>
  <si>
    <t>TUERCA BUSHING HIERRO C/AISL. C/PUESTA A TIERRA UL DE 1 1/2"</t>
  </si>
  <si>
    <t>MAT002224</t>
  </si>
  <si>
    <t>TUERCA BUSHING HIERRO C/AISL. C/PUESTA A TIERRA UL DE 1 1/2" C/FORRO DE PVC</t>
  </si>
  <si>
    <t>MAT002225</t>
  </si>
  <si>
    <t>TUERCA BUSHING HIERRO C/AISL. C/PUESTA A TIERRA UL DE 1"</t>
  </si>
  <si>
    <t>MAT002226</t>
  </si>
  <si>
    <t>TUERCA BUSHING HIERRO C/AISL. C/PUESTA A TIERRA UL DE 1" C/FORRO DE PVC</t>
  </si>
  <si>
    <t>MAT002227</t>
  </si>
  <si>
    <t>TUERCA BUSHING HIERRO C/AISL. C/PUESTA A TIERRA UL DE 1/2"</t>
  </si>
  <si>
    <t>MAT002228</t>
  </si>
  <si>
    <t>TUERCA BUSHING HIERRO C/AISL. C/PUESTA A TIERRA UL DE 1/2" C/FORRO DE PVC</t>
  </si>
  <si>
    <t>MAT002229</t>
  </si>
  <si>
    <t>TUERCA BUSHING HIERRO C/AISL. C/PUESTA A TIERRA UL DE 2"</t>
  </si>
  <si>
    <t>MAT002230</t>
  </si>
  <si>
    <t>TUERCA BUSHING HIERRO C/AISL. C/PUESTA A TIERRA UL DE 2" C/FORRO DE PVC</t>
  </si>
  <si>
    <t>MAT002231</t>
  </si>
  <si>
    <t>TUERCA BUSHING HIERRO C/AISL. C/PUESTA A TIERRA UL DE 3"</t>
  </si>
  <si>
    <t>MAT002232</t>
  </si>
  <si>
    <t>TUERCA BUSHING HIERRO C/AISL. C/PUESTA A TIERRA UL DE 3/4"</t>
  </si>
  <si>
    <t>MAT002233</t>
  </si>
  <si>
    <t>TUERCA BUSHING HIERRO C/AISL. C/PUESTA A TIERRA UL DE 3/4" C/FORRO DE PVC</t>
  </si>
  <si>
    <t>MAT002234</t>
  </si>
  <si>
    <t>TUERCA BUSHING HIERRO C/AISL. C/PUESTA A TIERRA UL DE 4"</t>
  </si>
  <si>
    <t>MAT002235</t>
  </si>
  <si>
    <t>TUERCA CON RESORTE PARA CANAL N224 1/2"</t>
  </si>
  <si>
    <t>MAT002236</t>
  </si>
  <si>
    <t>TUERCA CON RESORTE PARA CANAL N224 1/4"</t>
  </si>
  <si>
    <t>MAT002237</t>
  </si>
  <si>
    <t>TUERCA CON RESORTE PARA CANAL N224 3/4"</t>
  </si>
  <si>
    <t>MAT002238</t>
  </si>
  <si>
    <t>TUERCA CON RESORTE PARA CANAL N224 3/8"</t>
  </si>
  <si>
    <t>MAT002239</t>
  </si>
  <si>
    <t>TUERCA HEXAGONAL DE F°G° DE 1"</t>
  </si>
  <si>
    <t>MAT002240</t>
  </si>
  <si>
    <t>TUERCA HEXAGONAL DE F°G° DE 1/2"</t>
  </si>
  <si>
    <t>MAT002241</t>
  </si>
  <si>
    <t>TUERCA HEXAGONAL DE F°G° DE 1/4"</t>
  </si>
  <si>
    <t>MAT002242</t>
  </si>
  <si>
    <t>TUERCA HEXAGONAL DE F°G° DE 1/8"</t>
  </si>
  <si>
    <t>MAT002243</t>
  </si>
  <si>
    <t>TUERCA HEXAGONAL DE F°G° DE 3/4"</t>
  </si>
  <si>
    <t>MAT002244</t>
  </si>
  <si>
    <t>TUERCA HEXAGONAL DE F°G° DE 3/8"</t>
  </si>
  <si>
    <t>MAT002245</t>
  </si>
  <si>
    <t>TUERCA HEXAGONAL DE F°G° DE 5/8"</t>
  </si>
  <si>
    <t>MAT002246</t>
  </si>
  <si>
    <t>TUERCA HEXAGONAL DE F°G° DE 7/8"</t>
  </si>
  <si>
    <t>MAT002247</t>
  </si>
  <si>
    <t>TUERCA HEXAGONAL DE F°N° DE 1"</t>
  </si>
  <si>
    <t>MAT002248</t>
  </si>
  <si>
    <t>TUERCA HEXAGONAL DE F°N° DE 1/2"</t>
  </si>
  <si>
    <t>MAT002249</t>
  </si>
  <si>
    <t>TUERCA HEXAGONAL DE F°N° DE 1/4"</t>
  </si>
  <si>
    <t>MAT002250</t>
  </si>
  <si>
    <t>TUERCA HEXAGONAL DE F°N° DE 1/8"</t>
  </si>
  <si>
    <t>MAT002251</t>
  </si>
  <si>
    <t>TUERCA HEXAGONAL DE F°N° DE 3/4"</t>
  </si>
  <si>
    <t>MAT002252</t>
  </si>
  <si>
    <t>TUERCA HEXAGONAL DE F°N° DE 3/8"</t>
  </si>
  <si>
    <t>MAT002253</t>
  </si>
  <si>
    <t>TUERCA HEXAGONAL DE F°N° DE 5/8"</t>
  </si>
  <si>
    <t>MAT002254</t>
  </si>
  <si>
    <t>TUERCA HEXAGONAL DE F°N° DE 7/8"</t>
  </si>
  <si>
    <t>MAT002255</t>
  </si>
  <si>
    <t>TUERCA HEXAGONAL INOX 304 DE 1"</t>
  </si>
  <si>
    <t>MAT002256</t>
  </si>
  <si>
    <t>TUERCA HEXAGONAL INOX 304 DE 1/2"</t>
  </si>
  <si>
    <t>MAT002257</t>
  </si>
  <si>
    <t>TUERCA HEXAGONAL INOX 304 DE 1/4"</t>
  </si>
  <si>
    <t>MAT002258</t>
  </si>
  <si>
    <t>TUERCA HEXAGONAL INOX 304 DE 1/8"</t>
  </si>
  <si>
    <t>MAT002259</t>
  </si>
  <si>
    <t>TUERCA HEXAGONAL INOX 304 DE 3/4"</t>
  </si>
  <si>
    <t>MAT002260</t>
  </si>
  <si>
    <t>TUERCA HEXAGONAL INOX 304 DE 3/8"</t>
  </si>
  <si>
    <t>MAT002261</t>
  </si>
  <si>
    <t>TUERCA HEXAGONAL INOX 304 DE 5/8"</t>
  </si>
  <si>
    <t>MAT002262</t>
  </si>
  <si>
    <t>TUERCA HEXAGONAL INOX 304 DE 7/8"</t>
  </si>
  <si>
    <t>MAT002263</t>
  </si>
  <si>
    <t>TUERCA HEXAGONAL INOX 316 DE 1"</t>
  </si>
  <si>
    <t>MAT002264</t>
  </si>
  <si>
    <t>TUERCA HEXAGONAL INOX 316 DE 1/2"</t>
  </si>
  <si>
    <t>MAT002265</t>
  </si>
  <si>
    <t>TUERCA HEXAGONAL INOX 316 DE 1/4"</t>
  </si>
  <si>
    <t>MAT002266</t>
  </si>
  <si>
    <t>TUERCA HEXAGONAL INOX 316 DE 1/8"</t>
  </si>
  <si>
    <t>MAT002267</t>
  </si>
  <si>
    <t>TUERCA HEXAGONAL INOX 316 DE 3/4"</t>
  </si>
  <si>
    <t>MAT002268</t>
  </si>
  <si>
    <t>TUERCA HEXAGONAL INOX 316 DE 3/8"</t>
  </si>
  <si>
    <t>MAT002269</t>
  </si>
  <si>
    <t>TUERCA HEXAGONAL INOX 316 DE 5/8"</t>
  </si>
  <si>
    <t>MAT002270</t>
  </si>
  <si>
    <t>TUERCA HEXAGONAL INOX 316 DE 7/8"</t>
  </si>
  <si>
    <t>MAT002271</t>
  </si>
  <si>
    <t>TUERCA HEXAGONAL ZINCADO DE 1"</t>
  </si>
  <si>
    <t>MAT002272</t>
  </si>
  <si>
    <t>TUERCA HEXAGONAL ZINCADO DE 1/2"</t>
  </si>
  <si>
    <t>MAT002273</t>
  </si>
  <si>
    <t>TUERCA HEXAGONAL ZINCADO DE 1/4"</t>
  </si>
  <si>
    <t>MAT002274</t>
  </si>
  <si>
    <t>TUERCA HEXAGONAL ZINCADO DE 1/8"</t>
  </si>
  <si>
    <t>MAT002275</t>
  </si>
  <si>
    <t>TUERCA HEXAGONAL ZINCADO DE 3/4"</t>
  </si>
  <si>
    <t>MAT002276</t>
  </si>
  <si>
    <t>TUERCA HEXAGONAL ZINCADO DE 3/8"</t>
  </si>
  <si>
    <t>MAT002277</t>
  </si>
  <si>
    <t>TUERCA HEXAGONAL ZINCADO DE 5/8"</t>
  </si>
  <si>
    <t>MAT002278</t>
  </si>
  <si>
    <t>TUERCA HEXAGONAL ZINCADO DE 7/8"</t>
  </si>
  <si>
    <t>MAT002279</t>
  </si>
  <si>
    <t>U-BOLT F°G° DE 1/2" PARA TUBO DE 2" C/ TUERCA Y ARANDELA PLANA Y PRESION</t>
  </si>
  <si>
    <t>MAT002280</t>
  </si>
  <si>
    <t>U-BOLT F°G° DE 1/2" PARA TUBO DE 3" C/ TUERCA Y ARANDELA PLANA Y PRESION</t>
  </si>
  <si>
    <t>MAT002281</t>
  </si>
  <si>
    <t>U-BOLT F°G° DE 1/2" PARA TUBO DE 4" C/ TUERCA Y ARANDELA PLANA Y PRESION</t>
  </si>
  <si>
    <t>MAT002282</t>
  </si>
  <si>
    <t>U-BOLT F°G° DE 1/2" PARA TUBO DE 6" C/ TUERCA Y ARANDELA PLANA Y PRESION</t>
  </si>
  <si>
    <t>MAT002283</t>
  </si>
  <si>
    <t>U-BOLT F°G° DE 1/2" PARA TUBO DE 8" C/ TUERCA Y ARANDELA PLANA Y PRESION</t>
  </si>
  <si>
    <t>MAT002284</t>
  </si>
  <si>
    <t>U-BOLT F°G° DE 1/4" PARA TUBO DE 1 1/2" C/ TUERCA Y ARANDELA PLANA Y PRESION</t>
  </si>
  <si>
    <t>MAT002285</t>
  </si>
  <si>
    <t>U-BOLT F°G° DE 1/4" PARA TUBO DE 1" C/ TUERCA Y ARANDELA PLANA Y PRESION</t>
  </si>
  <si>
    <t>MAT002286</t>
  </si>
  <si>
    <t>U-BOLT F°G° DE 1/4" PARA TUBO DE 1/2" C/ TUERCA Y ARANDELA PLANA Y PRESION</t>
  </si>
  <si>
    <t>MAT002287</t>
  </si>
  <si>
    <t>U-BOLT F°G° DE 1/4" PARA TUBO DE 3" C/ TUERCA Y ARANDELA PLANA Y PRESION</t>
  </si>
  <si>
    <t>MAT002288</t>
  </si>
  <si>
    <t>U-BOLT F°G° DE 1/4" PARA TUBO DE 3/4" C/ TUERCA Y ARANDELA PLANA Y PRESION</t>
  </si>
  <si>
    <t>MAT002289</t>
  </si>
  <si>
    <t>U-BOLT F°G° DE 3/4" PARA TUBO DE 12" C/ TUERCA Y ARANDELA PLANA Y PRESION</t>
  </si>
  <si>
    <t>MAT002290</t>
  </si>
  <si>
    <t>U-BOLT F°G° DE 3/4" PARA TUBO DE 24" C/ TUERCA Y ARANDELA PLANA Y PRESION</t>
  </si>
  <si>
    <t>MAT002291</t>
  </si>
  <si>
    <t>U-BOLT F°G° DE 3/8" PARA TUBO DE 1 1/2" C/ TUERCA Y ARANDELA PLANA Y PRESION</t>
  </si>
  <si>
    <t>MAT002292</t>
  </si>
  <si>
    <t>U-BOLT F°G° DE 3/8" PARA TUBO DE 1" C/ TUERCA Y ARANDELA PLANA Y PRESION</t>
  </si>
  <si>
    <t>MAT002293</t>
  </si>
  <si>
    <t>U-BOLT F°G° DE 3/8" PARA TUBO DE 1/2" C/ TUERCA Y ARANDELA PLANA Y PRESION</t>
  </si>
  <si>
    <t>MAT002294</t>
  </si>
  <si>
    <t>U-BOLT F°G° DE 3/8" PARA TUBO DE 2" C/ TUERCA Y ARANDELA PLANA Y PRESION</t>
  </si>
  <si>
    <t>MAT002295</t>
  </si>
  <si>
    <t>U-BOLT F°G° DE 3/8" PARA TUBO DE 3" C/ TUERCA Y ARANDELA PLANA Y PRESION</t>
  </si>
  <si>
    <t>MAT002296</t>
  </si>
  <si>
    <t>U-BOLT F°G° DE 3/8" PARA TUBO DE 4" C/ TUERCA Y ARANDELA PLANA Y PRESION</t>
  </si>
  <si>
    <t>MAT002297</t>
  </si>
  <si>
    <t>U-BOLT F°G° DE 3/8" PARA TUBO DE 5" C/ TUERCA Y ARANDELA PLANA Y PRESION</t>
  </si>
  <si>
    <t>MAT002298</t>
  </si>
  <si>
    <t>U-BOLT F°G° DE 5/8" PARA TUBO DE 8" C/ TUERCA Y ARANDELA PLANA Y PRESION</t>
  </si>
  <si>
    <t>MAT002299</t>
  </si>
  <si>
    <t>U-BOLT INOX° DE 1/4" PARA TUBO DE 1 1/2" C/ TUERCA Y ARANDELA PLANA Y PRESION</t>
  </si>
  <si>
    <t>PERNO CON TUERCA DE ACERO INOX</t>
  </si>
  <si>
    <t>MAT002300</t>
  </si>
  <si>
    <t>U-BOLT INOX° DE 1/4" PARA TUBO DE 1" C/ TUERCA Y ARANDELA PLANA Y PRESION</t>
  </si>
  <si>
    <t>MAT002301</t>
  </si>
  <si>
    <t>U-BOLT INOX° DE 1/4" PARA TUBO DE 2" C/ TUERCA Y ARANDELA PLANA Y PRESION</t>
  </si>
  <si>
    <t>MAT002302</t>
  </si>
  <si>
    <t>U-BOLT INOX° DE 1/4" PARA TUBO DE 3/4" C/ TUERCA Y ARANDELA PLANA Y PRESION</t>
  </si>
  <si>
    <t>MAT002303</t>
  </si>
  <si>
    <t>UNIFORME DEPORTIVO (CAMISETA, SHORT Y MEDIAS) TALLA: L</t>
  </si>
  <si>
    <t>MAT002304</t>
  </si>
  <si>
    <t>UNIFORME DEPORTIVO (CAMISETA, SHORT Y MEDIAS) TALLA: M</t>
  </si>
  <si>
    <t>MAT002305</t>
  </si>
  <si>
    <t>UNIFORME DEPORTIVO (CAMISETA, SHORT Y MEDIAS) TALLA: S</t>
  </si>
  <si>
    <t>MAT002306</t>
  </si>
  <si>
    <t>UNIFORME DEPORTIVO (CAMISETA, SHORT Y MEDIAS) TALLA: XL</t>
  </si>
  <si>
    <t>MAT002307</t>
  </si>
  <si>
    <t>UNIFORME DEPORTIVO ARQUERO (CAMISETA, SHORT Y MEDIAS) TALLA: L</t>
  </si>
  <si>
    <t>MAT002308</t>
  </si>
  <si>
    <t>UNIFORME DEPORTIVO ARQUERO (CAMISETA, SHORT Y MEDIAS) TALLA: M</t>
  </si>
  <si>
    <t>MAT002309</t>
  </si>
  <si>
    <t>UNIFORME DEPORTIVO ARQUERO (CAMISETA, SHORT Y MEDIAS) TALLA: S</t>
  </si>
  <si>
    <t>MAT002310</t>
  </si>
  <si>
    <t>UNIFORME DEPORTIVO ARQUERO (CAMISETA, SHORT Y MEDIAS) TALLA: XL</t>
  </si>
  <si>
    <t>MAT002311</t>
  </si>
  <si>
    <t>UNION (ADAPTADOR) DE PVC DE 1 1/2" PRESION-ROSCA</t>
  </si>
  <si>
    <t>MAT002312</t>
  </si>
  <si>
    <t>UNION (ADAPTADOR) DE PVC DE 1" PRESION-ROSCA</t>
  </si>
  <si>
    <t>MAT002313</t>
  </si>
  <si>
    <t>UNION (ADAPTADOR) DE PVC DE 1/2" PRESION-ROSCA</t>
  </si>
  <si>
    <t>MAT002314</t>
  </si>
  <si>
    <t>UNION (ADAPTADOR) DE PVC DE 2" PRESION-ROSCA</t>
  </si>
  <si>
    <t>MAT002315</t>
  </si>
  <si>
    <t>UNION (ADAPTADOR) DE PVC DE 3" PRESION-ROSCA</t>
  </si>
  <si>
    <t>MAT002316</t>
  </si>
  <si>
    <t>UNION (ADAPTADOR) DE PVC DE 3/4" PRESION-ROSCA</t>
  </si>
  <si>
    <t>MAT002317</t>
  </si>
  <si>
    <t>UNION (ADAPTADOR) DE PVC DE 4" PRESION-ROSCA</t>
  </si>
  <si>
    <t>MAT002318</t>
  </si>
  <si>
    <t>UNION A PRESION DE 1 1/2" DE PVC</t>
  </si>
  <si>
    <t>MAT002319</t>
  </si>
  <si>
    <t>UNION A PRESION DE 1" DE PVC</t>
  </si>
  <si>
    <t>MAT002320</t>
  </si>
  <si>
    <t>UNION A PRESION DE 1/2" DE PVC</t>
  </si>
  <si>
    <t>MAT002321</t>
  </si>
  <si>
    <t>UNION A PRESION DE 2" DE PVC</t>
  </si>
  <si>
    <t>MAT002322</t>
  </si>
  <si>
    <t>UNION A PRESION DE 3/4" DE PVC</t>
  </si>
  <si>
    <t>MAT002323</t>
  </si>
  <si>
    <t>UNION A PRESION DE 4" DE PVC</t>
  </si>
  <si>
    <t>MAT002324</t>
  </si>
  <si>
    <t>UNION CONDUIT O ACOPLADOR DE 1 1/2"</t>
  </si>
  <si>
    <t>MAT002325</t>
  </si>
  <si>
    <t>UNION CONDUIT O ACOPLADOR DE 1 1/2" C/FORRO DE PVC</t>
  </si>
  <si>
    <t>MAT002326</t>
  </si>
  <si>
    <t>UNION CONDUIT O ACOPLADOR DE 1 1/4"</t>
  </si>
  <si>
    <t>MAT002327</t>
  </si>
  <si>
    <t>UNION CONDUIT O ACOPLADOR DE 1"</t>
  </si>
  <si>
    <t>MAT002328</t>
  </si>
  <si>
    <t>UNION CONDUIT O ACOPLADOR DE 1" C/FORRO DE PVC</t>
  </si>
  <si>
    <t>MAT002329</t>
  </si>
  <si>
    <t>UNION CONDUIT O ACOPLADOR DE 1/2"</t>
  </si>
  <si>
    <t>MAT002330</t>
  </si>
  <si>
    <t>UNION CONDUIT O ACOPLADOR DE 1/2" C/FORRO DE PVC</t>
  </si>
  <si>
    <t>MAT002331</t>
  </si>
  <si>
    <t>UNION CONDUIT O ACOPLADOR DE 2"</t>
  </si>
  <si>
    <t>MAT002332</t>
  </si>
  <si>
    <t>UNION CONDUIT O ACOPLADOR DE 2" C/FORRO DE PVC</t>
  </si>
  <si>
    <t>MAT002333</t>
  </si>
  <si>
    <t>UNION CONDUIT O ACOPLADOR DE 3"</t>
  </si>
  <si>
    <t>MAT002334</t>
  </si>
  <si>
    <t>UNION CONDUIT O ACOPLADOR DE 3/4"</t>
  </si>
  <si>
    <t>MAT002335</t>
  </si>
  <si>
    <t>UNION CONDUIT O ACOPLADOR DE 3/4" C/FORRO DE PVC</t>
  </si>
  <si>
    <t>MAT002336</t>
  </si>
  <si>
    <t>UNION CONDUIT O ACOPLADOR DE 3/4" EMT</t>
  </si>
  <si>
    <t>MAT002337</t>
  </si>
  <si>
    <t>UNION CONDUIT O ACOPLADOR DE 4"</t>
  </si>
  <si>
    <t>MAT002338</t>
  </si>
  <si>
    <t>UNION DE PVC PRESION-PRESION DE 1" SCH-40</t>
  </si>
  <si>
    <t>MAT002339</t>
  </si>
  <si>
    <t>UNION DE PVC PRESION-PRESION DE 1/2" SCH-40</t>
  </si>
  <si>
    <t>MAT002340</t>
  </si>
  <si>
    <t>UNION DE PVC PRESION-PRESION DE 1-1/2" SCH-40</t>
  </si>
  <si>
    <t>MAT002341</t>
  </si>
  <si>
    <t>UNION DE PVC PRESION-PRESION DE 2" SCH-40</t>
  </si>
  <si>
    <t>MAT002342</t>
  </si>
  <si>
    <t>UNION DE PVC PRESION-PRESION DE 3" SCH-40</t>
  </si>
  <si>
    <t>MAT002343</t>
  </si>
  <si>
    <t>UNION DE PVC PRESION-PRESION DE 3/4" SCH-40</t>
  </si>
  <si>
    <t>MAT002344</t>
  </si>
  <si>
    <t>UNION DE PVC PRESION-PRESION DE 4" SCH-40</t>
  </si>
  <si>
    <t>MAT002345</t>
  </si>
  <si>
    <t>UNION DE PVC PRESION-PRESION DE 6" SCH-40</t>
  </si>
  <si>
    <t>MAT002346</t>
  </si>
  <si>
    <t>UNION DE PVC PRESION-ROSCA DE 1" SCH-40</t>
  </si>
  <si>
    <t>MAT002347</t>
  </si>
  <si>
    <t>UNION DE PVC PRESION-ROSCA DE 1/2" SCH-40</t>
  </si>
  <si>
    <t>MAT002348</t>
  </si>
  <si>
    <t>UNION DE PVC PRESION-ROSCA DE 2" SCH-40</t>
  </si>
  <si>
    <t>MAT002349</t>
  </si>
  <si>
    <t>UNION DE PVC PRESION-ROSCA DE 3" SCH-40</t>
  </si>
  <si>
    <t>MAT002350</t>
  </si>
  <si>
    <t>UNION DE PVC PRESION-ROSCA DE 3/4" SCH-40</t>
  </si>
  <si>
    <t>MAT002351</t>
  </si>
  <si>
    <t>UNION DE PVC PRESION-ROSCA DE 4" SCH-40</t>
  </si>
  <si>
    <t>MAT002352</t>
  </si>
  <si>
    <t>UNION DE PVC PRESION-ROSCA DE 6" SCH-40</t>
  </si>
  <si>
    <t>MAT002353</t>
  </si>
  <si>
    <t>UNION SIMPLE ACERO INOXIDABLE 1/2" ROSCA NPT</t>
  </si>
  <si>
    <t>MAT002354</t>
  </si>
  <si>
    <t>UNION SIMPLE ACERO INOXIDABLE 1/4" ROSCA NPT</t>
  </si>
  <si>
    <t>MAT002355</t>
  </si>
  <si>
    <t>UNION SIMPLE ACERO INOXIDABLE 2 1/2" ROSCA NPT</t>
  </si>
  <si>
    <t>MAT002356</t>
  </si>
  <si>
    <t>UNION SIMPLE ACERO INOXIDABLE 3" ROSCA NPT</t>
  </si>
  <si>
    <t>MAT002357</t>
  </si>
  <si>
    <t>UNION SIMPLE ACERO INOXIDABLE 3/4" ROSCA NPT</t>
  </si>
  <si>
    <t>MAT002358</t>
  </si>
  <si>
    <t>UNION SIMPLE ACERO INOXIDABLE 4" ROSCA NPT</t>
  </si>
  <si>
    <t>MAT002359</t>
  </si>
  <si>
    <t>UNION SIMPLE FIERRO GALVANIZADO 1 1/2" CLASE 150 UL/FM</t>
  </si>
  <si>
    <t>MAT002360</t>
  </si>
  <si>
    <t>UNION SIMPLE FIERRO GALVANIZADO 1" CLASE 150 UL/FM</t>
  </si>
  <si>
    <t>MAT002361</t>
  </si>
  <si>
    <t>UNION SIMPLE FIERRO GALVANIZADO 1/2" CLASE 150 UL/FM</t>
  </si>
  <si>
    <t>MAT002362</t>
  </si>
  <si>
    <t>UNION SIMPLE FIERRO GALVANIZADO 1/4" CLASE 150 UL/FM</t>
  </si>
  <si>
    <t>MAT002363</t>
  </si>
  <si>
    <t>UNION SIMPLE FIERRO GALVANIZADO 2 1/2" CLASE 150 UL/FM</t>
  </si>
  <si>
    <t>MAT002364</t>
  </si>
  <si>
    <t>UNION SIMPLE FIERRO GALVANIZADO 2" CLASE 150 UL/FM</t>
  </si>
  <si>
    <t>MAT002365</t>
  </si>
  <si>
    <t>UNION SIMPLE FIERRO GALVANIZADO 3" CLASE 150 UL/FM</t>
  </si>
  <si>
    <t>MAT002366</t>
  </si>
  <si>
    <t>UNION SIMPLE FIERRO GALVANIZADO 3/4" CLASE 150 UL/FM</t>
  </si>
  <si>
    <t>MAT002367</t>
  </si>
  <si>
    <t>UNION SIMPLE FIERRO GALVANIZADO 4" CLASE 150 UL/FM</t>
  </si>
  <si>
    <t>MAT002368</t>
  </si>
  <si>
    <t>UNION SIMPLE FIERRO GALVANIZADO 6" CLASE 150 UL/FM</t>
  </si>
  <si>
    <t>MAT002369</t>
  </si>
  <si>
    <t>UNION SIMPLE FIERRO NEGRO 1 1/2" CLASE 300 UL/FM</t>
  </si>
  <si>
    <t>MAT002370</t>
  </si>
  <si>
    <t>UNION SIMPLE FIERRO NEGRO 1 1/4" CLASE 300 UL/FM</t>
  </si>
  <si>
    <t>MAT002371</t>
  </si>
  <si>
    <t>UNION SIMPLE FIERRO NEGRO 1" CLASE 300 UL/FM</t>
  </si>
  <si>
    <t>MAT002372</t>
  </si>
  <si>
    <t>UNION SIMPLE FIERRO NEGRO 1/2" CLASE 300 UL/FM</t>
  </si>
  <si>
    <t>MAT002373</t>
  </si>
  <si>
    <t>UNION SIMPLE FIERRO NEGRO 1/4" CLASE 300 UL/FM</t>
  </si>
  <si>
    <t>MAT002374</t>
  </si>
  <si>
    <t>UNION SIMPLE FIERRO NEGRO 2 1/2" CLASE 300 UL/FM</t>
  </si>
  <si>
    <t>MAT002375</t>
  </si>
  <si>
    <t>UNION SIMPLE FIERRO NEGRO 2" CLASE 300 UL/FM</t>
  </si>
  <si>
    <t>MAT002376</t>
  </si>
  <si>
    <t>UNION SIMPLE FIERRO NEGRO 3" CLASE 300 UL/FM</t>
  </si>
  <si>
    <t>MAT002377</t>
  </si>
  <si>
    <t>UNION SIMPLE FIERRO NEGRO 3/4" CLASE 300 UL/FM</t>
  </si>
  <si>
    <t>MAT002378</t>
  </si>
  <si>
    <t>UNION SIMPLE FIERRO NEGRO 4" CLASE 300 UL/FM</t>
  </si>
  <si>
    <t>MAT002379</t>
  </si>
  <si>
    <t>UNION SIMPLE FIERRO NEGRO 6" CLASE 300 UL/FM</t>
  </si>
  <si>
    <t>MAT002380</t>
  </si>
  <si>
    <t>UNION UNIVERSAL O TUERCA UNION ACERO INOXIDABLE 1 1/2" ROSCA NPT X 150 LIB</t>
  </si>
  <si>
    <t>MAT002381</t>
  </si>
  <si>
    <t>UNION UNIVERSAL O TUERCA UNION ACERO INOXIDABLE 1/2" ROSCA NPT X 150 LIB</t>
  </si>
  <si>
    <t>MAT002382</t>
  </si>
  <si>
    <t>UNION UNIVERSAL O TUERCA UNION ACERO INOXIDABLE 2 1/2" ROSCA NPT X 150 LIB</t>
  </si>
  <si>
    <t>MAT002383</t>
  </si>
  <si>
    <t>UNION UNIVERSAL O TUERCA UNION ACERO INOXIDABLE 2" ROSCA NPT X 150 LIB</t>
  </si>
  <si>
    <t>MAT002384</t>
  </si>
  <si>
    <t>UNION UNIVERSAL O TUERCA UNION ACERO INOXIDABLE 3/4" ROSCA NPT X 150 LIB</t>
  </si>
  <si>
    <t>MAT002385</t>
  </si>
  <si>
    <t>UNION UNIVERSAL O TUERCA UNION FIERRO GALVANIZADO 1 1/2" CLASE 150 UL/FM</t>
  </si>
  <si>
    <t>MAT002386</t>
  </si>
  <si>
    <t>UNION UNIVERSAL O TUERCA UNION FIERRO GALVANIZADO 1 1/4" CLASE 150 UL/FM</t>
  </si>
  <si>
    <t>MAT002387</t>
  </si>
  <si>
    <t>UNION UNIVERSAL O TUERCA UNION FIERRO GALVANIZADO 1'' CLASE 150 UL/FM</t>
  </si>
  <si>
    <t>MAT002388</t>
  </si>
  <si>
    <t>UNION UNIVERSAL O TUERCA UNION FIERRO GALVANIZADO 1/2'' CLASE 150 UL/FM</t>
  </si>
  <si>
    <t>MAT002389</t>
  </si>
  <si>
    <t>UNION UNIVERSAL O TUERCA UNION FIERRO GALVANIZADO 2 1/2" CLASE 150 UL/FM</t>
  </si>
  <si>
    <t>MAT002390</t>
  </si>
  <si>
    <t>UNION UNIVERSAL O TUERCA UNION FIERRO GALVANIZADO 2'' CLASE 150 UL/FM</t>
  </si>
  <si>
    <t>MAT002391</t>
  </si>
  <si>
    <t>UNION UNIVERSAL O TUERCA UNION FIERRO GALVANIZADO 3/4" CLASE 150 UL/FM</t>
  </si>
  <si>
    <t>MAT002392</t>
  </si>
  <si>
    <t>UNION UNIVERSAL O TUERCA UNION FIERRO NEGRO 1 1/2" CLASE 300</t>
  </si>
  <si>
    <t>MAT002393</t>
  </si>
  <si>
    <t>UNION UNIVERSAL O TUERCA UNION FIERRO NEGRO 1 1/4" CLASE 300</t>
  </si>
  <si>
    <t>MAT002394</t>
  </si>
  <si>
    <t>UNION UNIVERSAL O TUERCA UNION FIERRO NEGRO 1" CLASE 300</t>
  </si>
  <si>
    <t>MAT002395</t>
  </si>
  <si>
    <t>UNION UNIVERSAL O TUERCA UNION FIERRO NEGRO 1/2" CLASE 300</t>
  </si>
  <si>
    <t>MAT002396</t>
  </si>
  <si>
    <t>UNION UNIVERSAL O TUERCA UNION FIERRO NEGRO 2 1/2" CLASE 300</t>
  </si>
  <si>
    <t>MAT002397</t>
  </si>
  <si>
    <t>UNION UNIVERSAL O TUERCA UNION FIERRO NEGRO 2" CLASE 300</t>
  </si>
  <si>
    <t>MAT002398</t>
  </si>
  <si>
    <t>UNION UNIVERSAL O TUERCA UNION FIERRO NEGRO 3/4" CLASE 300</t>
  </si>
  <si>
    <t>MAT002399</t>
  </si>
  <si>
    <t>UNION UNIVERSAL PARA CONDUIT DE 1 1/2" C/ FORRO DE PVC HEMBRA-HEMBRA</t>
  </si>
  <si>
    <t>MAT002400</t>
  </si>
  <si>
    <t>UNION UNIVERSAL PARA CONDUIT DE 1" C/ FORRO DE PVC HEMBRA-HEMBRA</t>
  </si>
  <si>
    <t>MAT002401</t>
  </si>
  <si>
    <t>UNION UNIVERSAL PARA CONDUIT DE 1/2" C/ FORRO DE PVC HEMBRA-HEMBRA</t>
  </si>
  <si>
    <t>MAT002402</t>
  </si>
  <si>
    <t>UNION UNIVERSAL PARA CONDUIT DE 2" C/ FORRO DE PVC HEMBRA-HEMBRA</t>
  </si>
  <si>
    <t>MAT002403</t>
  </si>
  <si>
    <t>UNION UNIVERSAL PARA CONDUIT DE 3/4" C/ FORRO DE PVC HEMBRA-HEMBRA</t>
  </si>
  <si>
    <t>MAT002404</t>
  </si>
  <si>
    <t>UNION UNIVERSAL PARA CONDUIT F°G° DE 1 1/2" HEMBRA - HEMBRA</t>
  </si>
  <si>
    <t>MAT002405</t>
  </si>
  <si>
    <t>UNION UNIVERSAL PARA CONDUIT F°G° DE 1 1/2" MACHO-HEMBRA</t>
  </si>
  <si>
    <t>MAT002406</t>
  </si>
  <si>
    <t>UNION UNIVERSAL PARA CONDUIT F°G° DE 1" HEMBRA - HEMBRA</t>
  </si>
  <si>
    <t>MAT002407</t>
  </si>
  <si>
    <t>UNION UNIVERSAL PARA CONDUIT F°G° DE 1" MACHO-HEMBRA</t>
  </si>
  <si>
    <t>MAT002408</t>
  </si>
  <si>
    <t>UNION UNIVERSAL PARA CONDUIT F°G° DE 1/2" HEMBRA - HEMBRA</t>
  </si>
  <si>
    <t>MAT002409</t>
  </si>
  <si>
    <t>UNION UNIVERSAL PARA CONDUIT F°G° DE 1/2" MACHO-HEMBRA</t>
  </si>
  <si>
    <t>MAT002410</t>
  </si>
  <si>
    <t>UNION UNIVERSAL PARA CONDUIT F°G° DE 2 1/2" HEMBRA - HEMBRA</t>
  </si>
  <si>
    <t>MAT002411</t>
  </si>
  <si>
    <t>UNION UNIVERSAL PARA CONDUIT F°G° DE 2" HEMBRA - HEMBRA</t>
  </si>
  <si>
    <t>MAT002412</t>
  </si>
  <si>
    <t>UNION UNIVERSAL PARA CONDUIT F°G° DE 2" MACHO-HEMBRA</t>
  </si>
  <si>
    <t>MAT002413</t>
  </si>
  <si>
    <t>UNION UNIVERSAL PARA CONDUIT F°G° DE 3/4" HEMBRA - HEMBRA</t>
  </si>
  <si>
    <t>MAT002414</t>
  </si>
  <si>
    <t>UNION UNIVERSAL PARA CONDUIT F°G° DE 3/4" MACHO-HEMBRA</t>
  </si>
  <si>
    <t>MAT002415</t>
  </si>
  <si>
    <t>UNION UNIVERSAL PVC 1 1/2" C/ ROSCA</t>
  </si>
  <si>
    <t>MAT002416</t>
  </si>
  <si>
    <t>UNION UNIVERSAL PVC 1/2" C/ ROSCA</t>
  </si>
  <si>
    <t>MAT002417</t>
  </si>
  <si>
    <t>UNION UNIVERSAL PVC 2" C/ ROSCA</t>
  </si>
  <si>
    <t>MAT002418</t>
  </si>
  <si>
    <t>UNION UNIVERSAL PVC 3" C/ ROSCA</t>
  </si>
  <si>
    <t>MAT002419</t>
  </si>
  <si>
    <t>UNION UNIVERSAL PVC 3/4" C/ ROSCA</t>
  </si>
  <si>
    <t>MAT002420</t>
  </si>
  <si>
    <t>UNION UNIVERSAL PVC 4" C/ ROSCA</t>
  </si>
  <si>
    <t>MAT002421</t>
  </si>
  <si>
    <t>USB DE 16 GB</t>
  </si>
  <si>
    <t>KINGSTON</t>
  </si>
  <si>
    <t>MAT002422</t>
  </si>
  <si>
    <t>USB DE 2 GB</t>
  </si>
  <si>
    <t>MAT002423</t>
  </si>
  <si>
    <t>USB DE 32 GB</t>
  </si>
  <si>
    <t>MAT002424</t>
  </si>
  <si>
    <t>USB DE 4 GB</t>
  </si>
  <si>
    <t>MAT002425</t>
  </si>
  <si>
    <t>USB DE 64 GB</t>
  </si>
  <si>
    <t>MAT002426</t>
  </si>
  <si>
    <t>USB DE 8 GB</t>
  </si>
  <si>
    <t>MAT002427</t>
  </si>
  <si>
    <t>VALVULA ANTIRRETORNO DE ACETILENO P/ MANOMETRO</t>
  </si>
  <si>
    <t>MAT002428</t>
  </si>
  <si>
    <t>VALVULA ANTIRRETORNO DE OXIGENO P/ MANOMETRO</t>
  </si>
  <si>
    <t>MAT002429</t>
  </si>
  <si>
    <t>VALVULA CHECK DE BRONCE 1 1/2"</t>
  </si>
  <si>
    <t>VALVULA</t>
  </si>
  <si>
    <t>VALVULA DE BRONCE</t>
  </si>
  <si>
    <t>MAT002430</t>
  </si>
  <si>
    <t>VALVULA CHECK DE BRONCE 1"</t>
  </si>
  <si>
    <t>MAT002431</t>
  </si>
  <si>
    <t>VALVULA CHECK DE BRONCE 1/2"</t>
  </si>
  <si>
    <t>MAT002432</t>
  </si>
  <si>
    <t>VALVULA CHECK DE BRONCE 2"</t>
  </si>
  <si>
    <t>ACCESORIO PARA TUBERIA BRONCE</t>
  </si>
  <si>
    <t>MAT002433</t>
  </si>
  <si>
    <t>VALVULA CHECK DE BRONCE 3/4"</t>
  </si>
  <si>
    <t>MAT002434</t>
  </si>
  <si>
    <t>VALVULA COMPUERTA DE BRONCE 1/2"</t>
  </si>
  <si>
    <t>MAT002435</t>
  </si>
  <si>
    <t>VALVULA COMPUERTA DE BRONCE 2"</t>
  </si>
  <si>
    <t>MAT002436</t>
  </si>
  <si>
    <t>VALVULA COMPUERTA DE BRONCE 3/4"</t>
  </si>
  <si>
    <t>MAT002437</t>
  </si>
  <si>
    <t>VALVULA DE BOLA 1/2" 3 CUERPOS ACERO AL CARBONO CON SISTEMA PARA BLOQUEO</t>
  </si>
  <si>
    <t>VALVULA DE ACERO (F°N°, INOX)</t>
  </si>
  <si>
    <t>MAT002438</t>
  </si>
  <si>
    <t>VALVULA DE BOLA 1/4" 3 CUERPOS ACERO INOXIDABLE CON SISTEMA PARA BLOQUEO</t>
  </si>
  <si>
    <t>MAT002439</t>
  </si>
  <si>
    <t>VALVULA DE BOLA DE 1 1/2" ACERO AL CARBONO ROSCA NPT CON SISTEMA PARA BLOQUEO</t>
  </si>
  <si>
    <t>MAT002440</t>
  </si>
  <si>
    <t>VALVULA DE BOLA DE 1 1/2" ACERO INOX ROSCA NPT CON SISTEMA PARA BLOQUEO</t>
  </si>
  <si>
    <t>MAT002441</t>
  </si>
  <si>
    <t>VALVULA DE BOLA DE 1 1/2" BRONCE</t>
  </si>
  <si>
    <t>MAT002442</t>
  </si>
  <si>
    <t>VALVULA DE BOLA DE 1" ACERO AL CARBONO ROSCA NPT CON SISTEMA PARA BLOQUEO</t>
  </si>
  <si>
    <t>MAT002443</t>
  </si>
  <si>
    <t>VALVULA DE BOLA DE 1" ACERO INOX ROSCA NPT CON SISTEMA PARA BLOQUEO</t>
  </si>
  <si>
    <t>MAT002444</t>
  </si>
  <si>
    <t>VALVULA DE BOLA DE 1" BRONCE</t>
  </si>
  <si>
    <t>MAT002445</t>
  </si>
  <si>
    <t>VALVULA DE BOLA DE 1/2" ACERO AL CARBONO ROSCA NPT CON SISTEMA PARA BLOQUEO</t>
  </si>
  <si>
    <t>MAT002446</t>
  </si>
  <si>
    <t>VALVULA DE BOLA DE 1/2" ACERO INOX ROSCA NPT CON SISTEMA PARA BLOQUEO</t>
  </si>
  <si>
    <t>MAT002447</t>
  </si>
  <si>
    <t>VALVULA DE BOLA DE 1/2" BRONCE</t>
  </si>
  <si>
    <t>MAT002448</t>
  </si>
  <si>
    <t>VALVULA DE BOLA DE 2 1/2" ACERO AL CARBONO ROSCA NPT CON SISTEMA PARA BLOQUEO</t>
  </si>
  <si>
    <t>MAT002449</t>
  </si>
  <si>
    <t>VALVULA DE BOLA DE 2" ACERO AL CARBONO ROSCA NPT CON SISTEMA PARA BLOQUEO</t>
  </si>
  <si>
    <t>MAT002450</t>
  </si>
  <si>
    <t>VALVULA DE BOLA DE 2" ACERO INOX ROSCA NPT CON SISTEMA PARA BLOQUEO</t>
  </si>
  <si>
    <t>MAT002451</t>
  </si>
  <si>
    <t>VALVULA DE BOLA DE 3" ACERO AL CARBONO ROSCA NPT CON SISTEMA PARA BLOQUEO</t>
  </si>
  <si>
    <t>MAT002452</t>
  </si>
  <si>
    <t>VALVULA DE BOLA DE 3/4" ACERO AL CARBONO ROSCA NPT CON SISTEMA PARA BLOQUEO</t>
  </si>
  <si>
    <t>MAT002453</t>
  </si>
  <si>
    <t>VALVULA DE BOLA DE 3/4" BRONCE</t>
  </si>
  <si>
    <t>MAT002454</t>
  </si>
  <si>
    <t>VALVULA DE BOLA DE 3/4" CON SISTEMA PARA BLOQUEO</t>
  </si>
  <si>
    <t>MAT002455</t>
  </si>
  <si>
    <t>VALVULA DE BOLA DE PVC DE 1 1/2" C/ ROSCA</t>
  </si>
  <si>
    <t>VALVULA DE PVC</t>
  </si>
  <si>
    <t>MAT002456</t>
  </si>
  <si>
    <t>VALVULA DE BOLA DE PVC DE 1" C/ ROSCA</t>
  </si>
  <si>
    <t>MAT002457</t>
  </si>
  <si>
    <t>VALVULA DE BOLA DE PVC DE 2" C/ ROSCA</t>
  </si>
  <si>
    <t>MAT002458</t>
  </si>
  <si>
    <t>VALVULA DE BOLA DE PVC DE 3/4" C/ ROSCA</t>
  </si>
  <si>
    <t>MAT002459</t>
  </si>
  <si>
    <t>VARILLA DE COPPERWELD DE 1/2" X 2.40 M</t>
  </si>
  <si>
    <t>MAT002460</t>
  </si>
  <si>
    <t>VARILLA DE COPPERWELD DE 3/4" X 2.40 M</t>
  </si>
  <si>
    <t>MAT002461</t>
  </si>
  <si>
    <t>VARILLA DE COPPERWELD DE 3/4" X 3 M</t>
  </si>
  <si>
    <t>MAT002462</t>
  </si>
  <si>
    <t>VARILLA DE CU ELECTROLITICO DE 3/4" X 2.40 M</t>
  </si>
  <si>
    <t>MAT002463</t>
  </si>
  <si>
    <t>VARILLA DE CU ELECTROLITICO DE 3/4" X 3 M</t>
  </si>
  <si>
    <t>MAT002464</t>
  </si>
  <si>
    <t>VASO DE PLASTICO DESCARTABLE DE COLORES N° 7</t>
  </si>
  <si>
    <t>MAT002465</t>
  </si>
  <si>
    <t>VASO DESCARTABLE DE TECKNOPOR N° 7</t>
  </si>
  <si>
    <t>MAT002466</t>
  </si>
  <si>
    <t>VENDA ELASTICA 4" X 5 YDAS</t>
  </si>
  <si>
    <t>MAT002467</t>
  </si>
  <si>
    <t>VENDA O CABESTRILLO ADULTO CODERA</t>
  </si>
  <si>
    <t>MAT002468</t>
  </si>
  <si>
    <t>VENDA TRIANGULAR DE TELA</t>
  </si>
  <si>
    <t>MAT002469</t>
  </si>
  <si>
    <t>VIGA "H" A/572/A-992 X 6 MT. - ( 20 PIES ) 14" X 8.06" X 53 LBS/PIE</t>
  </si>
  <si>
    <t>VIGA</t>
  </si>
  <si>
    <t>MAT002470</t>
  </si>
  <si>
    <t>YESO BLANCO P/OBRA X 1 KG</t>
  </si>
  <si>
    <t>MAT002471</t>
  </si>
  <si>
    <t>YESO BLANCO P/OBRA X 20 KG</t>
  </si>
  <si>
    <t>MAT002472</t>
  </si>
  <si>
    <t>ZUNCHO METALICO DE 3/4" X 100 M</t>
  </si>
  <si>
    <t>MAT002473</t>
  </si>
  <si>
    <t>ZUNCHO METALICO DE 5/8" X 100 M</t>
  </si>
  <si>
    <t>CODIFICACION CORRELATIVA</t>
  </si>
  <si>
    <t>ANDAMIO</t>
  </si>
  <si>
    <t>ACTIVO</t>
  </si>
  <si>
    <t>EQUIPO COMPUTO</t>
  </si>
  <si>
    <t>MAQ EQ PESADO</t>
  </si>
  <si>
    <t>AND000001</t>
  </si>
  <si>
    <t>ACT000001</t>
  </si>
  <si>
    <t>MAQEQP000001</t>
  </si>
  <si>
    <t>AND000002</t>
  </si>
  <si>
    <t>ACT000002</t>
  </si>
  <si>
    <t>MAQEQP000002</t>
  </si>
  <si>
    <t>AND000003</t>
  </si>
  <si>
    <t>ACT000003</t>
  </si>
  <si>
    <t>MAQEQP000003</t>
  </si>
  <si>
    <t>SE COLOCA EL PREFIJO, SEGUIDO DE 6 DIGITOS, COMIENZA EN 1 Y SE LE ASIGNA CODIFICACION CORRELATIVA SEGÚN LA ALIMENTACION DE LA BASE DE DATOS</t>
  </si>
  <si>
    <t>MAT</t>
  </si>
  <si>
    <t>HER</t>
  </si>
  <si>
    <t>AND</t>
  </si>
  <si>
    <t>ACT</t>
  </si>
  <si>
    <t>EQP</t>
  </si>
  <si>
    <t>EQUIPO CÓMPUTO</t>
  </si>
  <si>
    <t>EQPCOM</t>
  </si>
  <si>
    <t>MAQEQ</t>
  </si>
  <si>
    <t>UNIDAD DE MEDIDA</t>
  </si>
  <si>
    <t>ABREVIATURA</t>
  </si>
  <si>
    <t>BALON</t>
  </si>
  <si>
    <t>BOLSA</t>
  </si>
  <si>
    <t>CAJA</t>
  </si>
  <si>
    <t>CUENTO</t>
  </si>
  <si>
    <t>GALON</t>
  </si>
  <si>
    <t>JUEGO</t>
  </si>
  <si>
    <t>KILOGRAMO</t>
  </si>
  <si>
    <t>METRO</t>
  </si>
  <si>
    <t>METRO CUADRADO</t>
  </si>
  <si>
    <t>M2</t>
  </si>
  <si>
    <t>METRO CUBICO</t>
  </si>
  <si>
    <t>MILLAR</t>
  </si>
  <si>
    <t>PAQUETE</t>
  </si>
  <si>
    <t>ROLLO</t>
  </si>
  <si>
    <t>UNIDAD</t>
  </si>
  <si>
    <t>MAQ EQP PESADO</t>
  </si>
  <si>
    <t>ANDAMIO/ENCOFRADO</t>
  </si>
  <si>
    <t>CERCO PERIMÉTRICO</t>
  </si>
  <si>
    <t>CONTENEDOR/CASETA</t>
  </si>
  <si>
    <t>EQUIPO LINEA AMARILLA</t>
  </si>
  <si>
    <t>EQUIPO P/ LIMPIEZA</t>
  </si>
  <si>
    <t>FABRICACION</t>
  </si>
  <si>
    <t>MATERIAL TRABAJO EN ALTURA</t>
  </si>
  <si>
    <t>MUEBLE, ENSER</t>
  </si>
  <si>
    <t>ACCESORIO P/ EQUIPO DE MEDICION</t>
  </si>
  <si>
    <t>ACCESORIO PARA CERCO PERIMÉTRICO</t>
  </si>
  <si>
    <t>ACCESORIO PARA MONTAJE DE ANDAMIO</t>
  </si>
  <si>
    <t>ACCESORIO PARA TABLERO ELECTRICO</t>
  </si>
  <si>
    <t>ACCESORIO PARA TUBERIA CPVC</t>
  </si>
  <si>
    <t>AISLADOR</t>
  </si>
  <si>
    <t>ALFOMBRA-TAPIZON</t>
  </si>
  <si>
    <t>ALMOHADA, SABANA, COLCHON</t>
  </si>
  <si>
    <t>ANTORCHA TIG</t>
  </si>
  <si>
    <t>ASPIRADORA/SOPLADOR</t>
  </si>
  <si>
    <t>BALANZA</t>
  </si>
  <si>
    <t>BALDE P/ PRUEBA HIDROSTATICA</t>
  </si>
  <si>
    <t>BANDEJA PORTA CABLE</t>
  </si>
  <si>
    <t>CAJA/TAPA DE PASE DE FIERRO (ALUMINIO)</t>
  </si>
  <si>
    <t>CAJA/TAPA DE PASE PLASTICO</t>
  </si>
  <si>
    <t>CALIBRADOR DE SOLDADURA</t>
  </si>
  <si>
    <t>CAMARA DIGITAL</t>
  </si>
  <si>
    <t>CANDADO</t>
  </si>
  <si>
    <t>CARRO DE CARGA</t>
  </si>
  <si>
    <t>CONTENEDOR</t>
  </si>
  <si>
    <t>EQUIPO DE ILUMINACION (ALUMB. PUBLICO)</t>
  </si>
  <si>
    <t>EQUIPO DE OXICORTE</t>
  </si>
  <si>
    <t>ESTOCA</t>
  </si>
  <si>
    <t>EXTRACTOR DE AIRE</t>
  </si>
  <si>
    <t>GABINETE</t>
  </si>
  <si>
    <t>GAS COMPRIMIDO</t>
  </si>
  <si>
    <t>GPS</t>
  </si>
  <si>
    <t>HORNO P/ ELECTRODO</t>
  </si>
  <si>
    <t>HUMEDOMETRO</t>
  </si>
  <si>
    <t>LUXOMETRO</t>
  </si>
  <si>
    <t>MALACATE</t>
  </si>
  <si>
    <t>MALLA DE SEGURIDAD</t>
  </si>
  <si>
    <t>MAYOLICA</t>
  </si>
  <si>
    <t>MEDIDOR DE FASES</t>
  </si>
  <si>
    <t>MESA/ESCRITORIO/ARCHIVADOR/ESTANTE</t>
  </si>
  <si>
    <t>MOTOBOMBA</t>
  </si>
  <si>
    <t>NIVEL OPTICO/ESTACION TOTAL/TEODOLITO</t>
  </si>
  <si>
    <t>PAÑO DE LIMPIEZA</t>
  </si>
  <si>
    <t>PERFIL</t>
  </si>
  <si>
    <t>PERTIGA/TIERRA TEMPORARIA</t>
  </si>
  <si>
    <t>RETROEXCAVADORA</t>
  </si>
  <si>
    <t>RODILLO</t>
  </si>
  <si>
    <t>ROMPEPAVIMENTO</t>
  </si>
  <si>
    <t>ROSCADORA ELECTRICA</t>
  </si>
  <si>
    <t>SOPORTERIA</t>
  </si>
  <si>
    <t>TANQUE DE AGUA</t>
  </si>
  <si>
    <t>TAPA METALICA</t>
  </si>
  <si>
    <t>TECLE ELECTRICO</t>
  </si>
  <si>
    <t>TELUROMETRO</t>
  </si>
  <si>
    <t>TERMOMETRO</t>
  </si>
  <si>
    <t>TIERRA TEMPORARIA</t>
  </si>
  <si>
    <t>TIRFOR</t>
  </si>
  <si>
    <t>TORQUIMETRO</t>
  </si>
  <si>
    <t xml:space="preserve">TRAJE DE PROTECCION ELECTRICO </t>
  </si>
  <si>
    <t>TRANSFORMADOR DE CORRIENTE</t>
  </si>
  <si>
    <t>TROLLEY</t>
  </si>
  <si>
    <t>TUBERIA CORRUGADA</t>
  </si>
  <si>
    <t>VIBRADOR DE CONCRETO</t>
  </si>
  <si>
    <t>VIBROAPISONADOR/PLANCHA COMPACTADORA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</si>
</sst>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S/.]#,##0.00"/>
    <numFmt numFmtId="165" formatCode="&quot;$&quot;#,##0.00"/>
  </numFmts>
  <fonts count="10">
    <font>
      <sz val="11.0"/>
      <color theme="1"/>
      <name val="Calibri"/>
      <scheme val="minor"/>
    </font>
    <font>
      <b/>
      <sz val="10.0"/>
      <color theme="0"/>
      <name val="Calibri"/>
    </font>
    <font>
      <b/>
      <sz val="10.0"/>
      <color rgb="FFFFFFFF"/>
      <name val="Calibri"/>
    </font>
    <font>
      <sz val="10.0"/>
      <color theme="1"/>
      <name val="Calibri"/>
    </font>
    <font>
      <sz val="10.0"/>
      <color rgb="FF000000"/>
      <name val="Calibri"/>
    </font>
    <font>
      <sz val="11.0"/>
      <color theme="1"/>
      <name val="Calibri"/>
    </font>
    <font>
      <sz val="10.0"/>
      <color rgb="FF000000"/>
      <name val="Arial"/>
    </font>
    <font>
      <sz val="11.0"/>
      <color rgb="FF000000"/>
      <name val="Calibri"/>
    </font>
    <font/>
    <font>
      <b/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 vertical="center"/>
    </xf>
    <xf borderId="1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3" numFmtId="46" xfId="0" applyAlignment="1" applyBorder="1" applyFont="1" applyNumberFormat="1">
      <alignment horizontal="center" vertical="center"/>
    </xf>
    <xf borderId="1" fillId="0" fontId="3" numFmtId="11" xfId="0" applyAlignment="1" applyBorder="1" applyFont="1" applyNumberForma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3" fontId="3" numFmtId="165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/>
    </xf>
    <xf borderId="1" fillId="3" fontId="3" numFmtId="164" xfId="0" applyAlignment="1" applyBorder="1" applyFont="1" applyNumberFormat="1">
      <alignment horizontal="center" vertical="center"/>
    </xf>
    <xf borderId="1" fillId="3" fontId="5" numFmtId="0" xfId="0" applyBorder="1" applyFont="1"/>
    <xf borderId="1" fillId="0" fontId="4" numFmtId="165" xfId="0" applyAlignment="1" applyBorder="1" applyFont="1" applyNumberFormat="1">
      <alignment horizontal="center"/>
    </xf>
    <xf borderId="1" fillId="0" fontId="6" numFmtId="165" xfId="0" applyAlignment="1" applyBorder="1" applyFont="1" applyNumberFormat="1">
      <alignment horizontal="center"/>
    </xf>
    <xf borderId="1" fillId="0" fontId="7" numFmtId="165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 readingOrder="0" vertical="center"/>
    </xf>
    <xf borderId="0" fillId="0" fontId="5" numFmtId="0" xfId="0" applyFont="1"/>
    <xf borderId="1" fillId="4" fontId="3" numFmtId="0" xfId="0" applyAlignment="1" applyBorder="1" applyFill="1" applyFont="1">
      <alignment horizontal="left" vertical="center"/>
    </xf>
    <xf borderId="1" fillId="0" fontId="5" numFmtId="0" xfId="0" applyAlignment="1" applyBorder="1" applyFont="1">
      <alignment horizontal="center"/>
    </xf>
    <xf borderId="2" fillId="2" fontId="1" numFmtId="0" xfId="0" applyAlignment="1" applyBorder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center"/>
    </xf>
    <xf borderId="1" fillId="2" fontId="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1.0"/>
    <col customWidth="1" min="3" max="3" width="64.29"/>
    <col customWidth="1" min="4" max="6" width="5.29"/>
    <col customWidth="1" min="7" max="7" width="11.29"/>
    <col customWidth="1" min="8" max="11" width="18.71"/>
    <col customWidth="1" min="12" max="12" width="16.29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</row>
    <row r="2" ht="12.75" customHeight="1">
      <c r="A2" s="4">
        <v>1.0</v>
      </c>
      <c r="B2" s="4" t="s">
        <v>13</v>
      </c>
      <c r="C2" s="5" t="s">
        <v>14</v>
      </c>
      <c r="D2" s="4"/>
      <c r="E2" s="4"/>
      <c r="F2" s="4" t="s">
        <v>15</v>
      </c>
      <c r="G2" s="6">
        <v>10.66</v>
      </c>
      <c r="H2" s="7" t="s">
        <v>16</v>
      </c>
      <c r="I2" s="4" t="s">
        <v>17</v>
      </c>
      <c r="J2" s="4" t="s">
        <v>18</v>
      </c>
      <c r="K2" s="8"/>
      <c r="L2" s="8" t="s">
        <v>19</v>
      </c>
      <c r="M2" s="9">
        <f t="shared" ref="M2:M3194" si="1">LEN(C2)</f>
        <v>34</v>
      </c>
    </row>
    <row r="3" ht="12.75" customHeight="1">
      <c r="A3" s="4">
        <f t="shared" ref="A3:A3194" si="2">A2+1</f>
        <v>2</v>
      </c>
      <c r="B3" s="4" t="s">
        <v>20</v>
      </c>
      <c r="C3" s="5" t="s">
        <v>21</v>
      </c>
      <c r="D3" s="4"/>
      <c r="E3" s="4"/>
      <c r="F3" s="4" t="s">
        <v>22</v>
      </c>
      <c r="G3" s="6">
        <v>8.11</v>
      </c>
      <c r="H3" s="7" t="s">
        <v>16</v>
      </c>
      <c r="I3" s="4" t="s">
        <v>17</v>
      </c>
      <c r="J3" s="4" t="s">
        <v>23</v>
      </c>
      <c r="K3" s="8"/>
      <c r="L3" s="8" t="s">
        <v>24</v>
      </c>
      <c r="M3" s="9">
        <f t="shared" si="1"/>
        <v>41</v>
      </c>
    </row>
    <row r="4" ht="12.75" customHeight="1">
      <c r="A4" s="4">
        <f t="shared" si="2"/>
        <v>3</v>
      </c>
      <c r="B4" s="4" t="s">
        <v>25</v>
      </c>
      <c r="C4" s="5" t="s">
        <v>26</v>
      </c>
      <c r="D4" s="4"/>
      <c r="E4" s="4"/>
      <c r="F4" s="4" t="s">
        <v>22</v>
      </c>
      <c r="G4" s="6">
        <v>7.43</v>
      </c>
      <c r="H4" s="7" t="s">
        <v>16</v>
      </c>
      <c r="I4" s="4" t="s">
        <v>17</v>
      </c>
      <c r="J4" s="4" t="s">
        <v>23</v>
      </c>
      <c r="K4" s="8"/>
      <c r="L4" s="8" t="s">
        <v>27</v>
      </c>
      <c r="M4" s="9">
        <f t="shared" si="1"/>
        <v>53</v>
      </c>
    </row>
    <row r="5" ht="12.75" customHeight="1">
      <c r="A5" s="4">
        <f t="shared" si="2"/>
        <v>4</v>
      </c>
      <c r="B5" s="4" t="s">
        <v>28</v>
      </c>
      <c r="C5" s="5" t="s">
        <v>29</v>
      </c>
      <c r="D5" s="4"/>
      <c r="E5" s="4"/>
      <c r="F5" s="4" t="s">
        <v>22</v>
      </c>
      <c r="G5" s="6">
        <v>7.43</v>
      </c>
      <c r="H5" s="7" t="s">
        <v>16</v>
      </c>
      <c r="I5" s="4" t="s">
        <v>17</v>
      </c>
      <c r="J5" s="4" t="s">
        <v>23</v>
      </c>
      <c r="K5" s="8"/>
      <c r="L5" s="8" t="s">
        <v>27</v>
      </c>
      <c r="M5" s="9">
        <f t="shared" si="1"/>
        <v>54</v>
      </c>
    </row>
    <row r="6" ht="12.75" customHeight="1">
      <c r="A6" s="4">
        <f t="shared" si="2"/>
        <v>5</v>
      </c>
      <c r="B6" s="4" t="s">
        <v>30</v>
      </c>
      <c r="C6" s="5" t="s">
        <v>31</v>
      </c>
      <c r="D6" s="4"/>
      <c r="E6" s="4"/>
      <c r="F6" s="4" t="s">
        <v>22</v>
      </c>
      <c r="G6" s="6">
        <v>33.78</v>
      </c>
      <c r="H6" s="7" t="s">
        <v>16</v>
      </c>
      <c r="I6" s="4" t="s">
        <v>17</v>
      </c>
      <c r="J6" s="4" t="s">
        <v>32</v>
      </c>
      <c r="K6" s="8"/>
      <c r="L6" s="8" t="s">
        <v>33</v>
      </c>
      <c r="M6" s="9">
        <f t="shared" si="1"/>
        <v>49</v>
      </c>
    </row>
    <row r="7" ht="12.75" customHeight="1">
      <c r="A7" s="4">
        <f t="shared" si="2"/>
        <v>6</v>
      </c>
      <c r="B7" s="4" t="s">
        <v>34</v>
      </c>
      <c r="C7" s="5" t="s">
        <v>35</v>
      </c>
      <c r="D7" s="4"/>
      <c r="E7" s="4"/>
      <c r="F7" s="4" t="s">
        <v>22</v>
      </c>
      <c r="G7" s="6">
        <v>75.68</v>
      </c>
      <c r="H7" s="7" t="s">
        <v>16</v>
      </c>
      <c r="I7" s="4" t="s">
        <v>17</v>
      </c>
      <c r="J7" s="4" t="s">
        <v>32</v>
      </c>
      <c r="K7" s="8"/>
      <c r="L7" s="8" t="s">
        <v>36</v>
      </c>
      <c r="M7" s="9">
        <f t="shared" si="1"/>
        <v>57</v>
      </c>
    </row>
    <row r="8" ht="12.75" customHeight="1">
      <c r="A8" s="4">
        <f t="shared" si="2"/>
        <v>7</v>
      </c>
      <c r="B8" s="4" t="s">
        <v>37</v>
      </c>
      <c r="C8" s="5" t="s">
        <v>38</v>
      </c>
      <c r="D8" s="4"/>
      <c r="E8" s="4"/>
      <c r="F8" s="4" t="s">
        <v>22</v>
      </c>
      <c r="G8" s="6">
        <v>407.0</v>
      </c>
      <c r="H8" s="7" t="s">
        <v>16</v>
      </c>
      <c r="I8" s="4" t="s">
        <v>17</v>
      </c>
      <c r="J8" s="4" t="s">
        <v>18</v>
      </c>
      <c r="K8" s="8"/>
      <c r="L8" s="8" t="s">
        <v>39</v>
      </c>
      <c r="M8" s="9">
        <f t="shared" si="1"/>
        <v>21</v>
      </c>
    </row>
    <row r="9" ht="12.75" customHeight="1">
      <c r="A9" s="4">
        <f t="shared" si="2"/>
        <v>8</v>
      </c>
      <c r="B9" s="4" t="s">
        <v>40</v>
      </c>
      <c r="C9" s="5" t="s">
        <v>41</v>
      </c>
      <c r="D9" s="4"/>
      <c r="E9" s="4"/>
      <c r="F9" s="4" t="s">
        <v>22</v>
      </c>
      <c r="G9" s="6">
        <v>0.32</v>
      </c>
      <c r="H9" s="7" t="s">
        <v>16</v>
      </c>
      <c r="I9" s="4" t="s">
        <v>17</v>
      </c>
      <c r="J9" s="4" t="s">
        <v>42</v>
      </c>
      <c r="K9" s="8"/>
      <c r="L9" s="8" t="s">
        <v>33</v>
      </c>
      <c r="M9" s="9">
        <f t="shared" si="1"/>
        <v>44</v>
      </c>
    </row>
    <row r="10" ht="12.75" customHeight="1">
      <c r="A10" s="4">
        <f t="shared" si="2"/>
        <v>9</v>
      </c>
      <c r="B10" s="4" t="s">
        <v>43</v>
      </c>
      <c r="C10" s="5" t="s">
        <v>44</v>
      </c>
      <c r="D10" s="4"/>
      <c r="E10" s="4"/>
      <c r="F10" s="4" t="s">
        <v>22</v>
      </c>
      <c r="G10" s="6">
        <v>12.99</v>
      </c>
      <c r="H10" s="7" t="s">
        <v>16</v>
      </c>
      <c r="I10" s="4" t="s">
        <v>17</v>
      </c>
      <c r="J10" s="4" t="s">
        <v>45</v>
      </c>
      <c r="K10" s="8"/>
      <c r="L10" s="8" t="s">
        <v>33</v>
      </c>
      <c r="M10" s="9">
        <f t="shared" si="1"/>
        <v>57</v>
      </c>
    </row>
    <row r="11" ht="12.75" customHeight="1">
      <c r="A11" s="4">
        <f t="shared" si="2"/>
        <v>10</v>
      </c>
      <c r="B11" s="4" t="s">
        <v>46</v>
      </c>
      <c r="C11" s="5" t="s">
        <v>47</v>
      </c>
      <c r="D11" s="4"/>
      <c r="E11" s="4"/>
      <c r="F11" s="4" t="s">
        <v>22</v>
      </c>
      <c r="G11" s="6">
        <v>12.99</v>
      </c>
      <c r="H11" s="7" t="s">
        <v>16</v>
      </c>
      <c r="I11" s="4" t="s">
        <v>17</v>
      </c>
      <c r="J11" s="4" t="s">
        <v>45</v>
      </c>
      <c r="K11" s="8"/>
      <c r="L11" s="8" t="s">
        <v>33</v>
      </c>
      <c r="M11" s="9">
        <f t="shared" si="1"/>
        <v>57</v>
      </c>
    </row>
    <row r="12" ht="12.75" customHeight="1">
      <c r="A12" s="4">
        <f t="shared" si="2"/>
        <v>11</v>
      </c>
      <c r="B12" s="4" t="s">
        <v>48</v>
      </c>
      <c r="C12" s="5" t="s">
        <v>49</v>
      </c>
      <c r="D12" s="4"/>
      <c r="E12" s="4"/>
      <c r="F12" s="4" t="s">
        <v>22</v>
      </c>
      <c r="G12" s="6">
        <v>12.99</v>
      </c>
      <c r="H12" s="7" t="s">
        <v>16</v>
      </c>
      <c r="I12" s="4" t="s">
        <v>17</v>
      </c>
      <c r="J12" s="4" t="s">
        <v>45</v>
      </c>
      <c r="K12" s="8"/>
      <c r="L12" s="8" t="s">
        <v>33</v>
      </c>
      <c r="M12" s="9">
        <f t="shared" si="1"/>
        <v>57</v>
      </c>
    </row>
    <row r="13" ht="12.75" customHeight="1">
      <c r="A13" s="4">
        <f t="shared" si="2"/>
        <v>12</v>
      </c>
      <c r="B13" s="4" t="s">
        <v>50</v>
      </c>
      <c r="C13" s="5" t="s">
        <v>51</v>
      </c>
      <c r="D13" s="4"/>
      <c r="E13" s="4"/>
      <c r="F13" s="4" t="s">
        <v>22</v>
      </c>
      <c r="G13" s="6">
        <v>12.99</v>
      </c>
      <c r="H13" s="7" t="s">
        <v>16</v>
      </c>
      <c r="I13" s="4" t="s">
        <v>17</v>
      </c>
      <c r="J13" s="4" t="s">
        <v>45</v>
      </c>
      <c r="K13" s="8"/>
      <c r="L13" s="8" t="s">
        <v>33</v>
      </c>
      <c r="M13" s="9">
        <f t="shared" si="1"/>
        <v>58</v>
      </c>
    </row>
    <row r="14" ht="12.75" customHeight="1">
      <c r="A14" s="4">
        <f t="shared" si="2"/>
        <v>13</v>
      </c>
      <c r="B14" s="4" t="s">
        <v>52</v>
      </c>
      <c r="C14" s="5" t="s">
        <v>53</v>
      </c>
      <c r="D14" s="4"/>
      <c r="E14" s="4"/>
      <c r="F14" s="4" t="s">
        <v>15</v>
      </c>
      <c r="G14" s="6">
        <v>59.1</v>
      </c>
      <c r="H14" s="7" t="s">
        <v>16</v>
      </c>
      <c r="I14" s="4" t="s">
        <v>17</v>
      </c>
      <c r="J14" s="4" t="s">
        <v>54</v>
      </c>
      <c r="K14" s="8"/>
      <c r="L14" s="8" t="s">
        <v>33</v>
      </c>
      <c r="M14" s="9">
        <f t="shared" si="1"/>
        <v>51</v>
      </c>
    </row>
    <row r="15" ht="12.75" customHeight="1">
      <c r="A15" s="4">
        <f t="shared" si="2"/>
        <v>14</v>
      </c>
      <c r="B15" s="4" t="s">
        <v>55</v>
      </c>
      <c r="C15" s="5" t="s">
        <v>56</v>
      </c>
      <c r="D15" s="4"/>
      <c r="E15" s="4"/>
      <c r="F15" s="4" t="s">
        <v>15</v>
      </c>
      <c r="G15" s="6">
        <v>59.1</v>
      </c>
      <c r="H15" s="7" t="s">
        <v>16</v>
      </c>
      <c r="I15" s="4" t="s">
        <v>17</v>
      </c>
      <c r="J15" s="4" t="s">
        <v>54</v>
      </c>
      <c r="K15" s="8"/>
      <c r="L15" s="8" t="s">
        <v>33</v>
      </c>
      <c r="M15" s="9">
        <f t="shared" si="1"/>
        <v>51</v>
      </c>
    </row>
    <row r="16" ht="12.75" customHeight="1">
      <c r="A16" s="4">
        <f t="shared" si="2"/>
        <v>15</v>
      </c>
      <c r="B16" s="4" t="s">
        <v>57</v>
      </c>
      <c r="C16" s="5" t="s">
        <v>58</v>
      </c>
      <c r="D16" s="4"/>
      <c r="E16" s="4"/>
      <c r="F16" s="4" t="s">
        <v>15</v>
      </c>
      <c r="G16" s="6">
        <v>59.1</v>
      </c>
      <c r="H16" s="7" t="s">
        <v>16</v>
      </c>
      <c r="I16" s="4" t="s">
        <v>17</v>
      </c>
      <c r="J16" s="4" t="s">
        <v>54</v>
      </c>
      <c r="K16" s="8"/>
      <c r="L16" s="8" t="s">
        <v>33</v>
      </c>
      <c r="M16" s="9">
        <f t="shared" si="1"/>
        <v>51</v>
      </c>
    </row>
    <row r="17" ht="12.75" customHeight="1">
      <c r="A17" s="4">
        <f t="shared" si="2"/>
        <v>16</v>
      </c>
      <c r="B17" s="4" t="s">
        <v>59</v>
      </c>
      <c r="C17" s="5" t="s">
        <v>60</v>
      </c>
      <c r="D17" s="4"/>
      <c r="E17" s="4"/>
      <c r="F17" s="4" t="s">
        <v>15</v>
      </c>
      <c r="G17" s="6">
        <v>59.1</v>
      </c>
      <c r="H17" s="7" t="s">
        <v>16</v>
      </c>
      <c r="I17" s="4" t="s">
        <v>17</v>
      </c>
      <c r="J17" s="4" t="s">
        <v>54</v>
      </c>
      <c r="K17" s="8"/>
      <c r="L17" s="8" t="s">
        <v>33</v>
      </c>
      <c r="M17" s="9">
        <f t="shared" si="1"/>
        <v>51</v>
      </c>
    </row>
    <row r="18" ht="12.75" customHeight="1">
      <c r="A18" s="4">
        <f t="shared" si="2"/>
        <v>17</v>
      </c>
      <c r="B18" s="4" t="s">
        <v>61</v>
      </c>
      <c r="C18" s="5" t="s">
        <v>62</v>
      </c>
      <c r="D18" s="4"/>
      <c r="E18" s="4"/>
      <c r="F18" s="4" t="s">
        <v>15</v>
      </c>
      <c r="G18" s="6">
        <v>59.1</v>
      </c>
      <c r="H18" s="7" t="s">
        <v>16</v>
      </c>
      <c r="I18" s="4" t="s">
        <v>17</v>
      </c>
      <c r="J18" s="4" t="s">
        <v>54</v>
      </c>
      <c r="K18" s="8"/>
      <c r="L18" s="8" t="s">
        <v>33</v>
      </c>
      <c r="M18" s="9">
        <f t="shared" si="1"/>
        <v>51</v>
      </c>
    </row>
    <row r="19" ht="12.75" customHeight="1">
      <c r="A19" s="4">
        <f t="shared" si="2"/>
        <v>18</v>
      </c>
      <c r="B19" s="4" t="s">
        <v>63</v>
      </c>
      <c r="C19" s="5" t="s">
        <v>64</v>
      </c>
      <c r="D19" s="4"/>
      <c r="E19" s="4"/>
      <c r="F19" s="4" t="s">
        <v>15</v>
      </c>
      <c r="G19" s="6">
        <v>59.1</v>
      </c>
      <c r="H19" s="7" t="s">
        <v>16</v>
      </c>
      <c r="I19" s="4" t="s">
        <v>17</v>
      </c>
      <c r="J19" s="4" t="s">
        <v>54</v>
      </c>
      <c r="K19" s="8"/>
      <c r="L19" s="8" t="s">
        <v>33</v>
      </c>
      <c r="M19" s="9">
        <f t="shared" si="1"/>
        <v>51</v>
      </c>
    </row>
    <row r="20" ht="12.75" customHeight="1">
      <c r="A20" s="4">
        <f t="shared" si="2"/>
        <v>19</v>
      </c>
      <c r="B20" s="4" t="s">
        <v>65</v>
      </c>
      <c r="C20" s="5" t="s">
        <v>66</v>
      </c>
      <c r="D20" s="4"/>
      <c r="E20" s="4"/>
      <c r="F20" s="4" t="s">
        <v>15</v>
      </c>
      <c r="G20" s="6">
        <v>59.1</v>
      </c>
      <c r="H20" s="7" t="s">
        <v>16</v>
      </c>
      <c r="I20" s="4" t="s">
        <v>17</v>
      </c>
      <c r="J20" s="4" t="s">
        <v>54</v>
      </c>
      <c r="K20" s="8"/>
      <c r="L20" s="8" t="s">
        <v>33</v>
      </c>
      <c r="M20" s="9">
        <f t="shared" si="1"/>
        <v>51</v>
      </c>
    </row>
    <row r="21" ht="12.75" customHeight="1">
      <c r="A21" s="4">
        <f t="shared" si="2"/>
        <v>20</v>
      </c>
      <c r="B21" s="4" t="s">
        <v>67</v>
      </c>
      <c r="C21" s="5" t="s">
        <v>68</v>
      </c>
      <c r="D21" s="4"/>
      <c r="E21" s="4"/>
      <c r="F21" s="4" t="s">
        <v>15</v>
      </c>
      <c r="G21" s="6">
        <v>16.11</v>
      </c>
      <c r="H21" s="7" t="s">
        <v>16</v>
      </c>
      <c r="I21" s="4" t="s">
        <v>17</v>
      </c>
      <c r="J21" s="4" t="s">
        <v>54</v>
      </c>
      <c r="K21" s="8"/>
      <c r="L21" s="8" t="s">
        <v>33</v>
      </c>
      <c r="M21" s="9">
        <f t="shared" si="1"/>
        <v>59</v>
      </c>
    </row>
    <row r="22" ht="12.75" customHeight="1">
      <c r="A22" s="4">
        <f t="shared" si="2"/>
        <v>21</v>
      </c>
      <c r="B22" s="4" t="s">
        <v>69</v>
      </c>
      <c r="C22" s="5" t="s">
        <v>70</v>
      </c>
      <c r="D22" s="4"/>
      <c r="E22" s="4"/>
      <c r="F22" s="4" t="s">
        <v>15</v>
      </c>
      <c r="G22" s="6">
        <v>16.11</v>
      </c>
      <c r="H22" s="7" t="s">
        <v>16</v>
      </c>
      <c r="I22" s="4" t="s">
        <v>17</v>
      </c>
      <c r="J22" s="4" t="s">
        <v>54</v>
      </c>
      <c r="K22" s="8"/>
      <c r="L22" s="8" t="s">
        <v>33</v>
      </c>
      <c r="M22" s="9">
        <f t="shared" si="1"/>
        <v>59</v>
      </c>
    </row>
    <row r="23" ht="12.75" customHeight="1">
      <c r="A23" s="4">
        <f t="shared" si="2"/>
        <v>22</v>
      </c>
      <c r="B23" s="4" t="s">
        <v>71</v>
      </c>
      <c r="C23" s="5" t="s">
        <v>72</v>
      </c>
      <c r="D23" s="4"/>
      <c r="E23" s="4"/>
      <c r="F23" s="4" t="s">
        <v>15</v>
      </c>
      <c r="G23" s="6">
        <v>16.11</v>
      </c>
      <c r="H23" s="7" t="s">
        <v>16</v>
      </c>
      <c r="I23" s="4" t="s">
        <v>17</v>
      </c>
      <c r="J23" s="4" t="s">
        <v>54</v>
      </c>
      <c r="K23" s="8"/>
      <c r="L23" s="8" t="s">
        <v>33</v>
      </c>
      <c r="M23" s="9">
        <f t="shared" si="1"/>
        <v>59</v>
      </c>
    </row>
    <row r="24" ht="12.75" customHeight="1">
      <c r="A24" s="4">
        <f t="shared" si="2"/>
        <v>23</v>
      </c>
      <c r="B24" s="4" t="s">
        <v>73</v>
      </c>
      <c r="C24" s="5" t="s">
        <v>74</v>
      </c>
      <c r="D24" s="4"/>
      <c r="E24" s="4"/>
      <c r="F24" s="4" t="s">
        <v>15</v>
      </c>
      <c r="G24" s="6">
        <v>16.11</v>
      </c>
      <c r="H24" s="7" t="s">
        <v>16</v>
      </c>
      <c r="I24" s="4" t="s">
        <v>17</v>
      </c>
      <c r="J24" s="4" t="s">
        <v>54</v>
      </c>
      <c r="K24" s="8"/>
      <c r="L24" s="8" t="s">
        <v>33</v>
      </c>
      <c r="M24" s="9">
        <f t="shared" si="1"/>
        <v>59</v>
      </c>
    </row>
    <row r="25" ht="12.75" customHeight="1">
      <c r="A25" s="4">
        <f t="shared" si="2"/>
        <v>24</v>
      </c>
      <c r="B25" s="4" t="s">
        <v>75</v>
      </c>
      <c r="C25" s="5" t="s">
        <v>76</v>
      </c>
      <c r="D25" s="4"/>
      <c r="E25" s="4"/>
      <c r="F25" s="4" t="s">
        <v>15</v>
      </c>
      <c r="G25" s="6">
        <v>16.11</v>
      </c>
      <c r="H25" s="7" t="s">
        <v>16</v>
      </c>
      <c r="I25" s="4" t="s">
        <v>17</v>
      </c>
      <c r="J25" s="4" t="s">
        <v>54</v>
      </c>
      <c r="K25" s="8"/>
      <c r="L25" s="8" t="s">
        <v>33</v>
      </c>
      <c r="M25" s="9">
        <f t="shared" si="1"/>
        <v>59</v>
      </c>
    </row>
    <row r="26" ht="12.75" customHeight="1">
      <c r="A26" s="4">
        <f t="shared" si="2"/>
        <v>25</v>
      </c>
      <c r="B26" s="4" t="s">
        <v>77</v>
      </c>
      <c r="C26" s="5" t="s">
        <v>78</v>
      </c>
      <c r="D26" s="4"/>
      <c r="E26" s="4"/>
      <c r="F26" s="4" t="s">
        <v>15</v>
      </c>
      <c r="G26" s="6">
        <v>16.11</v>
      </c>
      <c r="H26" s="7" t="s">
        <v>16</v>
      </c>
      <c r="I26" s="4" t="s">
        <v>17</v>
      </c>
      <c r="J26" s="4" t="s">
        <v>54</v>
      </c>
      <c r="K26" s="8"/>
      <c r="L26" s="8" t="s">
        <v>33</v>
      </c>
      <c r="M26" s="9">
        <f t="shared" si="1"/>
        <v>59</v>
      </c>
    </row>
    <row r="27" ht="12.75" customHeight="1">
      <c r="A27" s="4">
        <f t="shared" si="2"/>
        <v>26</v>
      </c>
      <c r="B27" s="4" t="s">
        <v>79</v>
      </c>
      <c r="C27" s="5" t="s">
        <v>80</v>
      </c>
      <c r="D27" s="4"/>
      <c r="E27" s="4"/>
      <c r="F27" s="4" t="s">
        <v>15</v>
      </c>
      <c r="G27" s="6">
        <v>16.11</v>
      </c>
      <c r="H27" s="7" t="s">
        <v>16</v>
      </c>
      <c r="I27" s="4" t="s">
        <v>17</v>
      </c>
      <c r="J27" s="4" t="s">
        <v>54</v>
      </c>
      <c r="K27" s="8"/>
      <c r="L27" s="8" t="s">
        <v>33</v>
      </c>
      <c r="M27" s="9">
        <f t="shared" si="1"/>
        <v>59</v>
      </c>
    </row>
    <row r="28" ht="12.75" customHeight="1">
      <c r="A28" s="4">
        <f t="shared" si="2"/>
        <v>27</v>
      </c>
      <c r="B28" s="4" t="s">
        <v>81</v>
      </c>
      <c r="C28" s="5" t="s">
        <v>82</v>
      </c>
      <c r="D28" s="4"/>
      <c r="E28" s="4"/>
      <c r="F28" s="4" t="s">
        <v>15</v>
      </c>
      <c r="G28" s="6">
        <v>17.91</v>
      </c>
      <c r="H28" s="7" t="s">
        <v>16</v>
      </c>
      <c r="I28" s="4" t="s">
        <v>17</v>
      </c>
      <c r="J28" s="4" t="s">
        <v>54</v>
      </c>
      <c r="K28" s="8"/>
      <c r="L28" s="8" t="s">
        <v>33</v>
      </c>
      <c r="M28" s="9">
        <f t="shared" si="1"/>
        <v>56</v>
      </c>
    </row>
    <row r="29" ht="12.75" customHeight="1">
      <c r="A29" s="4">
        <f t="shared" si="2"/>
        <v>28</v>
      </c>
      <c r="B29" s="4" t="s">
        <v>83</v>
      </c>
      <c r="C29" s="5" t="s">
        <v>84</v>
      </c>
      <c r="D29" s="4"/>
      <c r="E29" s="4"/>
      <c r="F29" s="4" t="s">
        <v>15</v>
      </c>
      <c r="G29" s="6">
        <v>17.91</v>
      </c>
      <c r="H29" s="7" t="s">
        <v>16</v>
      </c>
      <c r="I29" s="4" t="s">
        <v>17</v>
      </c>
      <c r="J29" s="4" t="s">
        <v>54</v>
      </c>
      <c r="K29" s="8"/>
      <c r="L29" s="8" t="s">
        <v>33</v>
      </c>
      <c r="M29" s="9">
        <f t="shared" si="1"/>
        <v>56</v>
      </c>
    </row>
    <row r="30" ht="12.75" customHeight="1">
      <c r="A30" s="4">
        <f t="shared" si="2"/>
        <v>29</v>
      </c>
      <c r="B30" s="4" t="s">
        <v>85</v>
      </c>
      <c r="C30" s="5" t="s">
        <v>86</v>
      </c>
      <c r="D30" s="4"/>
      <c r="E30" s="4"/>
      <c r="F30" s="4" t="s">
        <v>15</v>
      </c>
      <c r="G30" s="6">
        <v>17.91</v>
      </c>
      <c r="H30" s="7" t="s">
        <v>16</v>
      </c>
      <c r="I30" s="4" t="s">
        <v>17</v>
      </c>
      <c r="J30" s="4" t="s">
        <v>54</v>
      </c>
      <c r="K30" s="8"/>
      <c r="L30" s="8" t="s">
        <v>33</v>
      </c>
      <c r="M30" s="9">
        <f t="shared" si="1"/>
        <v>56</v>
      </c>
    </row>
    <row r="31" ht="12.75" customHeight="1">
      <c r="A31" s="4">
        <f t="shared" si="2"/>
        <v>30</v>
      </c>
      <c r="B31" s="4" t="s">
        <v>87</v>
      </c>
      <c r="C31" s="5" t="s">
        <v>88</v>
      </c>
      <c r="D31" s="4"/>
      <c r="E31" s="4"/>
      <c r="F31" s="4" t="s">
        <v>15</v>
      </c>
      <c r="G31" s="6">
        <v>17.91</v>
      </c>
      <c r="H31" s="7" t="s">
        <v>16</v>
      </c>
      <c r="I31" s="4" t="s">
        <v>17</v>
      </c>
      <c r="J31" s="4" t="s">
        <v>54</v>
      </c>
      <c r="K31" s="8"/>
      <c r="L31" s="8" t="s">
        <v>33</v>
      </c>
      <c r="M31" s="9">
        <f t="shared" si="1"/>
        <v>56</v>
      </c>
    </row>
    <row r="32" ht="12.75" customHeight="1">
      <c r="A32" s="4">
        <f t="shared" si="2"/>
        <v>31</v>
      </c>
      <c r="B32" s="4" t="s">
        <v>89</v>
      </c>
      <c r="C32" s="5" t="s">
        <v>90</v>
      </c>
      <c r="D32" s="4"/>
      <c r="E32" s="4"/>
      <c r="F32" s="4" t="s">
        <v>15</v>
      </c>
      <c r="G32" s="6">
        <v>17.91</v>
      </c>
      <c r="H32" s="7" t="s">
        <v>16</v>
      </c>
      <c r="I32" s="4" t="s">
        <v>17</v>
      </c>
      <c r="J32" s="4" t="s">
        <v>54</v>
      </c>
      <c r="K32" s="8"/>
      <c r="L32" s="8" t="s">
        <v>33</v>
      </c>
      <c r="M32" s="9">
        <f t="shared" si="1"/>
        <v>56</v>
      </c>
    </row>
    <row r="33" ht="12.75" customHeight="1">
      <c r="A33" s="4">
        <f t="shared" si="2"/>
        <v>32</v>
      </c>
      <c r="B33" s="4" t="s">
        <v>91</v>
      </c>
      <c r="C33" s="5" t="s">
        <v>92</v>
      </c>
      <c r="D33" s="4"/>
      <c r="E33" s="4"/>
      <c r="F33" s="4" t="s">
        <v>15</v>
      </c>
      <c r="G33" s="6">
        <v>17.91</v>
      </c>
      <c r="H33" s="7" t="s">
        <v>16</v>
      </c>
      <c r="I33" s="4" t="s">
        <v>17</v>
      </c>
      <c r="J33" s="4" t="s">
        <v>54</v>
      </c>
      <c r="K33" s="8"/>
      <c r="L33" s="8" t="s">
        <v>33</v>
      </c>
      <c r="M33" s="9">
        <f t="shared" si="1"/>
        <v>56</v>
      </c>
    </row>
    <row r="34" ht="12.75" customHeight="1">
      <c r="A34" s="4">
        <f t="shared" si="2"/>
        <v>33</v>
      </c>
      <c r="B34" s="4" t="s">
        <v>93</v>
      </c>
      <c r="C34" s="5" t="s">
        <v>94</v>
      </c>
      <c r="D34" s="4"/>
      <c r="E34" s="4"/>
      <c r="F34" s="4" t="s">
        <v>15</v>
      </c>
      <c r="G34" s="6">
        <v>17.91</v>
      </c>
      <c r="H34" s="7" t="s">
        <v>16</v>
      </c>
      <c r="I34" s="4" t="s">
        <v>17</v>
      </c>
      <c r="J34" s="4" t="s">
        <v>54</v>
      </c>
      <c r="K34" s="8"/>
      <c r="L34" s="8" t="s">
        <v>33</v>
      </c>
      <c r="M34" s="9">
        <f t="shared" si="1"/>
        <v>56</v>
      </c>
    </row>
    <row r="35" ht="12.75" customHeight="1">
      <c r="A35" s="4">
        <f t="shared" si="2"/>
        <v>34</v>
      </c>
      <c r="B35" s="4" t="s">
        <v>95</v>
      </c>
      <c r="C35" s="5" t="s">
        <v>96</v>
      </c>
      <c r="D35" s="4"/>
      <c r="E35" s="4"/>
      <c r="F35" s="4" t="s">
        <v>15</v>
      </c>
      <c r="G35" s="6">
        <v>37.58</v>
      </c>
      <c r="H35" s="7" t="s">
        <v>16</v>
      </c>
      <c r="I35" s="4" t="s">
        <v>17</v>
      </c>
      <c r="J35" s="4" t="s">
        <v>54</v>
      </c>
      <c r="K35" s="8"/>
      <c r="L35" s="8" t="s">
        <v>33</v>
      </c>
      <c r="M35" s="9">
        <f t="shared" si="1"/>
        <v>73</v>
      </c>
    </row>
    <row r="36" ht="12.75" customHeight="1">
      <c r="A36" s="4">
        <f t="shared" si="2"/>
        <v>35</v>
      </c>
      <c r="B36" s="4" t="s">
        <v>97</v>
      </c>
      <c r="C36" s="5" t="s">
        <v>98</v>
      </c>
      <c r="D36" s="4"/>
      <c r="E36" s="4"/>
      <c r="F36" s="4" t="s">
        <v>15</v>
      </c>
      <c r="G36" s="6">
        <v>37.58</v>
      </c>
      <c r="H36" s="7" t="s">
        <v>16</v>
      </c>
      <c r="I36" s="4" t="s">
        <v>17</v>
      </c>
      <c r="J36" s="4" t="s">
        <v>54</v>
      </c>
      <c r="K36" s="8"/>
      <c r="L36" s="8" t="s">
        <v>33</v>
      </c>
      <c r="M36" s="9">
        <f t="shared" si="1"/>
        <v>73</v>
      </c>
    </row>
    <row r="37" ht="12.75" customHeight="1">
      <c r="A37" s="4">
        <f t="shared" si="2"/>
        <v>36</v>
      </c>
      <c r="B37" s="4" t="s">
        <v>99</v>
      </c>
      <c r="C37" s="5" t="s">
        <v>100</v>
      </c>
      <c r="D37" s="4"/>
      <c r="E37" s="4"/>
      <c r="F37" s="4" t="s">
        <v>15</v>
      </c>
      <c r="G37" s="6">
        <v>37.58</v>
      </c>
      <c r="H37" s="7" t="s">
        <v>16</v>
      </c>
      <c r="I37" s="4" t="s">
        <v>17</v>
      </c>
      <c r="J37" s="4" t="s">
        <v>54</v>
      </c>
      <c r="K37" s="8"/>
      <c r="L37" s="8" t="s">
        <v>33</v>
      </c>
      <c r="M37" s="9">
        <f t="shared" si="1"/>
        <v>73</v>
      </c>
    </row>
    <row r="38" ht="12.75" customHeight="1">
      <c r="A38" s="4">
        <f t="shared" si="2"/>
        <v>37</v>
      </c>
      <c r="B38" s="4" t="s">
        <v>101</v>
      </c>
      <c r="C38" s="5" t="s">
        <v>102</v>
      </c>
      <c r="D38" s="4"/>
      <c r="E38" s="4"/>
      <c r="F38" s="4" t="s">
        <v>15</v>
      </c>
      <c r="G38" s="6">
        <v>37.58</v>
      </c>
      <c r="H38" s="7" t="s">
        <v>16</v>
      </c>
      <c r="I38" s="4" t="s">
        <v>17</v>
      </c>
      <c r="J38" s="4" t="s">
        <v>54</v>
      </c>
      <c r="K38" s="8"/>
      <c r="L38" s="8" t="s">
        <v>33</v>
      </c>
      <c r="M38" s="9">
        <f t="shared" si="1"/>
        <v>73</v>
      </c>
    </row>
    <row r="39" ht="12.75" customHeight="1">
      <c r="A39" s="4">
        <f t="shared" si="2"/>
        <v>38</v>
      </c>
      <c r="B39" s="4" t="s">
        <v>103</v>
      </c>
      <c r="C39" s="5" t="s">
        <v>104</v>
      </c>
      <c r="D39" s="4"/>
      <c r="E39" s="4"/>
      <c r="F39" s="4" t="s">
        <v>15</v>
      </c>
      <c r="G39" s="6">
        <v>37.58</v>
      </c>
      <c r="H39" s="7" t="s">
        <v>16</v>
      </c>
      <c r="I39" s="4" t="s">
        <v>17</v>
      </c>
      <c r="J39" s="4" t="s">
        <v>54</v>
      </c>
      <c r="K39" s="8"/>
      <c r="L39" s="8" t="s">
        <v>33</v>
      </c>
      <c r="M39" s="9">
        <f t="shared" si="1"/>
        <v>73</v>
      </c>
    </row>
    <row r="40" ht="12.75" customHeight="1">
      <c r="A40" s="4">
        <f t="shared" si="2"/>
        <v>39</v>
      </c>
      <c r="B40" s="4" t="s">
        <v>105</v>
      </c>
      <c r="C40" s="5" t="s">
        <v>106</v>
      </c>
      <c r="D40" s="4"/>
      <c r="E40" s="4"/>
      <c r="F40" s="4" t="s">
        <v>15</v>
      </c>
      <c r="G40" s="6">
        <v>37.58</v>
      </c>
      <c r="H40" s="7" t="s">
        <v>16</v>
      </c>
      <c r="I40" s="4" t="s">
        <v>17</v>
      </c>
      <c r="J40" s="4" t="s">
        <v>54</v>
      </c>
      <c r="K40" s="8"/>
      <c r="L40" s="8" t="s">
        <v>33</v>
      </c>
      <c r="M40" s="9">
        <f t="shared" si="1"/>
        <v>73</v>
      </c>
    </row>
    <row r="41" ht="12.75" customHeight="1">
      <c r="A41" s="4">
        <f t="shared" si="2"/>
        <v>40</v>
      </c>
      <c r="B41" s="4" t="s">
        <v>107</v>
      </c>
      <c r="C41" s="5" t="s">
        <v>108</v>
      </c>
      <c r="D41" s="4"/>
      <c r="E41" s="4"/>
      <c r="F41" s="4" t="s">
        <v>15</v>
      </c>
      <c r="G41" s="6">
        <v>37.58</v>
      </c>
      <c r="H41" s="7" t="s">
        <v>16</v>
      </c>
      <c r="I41" s="4" t="s">
        <v>17</v>
      </c>
      <c r="J41" s="4" t="s">
        <v>54</v>
      </c>
      <c r="K41" s="8"/>
      <c r="L41" s="8" t="s">
        <v>33</v>
      </c>
      <c r="M41" s="9">
        <f t="shared" si="1"/>
        <v>73</v>
      </c>
    </row>
    <row r="42" ht="12.75" customHeight="1">
      <c r="A42" s="4">
        <f t="shared" si="2"/>
        <v>41</v>
      </c>
      <c r="B42" s="4" t="s">
        <v>109</v>
      </c>
      <c r="C42" s="5" t="s">
        <v>110</v>
      </c>
      <c r="D42" s="4"/>
      <c r="E42" s="4"/>
      <c r="F42" s="4" t="s">
        <v>15</v>
      </c>
      <c r="G42" s="6">
        <v>37.58</v>
      </c>
      <c r="H42" s="7" t="s">
        <v>16</v>
      </c>
      <c r="I42" s="4" t="s">
        <v>17</v>
      </c>
      <c r="J42" s="4" t="s">
        <v>54</v>
      </c>
      <c r="K42" s="8"/>
      <c r="L42" s="8" t="s">
        <v>33</v>
      </c>
      <c r="M42" s="9">
        <f t="shared" si="1"/>
        <v>73</v>
      </c>
    </row>
    <row r="43" ht="12.75" customHeight="1">
      <c r="A43" s="4">
        <f t="shared" si="2"/>
        <v>42</v>
      </c>
      <c r="B43" s="4" t="s">
        <v>111</v>
      </c>
      <c r="C43" s="5" t="s">
        <v>112</v>
      </c>
      <c r="D43" s="4"/>
      <c r="E43" s="4"/>
      <c r="F43" s="4" t="s">
        <v>15</v>
      </c>
      <c r="G43" s="6">
        <v>37.58</v>
      </c>
      <c r="H43" s="7" t="s">
        <v>16</v>
      </c>
      <c r="I43" s="4" t="s">
        <v>17</v>
      </c>
      <c r="J43" s="4" t="s">
        <v>54</v>
      </c>
      <c r="K43" s="8"/>
      <c r="L43" s="8" t="s">
        <v>33</v>
      </c>
      <c r="M43" s="9">
        <f t="shared" si="1"/>
        <v>73</v>
      </c>
    </row>
    <row r="44" ht="12.75" customHeight="1">
      <c r="A44" s="4">
        <f t="shared" si="2"/>
        <v>43</v>
      </c>
      <c r="B44" s="4" t="s">
        <v>113</v>
      </c>
      <c r="C44" s="5" t="s">
        <v>114</v>
      </c>
      <c r="D44" s="4"/>
      <c r="E44" s="4"/>
      <c r="F44" s="4" t="s">
        <v>15</v>
      </c>
      <c r="G44" s="6">
        <v>37.58</v>
      </c>
      <c r="H44" s="7" t="s">
        <v>16</v>
      </c>
      <c r="I44" s="4" t="s">
        <v>17</v>
      </c>
      <c r="J44" s="4" t="s">
        <v>54</v>
      </c>
      <c r="K44" s="8"/>
      <c r="L44" s="8" t="s">
        <v>33</v>
      </c>
      <c r="M44" s="9">
        <f t="shared" si="1"/>
        <v>73</v>
      </c>
    </row>
    <row r="45" ht="12.75" customHeight="1">
      <c r="A45" s="4">
        <f t="shared" si="2"/>
        <v>44</v>
      </c>
      <c r="B45" s="4" t="s">
        <v>115</v>
      </c>
      <c r="C45" s="5" t="s">
        <v>116</v>
      </c>
      <c r="D45" s="4"/>
      <c r="E45" s="4"/>
      <c r="F45" s="4" t="s">
        <v>15</v>
      </c>
      <c r="G45" s="6">
        <v>37.58</v>
      </c>
      <c r="H45" s="7" t="s">
        <v>16</v>
      </c>
      <c r="I45" s="4" t="s">
        <v>17</v>
      </c>
      <c r="J45" s="4" t="s">
        <v>54</v>
      </c>
      <c r="K45" s="8"/>
      <c r="L45" s="8" t="s">
        <v>33</v>
      </c>
      <c r="M45" s="9">
        <f t="shared" si="1"/>
        <v>73</v>
      </c>
    </row>
    <row r="46" ht="12.75" customHeight="1">
      <c r="A46" s="4">
        <f t="shared" si="2"/>
        <v>45</v>
      </c>
      <c r="B46" s="4" t="s">
        <v>117</v>
      </c>
      <c r="C46" s="5" t="s">
        <v>118</v>
      </c>
      <c r="D46" s="4"/>
      <c r="E46" s="4"/>
      <c r="F46" s="4" t="s">
        <v>15</v>
      </c>
      <c r="G46" s="6">
        <v>19.64</v>
      </c>
      <c r="H46" s="7" t="s">
        <v>16</v>
      </c>
      <c r="I46" s="4" t="s">
        <v>17</v>
      </c>
      <c r="J46" s="4" t="s">
        <v>54</v>
      </c>
      <c r="K46" s="8"/>
      <c r="L46" s="8" t="s">
        <v>33</v>
      </c>
      <c r="M46" s="9">
        <f t="shared" si="1"/>
        <v>73</v>
      </c>
    </row>
    <row r="47" ht="12.75" customHeight="1">
      <c r="A47" s="4">
        <f t="shared" si="2"/>
        <v>46</v>
      </c>
      <c r="B47" s="4" t="s">
        <v>119</v>
      </c>
      <c r="C47" s="5" t="s">
        <v>120</v>
      </c>
      <c r="D47" s="4"/>
      <c r="E47" s="4"/>
      <c r="F47" s="4" t="s">
        <v>15</v>
      </c>
      <c r="G47" s="6">
        <v>19.64</v>
      </c>
      <c r="H47" s="7" t="s">
        <v>16</v>
      </c>
      <c r="I47" s="4" t="s">
        <v>17</v>
      </c>
      <c r="J47" s="4" t="s">
        <v>54</v>
      </c>
      <c r="K47" s="8"/>
      <c r="L47" s="8" t="s">
        <v>33</v>
      </c>
      <c r="M47" s="9">
        <f t="shared" si="1"/>
        <v>73</v>
      </c>
    </row>
    <row r="48" ht="12.75" customHeight="1">
      <c r="A48" s="4">
        <f t="shared" si="2"/>
        <v>47</v>
      </c>
      <c r="B48" s="4" t="s">
        <v>121</v>
      </c>
      <c r="C48" s="5" t="s">
        <v>122</v>
      </c>
      <c r="D48" s="4"/>
      <c r="E48" s="4"/>
      <c r="F48" s="4" t="s">
        <v>15</v>
      </c>
      <c r="G48" s="6">
        <v>19.64</v>
      </c>
      <c r="H48" s="7" t="s">
        <v>16</v>
      </c>
      <c r="I48" s="4" t="s">
        <v>17</v>
      </c>
      <c r="J48" s="4" t="s">
        <v>54</v>
      </c>
      <c r="K48" s="8"/>
      <c r="L48" s="8" t="s">
        <v>33</v>
      </c>
      <c r="M48" s="9">
        <f t="shared" si="1"/>
        <v>73</v>
      </c>
    </row>
    <row r="49" ht="12.75" customHeight="1">
      <c r="A49" s="4">
        <f t="shared" si="2"/>
        <v>48</v>
      </c>
      <c r="B49" s="4" t="s">
        <v>123</v>
      </c>
      <c r="C49" s="5" t="s">
        <v>124</v>
      </c>
      <c r="D49" s="4"/>
      <c r="E49" s="4"/>
      <c r="F49" s="4" t="s">
        <v>15</v>
      </c>
      <c r="G49" s="6">
        <v>19.64</v>
      </c>
      <c r="H49" s="7" t="s">
        <v>16</v>
      </c>
      <c r="I49" s="4" t="s">
        <v>17</v>
      </c>
      <c r="J49" s="4" t="s">
        <v>54</v>
      </c>
      <c r="K49" s="8"/>
      <c r="L49" s="8" t="s">
        <v>33</v>
      </c>
      <c r="M49" s="9">
        <f t="shared" si="1"/>
        <v>73</v>
      </c>
    </row>
    <row r="50" ht="12.75" customHeight="1">
      <c r="A50" s="4">
        <f t="shared" si="2"/>
        <v>49</v>
      </c>
      <c r="B50" s="4" t="s">
        <v>125</v>
      </c>
      <c r="C50" s="5" t="s">
        <v>126</v>
      </c>
      <c r="D50" s="4"/>
      <c r="E50" s="4"/>
      <c r="F50" s="4" t="s">
        <v>15</v>
      </c>
      <c r="G50" s="6">
        <v>19.64</v>
      </c>
      <c r="H50" s="7" t="s">
        <v>16</v>
      </c>
      <c r="I50" s="4" t="s">
        <v>17</v>
      </c>
      <c r="J50" s="4" t="s">
        <v>54</v>
      </c>
      <c r="K50" s="8"/>
      <c r="L50" s="8" t="s">
        <v>33</v>
      </c>
      <c r="M50" s="9">
        <f t="shared" si="1"/>
        <v>73</v>
      </c>
    </row>
    <row r="51" ht="12.75" customHeight="1">
      <c r="A51" s="4">
        <f t="shared" si="2"/>
        <v>50</v>
      </c>
      <c r="B51" s="4" t="s">
        <v>127</v>
      </c>
      <c r="C51" s="5" t="s">
        <v>128</v>
      </c>
      <c r="D51" s="4"/>
      <c r="E51" s="4"/>
      <c r="F51" s="4" t="s">
        <v>15</v>
      </c>
      <c r="G51" s="6">
        <v>19.64</v>
      </c>
      <c r="H51" s="7" t="s">
        <v>16</v>
      </c>
      <c r="I51" s="4" t="s">
        <v>17</v>
      </c>
      <c r="J51" s="4" t="s">
        <v>54</v>
      </c>
      <c r="K51" s="8"/>
      <c r="L51" s="8" t="s">
        <v>33</v>
      </c>
      <c r="M51" s="9">
        <f t="shared" si="1"/>
        <v>73</v>
      </c>
    </row>
    <row r="52" ht="12.75" customHeight="1">
      <c r="A52" s="4">
        <f t="shared" si="2"/>
        <v>51</v>
      </c>
      <c r="B52" s="4" t="s">
        <v>129</v>
      </c>
      <c r="C52" s="5" t="s">
        <v>130</v>
      </c>
      <c r="D52" s="4"/>
      <c r="E52" s="4"/>
      <c r="F52" s="4" t="s">
        <v>15</v>
      </c>
      <c r="G52" s="6">
        <v>19.64</v>
      </c>
      <c r="H52" s="7" t="s">
        <v>16</v>
      </c>
      <c r="I52" s="4" t="s">
        <v>17</v>
      </c>
      <c r="J52" s="4" t="s">
        <v>54</v>
      </c>
      <c r="K52" s="8"/>
      <c r="L52" s="8" t="s">
        <v>33</v>
      </c>
      <c r="M52" s="9">
        <f t="shared" si="1"/>
        <v>73</v>
      </c>
    </row>
    <row r="53" ht="12.75" customHeight="1">
      <c r="A53" s="4">
        <f t="shared" si="2"/>
        <v>52</v>
      </c>
      <c r="B53" s="4" t="s">
        <v>131</v>
      </c>
      <c r="C53" s="5" t="s">
        <v>132</v>
      </c>
      <c r="D53" s="4"/>
      <c r="E53" s="4"/>
      <c r="F53" s="4" t="s">
        <v>15</v>
      </c>
      <c r="G53" s="6">
        <v>19.64</v>
      </c>
      <c r="H53" s="7" t="s">
        <v>16</v>
      </c>
      <c r="I53" s="4" t="s">
        <v>17</v>
      </c>
      <c r="J53" s="4" t="s">
        <v>54</v>
      </c>
      <c r="K53" s="8"/>
      <c r="L53" s="8" t="s">
        <v>33</v>
      </c>
      <c r="M53" s="9">
        <f t="shared" si="1"/>
        <v>73</v>
      </c>
    </row>
    <row r="54" ht="12.75" customHeight="1">
      <c r="A54" s="4">
        <f t="shared" si="2"/>
        <v>53</v>
      </c>
      <c r="B54" s="4" t="s">
        <v>133</v>
      </c>
      <c r="C54" s="5" t="s">
        <v>134</v>
      </c>
      <c r="D54" s="4"/>
      <c r="E54" s="4"/>
      <c r="F54" s="4" t="s">
        <v>15</v>
      </c>
      <c r="G54" s="6">
        <v>19.64</v>
      </c>
      <c r="H54" s="7" t="s">
        <v>16</v>
      </c>
      <c r="I54" s="4" t="s">
        <v>17</v>
      </c>
      <c r="J54" s="4" t="s">
        <v>54</v>
      </c>
      <c r="K54" s="8"/>
      <c r="L54" s="8" t="s">
        <v>33</v>
      </c>
      <c r="M54" s="9">
        <f t="shared" si="1"/>
        <v>73</v>
      </c>
    </row>
    <row r="55" ht="12.75" customHeight="1">
      <c r="A55" s="4">
        <f t="shared" si="2"/>
        <v>54</v>
      </c>
      <c r="B55" s="4" t="s">
        <v>135</v>
      </c>
      <c r="C55" s="5" t="s">
        <v>136</v>
      </c>
      <c r="D55" s="4"/>
      <c r="E55" s="4"/>
      <c r="F55" s="4" t="s">
        <v>15</v>
      </c>
      <c r="G55" s="6">
        <v>19.64</v>
      </c>
      <c r="H55" s="7" t="s">
        <v>16</v>
      </c>
      <c r="I55" s="4" t="s">
        <v>17</v>
      </c>
      <c r="J55" s="4" t="s">
        <v>54</v>
      </c>
      <c r="K55" s="8"/>
      <c r="L55" s="8" t="s">
        <v>33</v>
      </c>
      <c r="M55" s="9">
        <f t="shared" si="1"/>
        <v>73</v>
      </c>
    </row>
    <row r="56" ht="12.75" customHeight="1">
      <c r="A56" s="4">
        <f t="shared" si="2"/>
        <v>55</v>
      </c>
      <c r="B56" s="4" t="s">
        <v>137</v>
      </c>
      <c r="C56" s="5" t="s">
        <v>138</v>
      </c>
      <c r="D56" s="4"/>
      <c r="E56" s="4"/>
      <c r="F56" s="4" t="s">
        <v>15</v>
      </c>
      <c r="G56" s="6">
        <v>19.64</v>
      </c>
      <c r="H56" s="7" t="s">
        <v>16</v>
      </c>
      <c r="I56" s="4" t="s">
        <v>17</v>
      </c>
      <c r="J56" s="4" t="s">
        <v>54</v>
      </c>
      <c r="K56" s="8"/>
      <c r="L56" s="8" t="s">
        <v>33</v>
      </c>
      <c r="M56" s="9">
        <f t="shared" si="1"/>
        <v>73</v>
      </c>
    </row>
    <row r="57" ht="12.75" customHeight="1">
      <c r="A57" s="4">
        <f t="shared" si="2"/>
        <v>56</v>
      </c>
      <c r="B57" s="4" t="s">
        <v>139</v>
      </c>
      <c r="C57" s="5" t="s">
        <v>140</v>
      </c>
      <c r="D57" s="4"/>
      <c r="E57" s="4"/>
      <c r="F57" s="4" t="s">
        <v>22</v>
      </c>
      <c r="G57" s="6">
        <v>12.33</v>
      </c>
      <c r="H57" s="7" t="s">
        <v>16</v>
      </c>
      <c r="I57" s="4" t="s">
        <v>17</v>
      </c>
      <c r="J57" s="4" t="s">
        <v>45</v>
      </c>
      <c r="K57" s="8"/>
      <c r="L57" s="8" t="s">
        <v>33</v>
      </c>
      <c r="M57" s="9">
        <f t="shared" si="1"/>
        <v>34</v>
      </c>
    </row>
    <row r="58" ht="12.75" customHeight="1">
      <c r="A58" s="4">
        <f t="shared" si="2"/>
        <v>57</v>
      </c>
      <c r="B58" s="4" t="s">
        <v>141</v>
      </c>
      <c r="C58" s="5" t="s">
        <v>142</v>
      </c>
      <c r="D58" s="4"/>
      <c r="E58" s="4"/>
      <c r="F58" s="4" t="s">
        <v>22</v>
      </c>
      <c r="G58" s="6">
        <v>12.33</v>
      </c>
      <c r="H58" s="7" t="s">
        <v>16</v>
      </c>
      <c r="I58" s="4" t="s">
        <v>17</v>
      </c>
      <c r="J58" s="4" t="s">
        <v>45</v>
      </c>
      <c r="K58" s="8"/>
      <c r="L58" s="8" t="s">
        <v>33</v>
      </c>
      <c r="M58" s="9">
        <f t="shared" si="1"/>
        <v>34</v>
      </c>
    </row>
    <row r="59" ht="12.75" customHeight="1">
      <c r="A59" s="4">
        <f t="shared" si="2"/>
        <v>58</v>
      </c>
      <c r="B59" s="4" t="s">
        <v>143</v>
      </c>
      <c r="C59" s="5" t="s">
        <v>144</v>
      </c>
      <c r="D59" s="4"/>
      <c r="E59" s="4"/>
      <c r="F59" s="4" t="s">
        <v>22</v>
      </c>
      <c r="G59" s="6">
        <v>12.33</v>
      </c>
      <c r="H59" s="7" t="s">
        <v>16</v>
      </c>
      <c r="I59" s="4" t="s">
        <v>17</v>
      </c>
      <c r="J59" s="4" t="s">
        <v>45</v>
      </c>
      <c r="K59" s="8"/>
      <c r="L59" s="8" t="s">
        <v>33</v>
      </c>
      <c r="M59" s="9">
        <f t="shared" si="1"/>
        <v>34</v>
      </c>
    </row>
    <row r="60" ht="12.75" customHeight="1">
      <c r="A60" s="4">
        <f t="shared" si="2"/>
        <v>59</v>
      </c>
      <c r="B60" s="4" t="s">
        <v>145</v>
      </c>
      <c r="C60" s="5" t="s">
        <v>146</v>
      </c>
      <c r="D60" s="4"/>
      <c r="E60" s="4"/>
      <c r="F60" s="4" t="s">
        <v>22</v>
      </c>
      <c r="G60" s="6">
        <v>12.33</v>
      </c>
      <c r="H60" s="7" t="s">
        <v>16</v>
      </c>
      <c r="I60" s="4" t="s">
        <v>17</v>
      </c>
      <c r="J60" s="4" t="s">
        <v>45</v>
      </c>
      <c r="K60" s="8"/>
      <c r="L60" s="8" t="s">
        <v>33</v>
      </c>
      <c r="M60" s="9">
        <f t="shared" si="1"/>
        <v>35</v>
      </c>
    </row>
    <row r="61" ht="12.75" customHeight="1">
      <c r="A61" s="4">
        <f t="shared" si="2"/>
        <v>60</v>
      </c>
      <c r="B61" s="4" t="s">
        <v>147</v>
      </c>
      <c r="C61" s="5" t="s">
        <v>148</v>
      </c>
      <c r="D61" s="4"/>
      <c r="E61" s="4"/>
      <c r="F61" s="4" t="s">
        <v>22</v>
      </c>
      <c r="G61" s="6">
        <v>12.33</v>
      </c>
      <c r="H61" s="7" t="s">
        <v>16</v>
      </c>
      <c r="I61" s="4" t="s">
        <v>17</v>
      </c>
      <c r="J61" s="4" t="s">
        <v>45</v>
      </c>
      <c r="K61" s="8"/>
      <c r="L61" s="8" t="s">
        <v>33</v>
      </c>
      <c r="M61" s="9">
        <f t="shared" si="1"/>
        <v>36</v>
      </c>
    </row>
    <row r="62" ht="12.75" customHeight="1">
      <c r="A62" s="4">
        <f t="shared" si="2"/>
        <v>61</v>
      </c>
      <c r="B62" s="4" t="s">
        <v>149</v>
      </c>
      <c r="C62" s="5" t="s">
        <v>150</v>
      </c>
      <c r="D62" s="4"/>
      <c r="E62" s="4"/>
      <c r="F62" s="4" t="s">
        <v>22</v>
      </c>
      <c r="G62" s="6">
        <v>15.52</v>
      </c>
      <c r="H62" s="7" t="s">
        <v>16</v>
      </c>
      <c r="I62" s="4" t="s">
        <v>17</v>
      </c>
      <c r="J62" s="4" t="s">
        <v>45</v>
      </c>
      <c r="K62" s="8"/>
      <c r="L62" s="8" t="s">
        <v>33</v>
      </c>
      <c r="M62" s="9">
        <f t="shared" si="1"/>
        <v>63</v>
      </c>
    </row>
    <row r="63" ht="12.75" customHeight="1">
      <c r="A63" s="4">
        <f t="shared" si="2"/>
        <v>62</v>
      </c>
      <c r="B63" s="4" t="s">
        <v>151</v>
      </c>
      <c r="C63" s="5" t="s">
        <v>152</v>
      </c>
      <c r="D63" s="4"/>
      <c r="E63" s="4"/>
      <c r="F63" s="4" t="s">
        <v>22</v>
      </c>
      <c r="G63" s="6">
        <v>15.52</v>
      </c>
      <c r="H63" s="7" t="s">
        <v>16</v>
      </c>
      <c r="I63" s="4" t="s">
        <v>17</v>
      </c>
      <c r="J63" s="4" t="s">
        <v>45</v>
      </c>
      <c r="K63" s="8"/>
      <c r="L63" s="8" t="s">
        <v>33</v>
      </c>
      <c r="M63" s="9">
        <f t="shared" si="1"/>
        <v>63</v>
      </c>
    </row>
    <row r="64" ht="12.75" customHeight="1">
      <c r="A64" s="4">
        <f t="shared" si="2"/>
        <v>63</v>
      </c>
      <c r="B64" s="4" t="s">
        <v>153</v>
      </c>
      <c r="C64" s="5" t="s">
        <v>154</v>
      </c>
      <c r="D64" s="4"/>
      <c r="E64" s="4"/>
      <c r="F64" s="4" t="s">
        <v>22</v>
      </c>
      <c r="G64" s="6">
        <v>15.52</v>
      </c>
      <c r="H64" s="7" t="s">
        <v>16</v>
      </c>
      <c r="I64" s="4" t="s">
        <v>17</v>
      </c>
      <c r="J64" s="4" t="s">
        <v>45</v>
      </c>
      <c r="K64" s="8"/>
      <c r="L64" s="8" t="s">
        <v>33</v>
      </c>
      <c r="M64" s="9">
        <f t="shared" si="1"/>
        <v>63</v>
      </c>
    </row>
    <row r="65" ht="12.75" customHeight="1">
      <c r="A65" s="4">
        <f t="shared" si="2"/>
        <v>64</v>
      </c>
      <c r="B65" s="4" t="s">
        <v>155</v>
      </c>
      <c r="C65" s="5" t="s">
        <v>156</v>
      </c>
      <c r="D65" s="4"/>
      <c r="E65" s="4"/>
      <c r="F65" s="4" t="s">
        <v>22</v>
      </c>
      <c r="G65" s="6">
        <v>15.52</v>
      </c>
      <c r="H65" s="7" t="s">
        <v>16</v>
      </c>
      <c r="I65" s="4" t="s">
        <v>17</v>
      </c>
      <c r="J65" s="4" t="s">
        <v>45</v>
      </c>
      <c r="K65" s="8"/>
      <c r="L65" s="8" t="s">
        <v>33</v>
      </c>
      <c r="M65" s="9">
        <f t="shared" si="1"/>
        <v>64</v>
      </c>
    </row>
    <row r="66" ht="12.75" customHeight="1">
      <c r="A66" s="4">
        <f t="shared" si="2"/>
        <v>65</v>
      </c>
      <c r="B66" s="4" t="s">
        <v>157</v>
      </c>
      <c r="C66" s="5" t="s">
        <v>158</v>
      </c>
      <c r="D66" s="4"/>
      <c r="E66" s="4"/>
      <c r="F66" s="4" t="s">
        <v>22</v>
      </c>
      <c r="G66" s="6">
        <v>15.52</v>
      </c>
      <c r="H66" s="7" t="s">
        <v>16</v>
      </c>
      <c r="I66" s="4" t="s">
        <v>17</v>
      </c>
      <c r="J66" s="4" t="s">
        <v>45</v>
      </c>
      <c r="K66" s="8"/>
      <c r="L66" s="8" t="s">
        <v>33</v>
      </c>
      <c r="M66" s="9">
        <f t="shared" si="1"/>
        <v>64</v>
      </c>
    </row>
    <row r="67" ht="12.75" customHeight="1">
      <c r="A67" s="4">
        <f t="shared" si="2"/>
        <v>66</v>
      </c>
      <c r="B67" s="4" t="s">
        <v>159</v>
      </c>
      <c r="C67" s="5" t="s">
        <v>160</v>
      </c>
      <c r="D67" s="4"/>
      <c r="E67" s="4"/>
      <c r="F67" s="4" t="s">
        <v>22</v>
      </c>
      <c r="G67" s="6">
        <v>15.52</v>
      </c>
      <c r="H67" s="7" t="s">
        <v>16</v>
      </c>
      <c r="I67" s="4" t="s">
        <v>17</v>
      </c>
      <c r="J67" s="4" t="s">
        <v>45</v>
      </c>
      <c r="K67" s="8"/>
      <c r="L67" s="8" t="s">
        <v>33</v>
      </c>
      <c r="M67" s="9">
        <f t="shared" si="1"/>
        <v>65</v>
      </c>
    </row>
    <row r="68" ht="12.75" customHeight="1">
      <c r="A68" s="4">
        <f t="shared" si="2"/>
        <v>67</v>
      </c>
      <c r="B68" s="4" t="s">
        <v>161</v>
      </c>
      <c r="C68" s="5" t="s">
        <v>162</v>
      </c>
      <c r="D68" s="4"/>
      <c r="E68" s="4"/>
      <c r="F68" s="4" t="s">
        <v>22</v>
      </c>
      <c r="G68" s="6">
        <v>113.51</v>
      </c>
      <c r="H68" s="7" t="s">
        <v>16</v>
      </c>
      <c r="I68" s="4" t="s">
        <v>17</v>
      </c>
      <c r="J68" s="4" t="s">
        <v>23</v>
      </c>
      <c r="K68" s="8"/>
      <c r="L68" s="8" t="s">
        <v>33</v>
      </c>
      <c r="M68" s="9">
        <f t="shared" si="1"/>
        <v>42</v>
      </c>
    </row>
    <row r="69" ht="12.75" customHeight="1">
      <c r="A69" s="4">
        <f t="shared" si="2"/>
        <v>68</v>
      </c>
      <c r="B69" s="4" t="s">
        <v>163</v>
      </c>
      <c r="C69" s="5" t="s">
        <v>164</v>
      </c>
      <c r="D69" s="4"/>
      <c r="E69" s="4"/>
      <c r="F69" s="4" t="s">
        <v>22</v>
      </c>
      <c r="G69" s="6">
        <f>14/3.7</f>
        <v>3.783783784</v>
      </c>
      <c r="H69" s="7" t="s">
        <v>16</v>
      </c>
      <c r="I69" s="4" t="s">
        <v>17</v>
      </c>
      <c r="J69" s="4" t="s">
        <v>165</v>
      </c>
      <c r="K69" s="8"/>
      <c r="L69" s="8" t="s">
        <v>33</v>
      </c>
      <c r="M69" s="9">
        <f t="shared" si="1"/>
        <v>37</v>
      </c>
    </row>
    <row r="70" ht="12.75" customHeight="1">
      <c r="A70" s="4">
        <f t="shared" si="2"/>
        <v>69</v>
      </c>
      <c r="B70" s="4" t="s">
        <v>166</v>
      </c>
      <c r="C70" s="5" t="s">
        <v>167</v>
      </c>
      <c r="D70" s="4"/>
      <c r="E70" s="4"/>
      <c r="F70" s="4" t="s">
        <v>22</v>
      </c>
      <c r="G70" s="6">
        <v>3.28</v>
      </c>
      <c r="H70" s="7" t="s">
        <v>16</v>
      </c>
      <c r="I70" s="4" t="s">
        <v>17</v>
      </c>
      <c r="J70" s="4" t="s">
        <v>165</v>
      </c>
      <c r="K70" s="8"/>
      <c r="L70" s="8" t="s">
        <v>33</v>
      </c>
      <c r="M70" s="9">
        <f t="shared" si="1"/>
        <v>25</v>
      </c>
    </row>
    <row r="71" ht="12.75" customHeight="1">
      <c r="A71" s="4">
        <f t="shared" si="2"/>
        <v>70</v>
      </c>
      <c r="B71" s="4" t="s">
        <v>168</v>
      </c>
      <c r="C71" s="5" t="s">
        <v>169</v>
      </c>
      <c r="D71" s="4"/>
      <c r="E71" s="4"/>
      <c r="F71" s="4" t="s">
        <v>15</v>
      </c>
      <c r="G71" s="6">
        <v>16.59</v>
      </c>
      <c r="H71" s="7" t="s">
        <v>16</v>
      </c>
      <c r="I71" s="4" t="s">
        <v>17</v>
      </c>
      <c r="J71" s="4" t="s">
        <v>18</v>
      </c>
      <c r="K71" s="8"/>
      <c r="L71" s="8" t="s">
        <v>19</v>
      </c>
      <c r="M71" s="9">
        <f t="shared" si="1"/>
        <v>45</v>
      </c>
    </row>
    <row r="72" ht="12.75" customHeight="1">
      <c r="A72" s="4">
        <f t="shared" si="2"/>
        <v>71</v>
      </c>
      <c r="B72" s="4" t="s">
        <v>170</v>
      </c>
      <c r="C72" s="5" t="s">
        <v>171</v>
      </c>
      <c r="D72" s="4"/>
      <c r="E72" s="4"/>
      <c r="F72" s="4" t="s">
        <v>15</v>
      </c>
      <c r="G72" s="6">
        <v>9.33</v>
      </c>
      <c r="H72" s="7" t="s">
        <v>16</v>
      </c>
      <c r="I72" s="4" t="s">
        <v>17</v>
      </c>
      <c r="J72" s="4" t="s">
        <v>18</v>
      </c>
      <c r="K72" s="8"/>
      <c r="L72" s="8" t="s">
        <v>19</v>
      </c>
      <c r="M72" s="9">
        <f t="shared" si="1"/>
        <v>61</v>
      </c>
    </row>
    <row r="73" ht="12.75" customHeight="1">
      <c r="A73" s="4">
        <f t="shared" si="2"/>
        <v>72</v>
      </c>
      <c r="B73" s="4" t="s">
        <v>172</v>
      </c>
      <c r="C73" s="5" t="s">
        <v>173</v>
      </c>
      <c r="D73" s="4"/>
      <c r="E73" s="4"/>
      <c r="F73" s="4" t="s">
        <v>22</v>
      </c>
      <c r="G73" s="6">
        <v>41.67</v>
      </c>
      <c r="H73" s="7" t="s">
        <v>16</v>
      </c>
      <c r="I73" s="4" t="s">
        <v>17</v>
      </c>
      <c r="J73" s="4" t="s">
        <v>45</v>
      </c>
      <c r="K73" s="8"/>
      <c r="L73" s="8" t="s">
        <v>33</v>
      </c>
      <c r="M73" s="9">
        <f t="shared" si="1"/>
        <v>68</v>
      </c>
    </row>
    <row r="74" ht="12.75" customHeight="1">
      <c r="A74" s="4">
        <f t="shared" si="2"/>
        <v>73</v>
      </c>
      <c r="B74" s="4" t="s">
        <v>174</v>
      </c>
      <c r="C74" s="5" t="s">
        <v>175</v>
      </c>
      <c r="D74" s="4"/>
      <c r="E74" s="4"/>
      <c r="F74" s="4" t="s">
        <v>22</v>
      </c>
      <c r="G74" s="6">
        <v>41.67</v>
      </c>
      <c r="H74" s="7" t="s">
        <v>16</v>
      </c>
      <c r="I74" s="4" t="s">
        <v>17</v>
      </c>
      <c r="J74" s="4" t="s">
        <v>45</v>
      </c>
      <c r="K74" s="8"/>
      <c r="L74" s="8" t="s">
        <v>33</v>
      </c>
      <c r="M74" s="9">
        <f t="shared" si="1"/>
        <v>68</v>
      </c>
    </row>
    <row r="75" ht="12.75" customHeight="1">
      <c r="A75" s="4">
        <f t="shared" si="2"/>
        <v>74</v>
      </c>
      <c r="B75" s="4" t="s">
        <v>176</v>
      </c>
      <c r="C75" s="5" t="s">
        <v>177</v>
      </c>
      <c r="D75" s="4"/>
      <c r="E75" s="4"/>
      <c r="F75" s="4" t="s">
        <v>22</v>
      </c>
      <c r="G75" s="6">
        <v>41.67</v>
      </c>
      <c r="H75" s="7" t="s">
        <v>16</v>
      </c>
      <c r="I75" s="4" t="s">
        <v>17</v>
      </c>
      <c r="J75" s="4" t="s">
        <v>45</v>
      </c>
      <c r="K75" s="8"/>
      <c r="L75" s="8" t="s">
        <v>33</v>
      </c>
      <c r="M75" s="9">
        <f t="shared" si="1"/>
        <v>68</v>
      </c>
    </row>
    <row r="76" ht="12.75" customHeight="1">
      <c r="A76" s="4">
        <f t="shared" si="2"/>
        <v>75</v>
      </c>
      <c r="B76" s="4" t="s">
        <v>178</v>
      </c>
      <c r="C76" s="5" t="s">
        <v>179</v>
      </c>
      <c r="D76" s="4"/>
      <c r="E76" s="4"/>
      <c r="F76" s="4" t="s">
        <v>22</v>
      </c>
      <c r="G76" s="6">
        <v>41.67</v>
      </c>
      <c r="H76" s="7" t="s">
        <v>16</v>
      </c>
      <c r="I76" s="4" t="s">
        <v>17</v>
      </c>
      <c r="J76" s="4" t="s">
        <v>45</v>
      </c>
      <c r="K76" s="8"/>
      <c r="L76" s="8" t="s">
        <v>33</v>
      </c>
      <c r="M76" s="9">
        <f t="shared" si="1"/>
        <v>69</v>
      </c>
    </row>
    <row r="77" ht="12.75" customHeight="1">
      <c r="A77" s="4">
        <f t="shared" si="2"/>
        <v>76</v>
      </c>
      <c r="B77" s="4" t="s">
        <v>180</v>
      </c>
      <c r="C77" s="5" t="s">
        <v>181</v>
      </c>
      <c r="D77" s="4"/>
      <c r="E77" s="4"/>
      <c r="F77" s="4" t="s">
        <v>22</v>
      </c>
      <c r="G77" s="6">
        <v>41.67</v>
      </c>
      <c r="H77" s="7" t="s">
        <v>16</v>
      </c>
      <c r="I77" s="4" t="s">
        <v>17</v>
      </c>
      <c r="J77" s="4" t="s">
        <v>45</v>
      </c>
      <c r="K77" s="8"/>
      <c r="L77" s="8" t="s">
        <v>33</v>
      </c>
      <c r="M77" s="9">
        <f t="shared" si="1"/>
        <v>70</v>
      </c>
    </row>
    <row r="78" ht="12.75" customHeight="1">
      <c r="A78" s="4">
        <f t="shared" si="2"/>
        <v>77</v>
      </c>
      <c r="B78" s="4" t="s">
        <v>182</v>
      </c>
      <c r="C78" s="5" t="s">
        <v>183</v>
      </c>
      <c r="D78" s="4"/>
      <c r="E78" s="4"/>
      <c r="F78" s="4" t="s">
        <v>22</v>
      </c>
      <c r="G78" s="6">
        <v>34.63</v>
      </c>
      <c r="H78" s="7" t="s">
        <v>16</v>
      </c>
      <c r="I78" s="4" t="s">
        <v>17</v>
      </c>
      <c r="J78" s="4" t="s">
        <v>184</v>
      </c>
      <c r="K78" s="8"/>
      <c r="L78" s="8" t="s">
        <v>33</v>
      </c>
      <c r="M78" s="9">
        <f t="shared" si="1"/>
        <v>53</v>
      </c>
    </row>
    <row r="79" ht="12.75" customHeight="1">
      <c r="A79" s="4">
        <f t="shared" si="2"/>
        <v>78</v>
      </c>
      <c r="B79" s="4" t="s">
        <v>185</v>
      </c>
      <c r="C79" s="5" t="s">
        <v>186</v>
      </c>
      <c r="D79" s="4"/>
      <c r="E79" s="4"/>
      <c r="F79" s="4" t="s">
        <v>22</v>
      </c>
      <c r="G79" s="6">
        <v>9.55</v>
      </c>
      <c r="H79" s="7" t="s">
        <v>16</v>
      </c>
      <c r="I79" s="4" t="s">
        <v>17</v>
      </c>
      <c r="J79" s="4" t="s">
        <v>42</v>
      </c>
      <c r="K79" s="8"/>
      <c r="L79" s="8" t="s">
        <v>19</v>
      </c>
      <c r="M79" s="9">
        <f t="shared" si="1"/>
        <v>52</v>
      </c>
    </row>
    <row r="80" ht="12.75" customHeight="1">
      <c r="A80" s="4">
        <f t="shared" si="2"/>
        <v>79</v>
      </c>
      <c r="B80" s="4" t="s">
        <v>187</v>
      </c>
      <c r="C80" s="5" t="s">
        <v>188</v>
      </c>
      <c r="D80" s="4"/>
      <c r="E80" s="4"/>
      <c r="F80" s="4" t="s">
        <v>22</v>
      </c>
      <c r="G80" s="6">
        <v>9.55</v>
      </c>
      <c r="H80" s="7" t="s">
        <v>16</v>
      </c>
      <c r="I80" s="4" t="s">
        <v>17</v>
      </c>
      <c r="J80" s="4" t="s">
        <v>42</v>
      </c>
      <c r="K80" s="8"/>
      <c r="L80" s="8" t="s">
        <v>19</v>
      </c>
      <c r="M80" s="9">
        <f t="shared" si="1"/>
        <v>48</v>
      </c>
    </row>
    <row r="81" ht="12.75" customHeight="1">
      <c r="A81" s="4">
        <f t="shared" si="2"/>
        <v>80</v>
      </c>
      <c r="B81" s="4" t="s">
        <v>189</v>
      </c>
      <c r="C81" s="5" t="s">
        <v>190</v>
      </c>
      <c r="D81" s="4"/>
      <c r="E81" s="4"/>
      <c r="F81" s="4" t="s">
        <v>22</v>
      </c>
      <c r="G81" s="6">
        <v>9.55</v>
      </c>
      <c r="H81" s="7" t="s">
        <v>16</v>
      </c>
      <c r="I81" s="4" t="s">
        <v>17</v>
      </c>
      <c r="J81" s="4" t="s">
        <v>42</v>
      </c>
      <c r="K81" s="8"/>
      <c r="L81" s="8" t="s">
        <v>19</v>
      </c>
      <c r="M81" s="9">
        <f t="shared" si="1"/>
        <v>50</v>
      </c>
    </row>
    <row r="82" ht="12.75" customHeight="1">
      <c r="A82" s="4">
        <f t="shared" si="2"/>
        <v>81</v>
      </c>
      <c r="B82" s="4" t="s">
        <v>191</v>
      </c>
      <c r="C82" s="5" t="s">
        <v>192</v>
      </c>
      <c r="D82" s="4"/>
      <c r="E82" s="4"/>
      <c r="F82" s="4" t="s">
        <v>22</v>
      </c>
      <c r="G82" s="6">
        <v>9.55</v>
      </c>
      <c r="H82" s="7" t="s">
        <v>16</v>
      </c>
      <c r="I82" s="4" t="s">
        <v>17</v>
      </c>
      <c r="J82" s="4" t="s">
        <v>42</v>
      </c>
      <c r="K82" s="8"/>
      <c r="L82" s="8" t="s">
        <v>19</v>
      </c>
      <c r="M82" s="9">
        <f t="shared" si="1"/>
        <v>50</v>
      </c>
    </row>
    <row r="83" ht="12.75" customHeight="1">
      <c r="A83" s="4">
        <f t="shared" si="2"/>
        <v>82</v>
      </c>
      <c r="B83" s="4" t="s">
        <v>193</v>
      </c>
      <c r="C83" s="5" t="s">
        <v>194</v>
      </c>
      <c r="D83" s="4"/>
      <c r="E83" s="4"/>
      <c r="F83" s="4" t="s">
        <v>22</v>
      </c>
      <c r="G83" s="6">
        <v>9.55</v>
      </c>
      <c r="H83" s="7" t="s">
        <v>16</v>
      </c>
      <c r="I83" s="4" t="s">
        <v>17</v>
      </c>
      <c r="J83" s="4" t="s">
        <v>42</v>
      </c>
      <c r="K83" s="8"/>
      <c r="L83" s="8" t="s">
        <v>19</v>
      </c>
      <c r="M83" s="9">
        <f t="shared" si="1"/>
        <v>48</v>
      </c>
    </row>
    <row r="84" ht="12.75" customHeight="1">
      <c r="A84" s="4">
        <f t="shared" si="2"/>
        <v>83</v>
      </c>
      <c r="B84" s="4" t="s">
        <v>195</v>
      </c>
      <c r="C84" s="5" t="s">
        <v>196</v>
      </c>
      <c r="D84" s="4"/>
      <c r="E84" s="4"/>
      <c r="F84" s="4" t="s">
        <v>22</v>
      </c>
      <c r="G84" s="6">
        <v>10.68</v>
      </c>
      <c r="H84" s="7" t="s">
        <v>16</v>
      </c>
      <c r="I84" s="4" t="s">
        <v>17</v>
      </c>
      <c r="J84" s="4" t="s">
        <v>45</v>
      </c>
      <c r="K84" s="8"/>
      <c r="L84" s="8" t="s">
        <v>33</v>
      </c>
      <c r="M84" s="9">
        <f t="shared" si="1"/>
        <v>79</v>
      </c>
    </row>
    <row r="85" ht="12.75" customHeight="1">
      <c r="A85" s="4">
        <f t="shared" si="2"/>
        <v>84</v>
      </c>
      <c r="B85" s="4" t="s">
        <v>197</v>
      </c>
      <c r="C85" s="5" t="s">
        <v>198</v>
      </c>
      <c r="D85" s="4"/>
      <c r="E85" s="4"/>
      <c r="F85" s="4" t="s">
        <v>22</v>
      </c>
      <c r="G85" s="6">
        <v>10.68</v>
      </c>
      <c r="H85" s="7" t="s">
        <v>16</v>
      </c>
      <c r="I85" s="4" t="s">
        <v>17</v>
      </c>
      <c r="J85" s="4" t="s">
        <v>45</v>
      </c>
      <c r="K85" s="8"/>
      <c r="L85" s="8" t="s">
        <v>33</v>
      </c>
      <c r="M85" s="9">
        <f t="shared" si="1"/>
        <v>79</v>
      </c>
    </row>
    <row r="86" ht="12.75" customHeight="1">
      <c r="A86" s="4">
        <f t="shared" si="2"/>
        <v>85</v>
      </c>
      <c r="B86" s="4" t="s">
        <v>199</v>
      </c>
      <c r="C86" s="5" t="s">
        <v>200</v>
      </c>
      <c r="D86" s="4"/>
      <c r="E86" s="4"/>
      <c r="F86" s="4" t="s">
        <v>22</v>
      </c>
      <c r="G86" s="6">
        <v>10.68</v>
      </c>
      <c r="H86" s="7" t="s">
        <v>16</v>
      </c>
      <c r="I86" s="4" t="s">
        <v>17</v>
      </c>
      <c r="J86" s="4" t="s">
        <v>45</v>
      </c>
      <c r="K86" s="8"/>
      <c r="L86" s="8" t="s">
        <v>33</v>
      </c>
      <c r="M86" s="9">
        <f t="shared" si="1"/>
        <v>80</v>
      </c>
    </row>
    <row r="87" ht="12.75" customHeight="1">
      <c r="A87" s="4">
        <f t="shared" si="2"/>
        <v>86</v>
      </c>
      <c r="B87" s="4" t="s">
        <v>201</v>
      </c>
      <c r="C87" s="5" t="s">
        <v>202</v>
      </c>
      <c r="D87" s="4"/>
      <c r="E87" s="4"/>
      <c r="F87" s="4" t="s">
        <v>22</v>
      </c>
      <c r="G87" s="6">
        <v>12.69</v>
      </c>
      <c r="H87" s="7" t="s">
        <v>16</v>
      </c>
      <c r="I87" s="4" t="s">
        <v>17</v>
      </c>
      <c r="J87" s="4" t="s">
        <v>45</v>
      </c>
      <c r="K87" s="8"/>
      <c r="L87" s="8" t="s">
        <v>33</v>
      </c>
      <c r="M87" s="9">
        <f t="shared" si="1"/>
        <v>79</v>
      </c>
    </row>
    <row r="88" ht="12.75" customHeight="1">
      <c r="A88" s="4">
        <f t="shared" si="2"/>
        <v>87</v>
      </c>
      <c r="B88" s="4" t="s">
        <v>203</v>
      </c>
      <c r="C88" s="5" t="s">
        <v>204</v>
      </c>
      <c r="D88" s="4"/>
      <c r="E88" s="4"/>
      <c r="F88" s="4" t="s">
        <v>22</v>
      </c>
      <c r="G88" s="6">
        <v>12.69</v>
      </c>
      <c r="H88" s="7" t="s">
        <v>16</v>
      </c>
      <c r="I88" s="4" t="s">
        <v>17</v>
      </c>
      <c r="J88" s="4" t="s">
        <v>45</v>
      </c>
      <c r="K88" s="8"/>
      <c r="L88" s="8" t="s">
        <v>33</v>
      </c>
      <c r="M88" s="9">
        <f t="shared" si="1"/>
        <v>80</v>
      </c>
    </row>
    <row r="89" ht="12.75" customHeight="1">
      <c r="A89" s="4">
        <f t="shared" si="2"/>
        <v>88</v>
      </c>
      <c r="B89" s="4" t="s">
        <v>205</v>
      </c>
      <c r="C89" s="5" t="s">
        <v>206</v>
      </c>
      <c r="D89" s="4"/>
      <c r="E89" s="4"/>
      <c r="F89" s="4" t="s">
        <v>22</v>
      </c>
      <c r="G89" s="6">
        <v>12.69</v>
      </c>
      <c r="H89" s="7" t="s">
        <v>16</v>
      </c>
      <c r="I89" s="4" t="s">
        <v>17</v>
      </c>
      <c r="J89" s="4" t="s">
        <v>45</v>
      </c>
      <c r="K89" s="8"/>
      <c r="L89" s="8" t="s">
        <v>33</v>
      </c>
      <c r="M89" s="9">
        <f t="shared" si="1"/>
        <v>77</v>
      </c>
    </row>
    <row r="90" ht="12.75" customHeight="1">
      <c r="A90" s="4">
        <f t="shared" si="2"/>
        <v>89</v>
      </c>
      <c r="B90" s="4" t="s">
        <v>207</v>
      </c>
      <c r="C90" s="5" t="s">
        <v>208</v>
      </c>
      <c r="D90" s="4"/>
      <c r="E90" s="4"/>
      <c r="F90" s="4" t="s">
        <v>22</v>
      </c>
      <c r="G90" s="6">
        <v>12.69</v>
      </c>
      <c r="H90" s="7" t="s">
        <v>16</v>
      </c>
      <c r="I90" s="4" t="s">
        <v>17</v>
      </c>
      <c r="J90" s="4" t="s">
        <v>45</v>
      </c>
      <c r="K90" s="8"/>
      <c r="L90" s="8" t="s">
        <v>33</v>
      </c>
      <c r="M90" s="9">
        <f t="shared" si="1"/>
        <v>77</v>
      </c>
    </row>
    <row r="91" ht="12.75" customHeight="1">
      <c r="A91" s="4">
        <f t="shared" si="2"/>
        <v>90</v>
      </c>
      <c r="B91" s="4" t="s">
        <v>209</v>
      </c>
      <c r="C91" s="5" t="s">
        <v>210</v>
      </c>
      <c r="D91" s="4"/>
      <c r="E91" s="4"/>
      <c r="F91" s="4" t="s">
        <v>22</v>
      </c>
      <c r="G91" s="6">
        <v>12.69</v>
      </c>
      <c r="H91" s="7" t="s">
        <v>16</v>
      </c>
      <c r="I91" s="4" t="s">
        <v>17</v>
      </c>
      <c r="J91" s="4" t="s">
        <v>45</v>
      </c>
      <c r="K91" s="8"/>
      <c r="L91" s="8" t="s">
        <v>33</v>
      </c>
      <c r="M91" s="9">
        <f t="shared" si="1"/>
        <v>77</v>
      </c>
    </row>
    <row r="92" ht="12.75" customHeight="1">
      <c r="A92" s="4">
        <f t="shared" si="2"/>
        <v>91</v>
      </c>
      <c r="B92" s="4" t="s">
        <v>211</v>
      </c>
      <c r="C92" s="5" t="s">
        <v>212</v>
      </c>
      <c r="D92" s="4"/>
      <c r="E92" s="4"/>
      <c r="F92" s="4" t="s">
        <v>22</v>
      </c>
      <c r="G92" s="6">
        <v>12.69</v>
      </c>
      <c r="H92" s="7" t="s">
        <v>16</v>
      </c>
      <c r="I92" s="4" t="s">
        <v>17</v>
      </c>
      <c r="J92" s="4" t="s">
        <v>45</v>
      </c>
      <c r="K92" s="8"/>
      <c r="L92" s="8" t="s">
        <v>33</v>
      </c>
      <c r="M92" s="9">
        <f t="shared" si="1"/>
        <v>78</v>
      </c>
    </row>
    <row r="93" ht="12.75" customHeight="1">
      <c r="A93" s="4">
        <f t="shared" si="2"/>
        <v>92</v>
      </c>
      <c r="B93" s="4" t="s">
        <v>213</v>
      </c>
      <c r="C93" s="5" t="s">
        <v>214</v>
      </c>
      <c r="D93" s="4"/>
      <c r="E93" s="4"/>
      <c r="F93" s="4" t="s">
        <v>22</v>
      </c>
      <c r="G93" s="6">
        <v>12.69</v>
      </c>
      <c r="H93" s="7" t="s">
        <v>16</v>
      </c>
      <c r="I93" s="4" t="s">
        <v>17</v>
      </c>
      <c r="J93" s="4" t="s">
        <v>45</v>
      </c>
      <c r="K93" s="8"/>
      <c r="L93" s="8" t="s">
        <v>33</v>
      </c>
      <c r="M93" s="9">
        <f t="shared" si="1"/>
        <v>79</v>
      </c>
    </row>
    <row r="94" ht="12.75" customHeight="1">
      <c r="A94" s="4">
        <f t="shared" si="2"/>
        <v>93</v>
      </c>
      <c r="B94" s="4" t="s">
        <v>215</v>
      </c>
      <c r="C94" s="5" t="s">
        <v>216</v>
      </c>
      <c r="D94" s="4"/>
      <c r="E94" s="4"/>
      <c r="F94" s="4" t="s">
        <v>22</v>
      </c>
      <c r="G94" s="6">
        <v>12.69</v>
      </c>
      <c r="H94" s="7" t="s">
        <v>16</v>
      </c>
      <c r="I94" s="4" t="s">
        <v>17</v>
      </c>
      <c r="J94" s="4" t="s">
        <v>45</v>
      </c>
      <c r="K94" s="8"/>
      <c r="L94" s="8" t="s">
        <v>33</v>
      </c>
      <c r="M94" s="9">
        <f t="shared" si="1"/>
        <v>79</v>
      </c>
    </row>
    <row r="95" ht="12.75" customHeight="1">
      <c r="A95" s="4">
        <f t="shared" si="2"/>
        <v>94</v>
      </c>
      <c r="B95" s="4" t="s">
        <v>217</v>
      </c>
      <c r="C95" s="5" t="s">
        <v>218</v>
      </c>
      <c r="D95" s="4"/>
      <c r="E95" s="4"/>
      <c r="F95" s="4" t="s">
        <v>22</v>
      </c>
      <c r="G95" s="6">
        <v>12.69</v>
      </c>
      <c r="H95" s="7" t="s">
        <v>16</v>
      </c>
      <c r="I95" s="4" t="s">
        <v>17</v>
      </c>
      <c r="J95" s="4" t="s">
        <v>45</v>
      </c>
      <c r="K95" s="8"/>
      <c r="L95" s="8" t="s">
        <v>33</v>
      </c>
      <c r="M95" s="9">
        <f t="shared" si="1"/>
        <v>79</v>
      </c>
    </row>
    <row r="96" ht="12.75" customHeight="1">
      <c r="A96" s="4">
        <f t="shared" si="2"/>
        <v>95</v>
      </c>
      <c r="B96" s="4" t="s">
        <v>219</v>
      </c>
      <c r="C96" s="5" t="s">
        <v>220</v>
      </c>
      <c r="D96" s="4"/>
      <c r="E96" s="4"/>
      <c r="F96" s="4" t="s">
        <v>22</v>
      </c>
      <c r="G96" s="6">
        <v>12.69</v>
      </c>
      <c r="H96" s="7" t="s">
        <v>16</v>
      </c>
      <c r="I96" s="4" t="s">
        <v>17</v>
      </c>
      <c r="J96" s="4" t="s">
        <v>45</v>
      </c>
      <c r="K96" s="8"/>
      <c r="L96" s="8" t="s">
        <v>33</v>
      </c>
      <c r="M96" s="9">
        <f t="shared" si="1"/>
        <v>79</v>
      </c>
    </row>
    <row r="97" ht="12.75" customHeight="1">
      <c r="A97" s="4">
        <f t="shared" si="2"/>
        <v>96</v>
      </c>
      <c r="B97" s="4" t="s">
        <v>221</v>
      </c>
      <c r="C97" s="5" t="s">
        <v>222</v>
      </c>
      <c r="D97" s="4"/>
      <c r="E97" s="4"/>
      <c r="F97" s="4" t="s">
        <v>22</v>
      </c>
      <c r="G97" s="6">
        <v>12.69</v>
      </c>
      <c r="H97" s="7" t="s">
        <v>16</v>
      </c>
      <c r="I97" s="4" t="s">
        <v>17</v>
      </c>
      <c r="J97" s="4" t="s">
        <v>45</v>
      </c>
      <c r="K97" s="8"/>
      <c r="L97" s="8" t="s">
        <v>33</v>
      </c>
      <c r="M97" s="9">
        <f t="shared" si="1"/>
        <v>80</v>
      </c>
    </row>
    <row r="98" ht="12.75" customHeight="1">
      <c r="A98" s="4">
        <f t="shared" si="2"/>
        <v>97</v>
      </c>
      <c r="B98" s="4" t="s">
        <v>223</v>
      </c>
      <c r="C98" s="5" t="s">
        <v>224</v>
      </c>
      <c r="D98" s="4"/>
      <c r="E98" s="4"/>
      <c r="F98" s="4" t="s">
        <v>22</v>
      </c>
      <c r="G98" s="6">
        <v>12.69</v>
      </c>
      <c r="H98" s="7" t="s">
        <v>16</v>
      </c>
      <c r="I98" s="4" t="s">
        <v>17</v>
      </c>
      <c r="J98" s="4" t="s">
        <v>45</v>
      </c>
      <c r="K98" s="8"/>
      <c r="L98" s="8" t="s">
        <v>33</v>
      </c>
      <c r="M98" s="9">
        <f t="shared" si="1"/>
        <v>80</v>
      </c>
    </row>
    <row r="99" ht="12.75" customHeight="1">
      <c r="A99" s="4">
        <f t="shared" si="2"/>
        <v>98</v>
      </c>
      <c r="B99" s="4" t="s">
        <v>225</v>
      </c>
      <c r="C99" s="5" t="s">
        <v>226</v>
      </c>
      <c r="D99" s="4"/>
      <c r="E99" s="4"/>
      <c r="F99" s="4" t="s">
        <v>22</v>
      </c>
      <c r="G99" s="6">
        <v>12.69</v>
      </c>
      <c r="H99" s="7" t="s">
        <v>16</v>
      </c>
      <c r="I99" s="4" t="s">
        <v>17</v>
      </c>
      <c r="J99" s="4" t="s">
        <v>45</v>
      </c>
      <c r="K99" s="8"/>
      <c r="L99" s="8" t="s">
        <v>33</v>
      </c>
      <c r="M99" s="9">
        <f t="shared" si="1"/>
        <v>77</v>
      </c>
    </row>
    <row r="100" ht="12.75" customHeight="1">
      <c r="A100" s="4">
        <f t="shared" si="2"/>
        <v>99</v>
      </c>
      <c r="B100" s="4" t="s">
        <v>227</v>
      </c>
      <c r="C100" s="5" t="s">
        <v>228</v>
      </c>
      <c r="D100" s="4"/>
      <c r="E100" s="5" t="s">
        <v>229</v>
      </c>
      <c r="F100" s="4" t="s">
        <v>22</v>
      </c>
      <c r="G100" s="6">
        <v>12.69</v>
      </c>
      <c r="H100" s="7" t="s">
        <v>16</v>
      </c>
      <c r="I100" s="4" t="s">
        <v>17</v>
      </c>
      <c r="J100" s="4" t="s">
        <v>45</v>
      </c>
      <c r="K100" s="8"/>
      <c r="L100" s="8" t="s">
        <v>33</v>
      </c>
      <c r="M100" s="9">
        <f t="shared" si="1"/>
        <v>78</v>
      </c>
    </row>
    <row r="101" ht="12.75" customHeight="1">
      <c r="A101" s="4">
        <f t="shared" si="2"/>
        <v>100</v>
      </c>
      <c r="B101" s="4" t="s">
        <v>230</v>
      </c>
      <c r="C101" s="5" t="s">
        <v>231</v>
      </c>
      <c r="D101" s="4"/>
      <c r="E101" s="5"/>
      <c r="F101" s="4" t="s">
        <v>22</v>
      </c>
      <c r="G101" s="6">
        <v>12.69</v>
      </c>
      <c r="H101" s="7" t="s">
        <v>16</v>
      </c>
      <c r="I101" s="4" t="s">
        <v>17</v>
      </c>
      <c r="J101" s="4" t="s">
        <v>45</v>
      </c>
      <c r="K101" s="8"/>
      <c r="L101" s="8" t="s">
        <v>33</v>
      </c>
      <c r="M101" s="9">
        <f t="shared" si="1"/>
        <v>76</v>
      </c>
    </row>
    <row r="102" ht="12.75" customHeight="1">
      <c r="A102" s="4">
        <f t="shared" si="2"/>
        <v>101</v>
      </c>
      <c r="B102" s="4" t="s">
        <v>232</v>
      </c>
      <c r="C102" s="5" t="s">
        <v>233</v>
      </c>
      <c r="D102" s="4"/>
      <c r="E102" s="5"/>
      <c r="F102" s="4" t="s">
        <v>22</v>
      </c>
      <c r="G102" s="6">
        <v>12.69</v>
      </c>
      <c r="H102" s="7" t="s">
        <v>16</v>
      </c>
      <c r="I102" s="4" t="s">
        <v>17</v>
      </c>
      <c r="J102" s="4" t="s">
        <v>45</v>
      </c>
      <c r="K102" s="8"/>
      <c r="L102" s="8" t="s">
        <v>33</v>
      </c>
      <c r="M102" s="9">
        <f t="shared" si="1"/>
        <v>76</v>
      </c>
    </row>
    <row r="103" ht="12.75" customHeight="1">
      <c r="A103" s="4">
        <f t="shared" si="2"/>
        <v>102</v>
      </c>
      <c r="B103" s="4" t="s">
        <v>234</v>
      </c>
      <c r="C103" s="5" t="s">
        <v>235</v>
      </c>
      <c r="D103" s="4"/>
      <c r="E103" s="5"/>
      <c r="F103" s="4" t="s">
        <v>22</v>
      </c>
      <c r="G103" s="6">
        <v>12.69</v>
      </c>
      <c r="H103" s="7" t="s">
        <v>16</v>
      </c>
      <c r="I103" s="4" t="s">
        <v>17</v>
      </c>
      <c r="J103" s="4" t="s">
        <v>45</v>
      </c>
      <c r="K103" s="8"/>
      <c r="L103" s="8" t="s">
        <v>33</v>
      </c>
      <c r="M103" s="9">
        <f t="shared" si="1"/>
        <v>76</v>
      </c>
    </row>
    <row r="104" ht="12.75" customHeight="1">
      <c r="A104" s="4">
        <f t="shared" si="2"/>
        <v>103</v>
      </c>
      <c r="B104" s="4" t="s">
        <v>236</v>
      </c>
      <c r="C104" s="5" t="s">
        <v>237</v>
      </c>
      <c r="D104" s="4"/>
      <c r="E104" s="5"/>
      <c r="F104" s="4" t="s">
        <v>22</v>
      </c>
      <c r="G104" s="6">
        <v>12.69</v>
      </c>
      <c r="H104" s="7" t="s">
        <v>16</v>
      </c>
      <c r="I104" s="4" t="s">
        <v>17</v>
      </c>
      <c r="J104" s="4" t="s">
        <v>45</v>
      </c>
      <c r="K104" s="8"/>
      <c r="L104" s="8" t="s">
        <v>33</v>
      </c>
      <c r="M104" s="9">
        <f t="shared" si="1"/>
        <v>77</v>
      </c>
    </row>
    <row r="105" ht="12.75" customHeight="1">
      <c r="A105" s="4">
        <f t="shared" si="2"/>
        <v>104</v>
      </c>
      <c r="B105" s="4" t="s">
        <v>238</v>
      </c>
      <c r="C105" s="5" t="s">
        <v>239</v>
      </c>
      <c r="D105" s="4"/>
      <c r="E105" s="4"/>
      <c r="F105" s="4" t="s">
        <v>22</v>
      </c>
      <c r="G105" s="5" t="s">
        <v>229</v>
      </c>
      <c r="H105" s="7" t="s">
        <v>16</v>
      </c>
      <c r="I105" s="4" t="s">
        <v>17</v>
      </c>
      <c r="J105" s="4" t="s">
        <v>45</v>
      </c>
      <c r="K105" s="8"/>
      <c r="L105" s="8" t="s">
        <v>33</v>
      </c>
      <c r="M105" s="9">
        <f t="shared" si="1"/>
        <v>78</v>
      </c>
    </row>
    <row r="106" ht="12.75" customHeight="1">
      <c r="A106" s="4">
        <f t="shared" si="2"/>
        <v>105</v>
      </c>
      <c r="B106" s="4" t="s">
        <v>240</v>
      </c>
      <c r="C106" s="5" t="s">
        <v>241</v>
      </c>
      <c r="D106" s="4"/>
      <c r="E106" s="4"/>
      <c r="F106" s="4" t="s">
        <v>22</v>
      </c>
      <c r="G106" s="5" t="s">
        <v>242</v>
      </c>
      <c r="H106" s="7" t="s">
        <v>16</v>
      </c>
      <c r="I106" s="4" t="s">
        <v>17</v>
      </c>
      <c r="J106" s="4" t="s">
        <v>45</v>
      </c>
      <c r="K106" s="8"/>
      <c r="L106" s="8" t="s">
        <v>33</v>
      </c>
      <c r="M106" s="9">
        <f t="shared" si="1"/>
        <v>32</v>
      </c>
    </row>
    <row r="107" ht="12.75" customHeight="1">
      <c r="A107" s="4">
        <f t="shared" si="2"/>
        <v>106</v>
      </c>
      <c r="B107" s="4" t="s">
        <v>243</v>
      </c>
      <c r="C107" s="5" t="s">
        <v>244</v>
      </c>
      <c r="D107" s="4"/>
      <c r="E107" s="4"/>
      <c r="F107" s="4" t="s">
        <v>22</v>
      </c>
      <c r="G107" s="5" t="s">
        <v>245</v>
      </c>
      <c r="H107" s="7" t="s">
        <v>16</v>
      </c>
      <c r="I107" s="4" t="s">
        <v>17</v>
      </c>
      <c r="J107" s="4" t="s">
        <v>45</v>
      </c>
      <c r="K107" s="8"/>
      <c r="L107" s="8" t="s">
        <v>33</v>
      </c>
      <c r="M107" s="9">
        <f t="shared" si="1"/>
        <v>65</v>
      </c>
    </row>
    <row r="108" ht="12.75" customHeight="1">
      <c r="A108" s="4">
        <f t="shared" si="2"/>
        <v>107</v>
      </c>
      <c r="B108" s="4" t="s">
        <v>246</v>
      </c>
      <c r="C108" s="5" t="s">
        <v>247</v>
      </c>
      <c r="D108" s="4"/>
      <c r="E108" s="4"/>
      <c r="F108" s="4" t="s">
        <v>22</v>
      </c>
      <c r="G108" s="5" t="s">
        <v>248</v>
      </c>
      <c r="H108" s="7" t="s">
        <v>16</v>
      </c>
      <c r="I108" s="4" t="s">
        <v>17</v>
      </c>
      <c r="J108" s="4" t="s">
        <v>45</v>
      </c>
      <c r="K108" s="8"/>
      <c r="L108" s="8" t="s">
        <v>33</v>
      </c>
      <c r="M108" s="9">
        <f t="shared" si="1"/>
        <v>65</v>
      </c>
    </row>
    <row r="109" ht="12.75" customHeight="1">
      <c r="A109" s="4">
        <f t="shared" si="2"/>
        <v>108</v>
      </c>
      <c r="B109" s="4" t="s">
        <v>249</v>
      </c>
      <c r="C109" s="5" t="s">
        <v>250</v>
      </c>
      <c r="D109" s="4"/>
      <c r="E109" s="4"/>
      <c r="F109" s="4" t="s">
        <v>22</v>
      </c>
      <c r="G109" s="5" t="s">
        <v>251</v>
      </c>
      <c r="H109" s="7" t="s">
        <v>16</v>
      </c>
      <c r="I109" s="4" t="s">
        <v>17</v>
      </c>
      <c r="J109" s="4" t="s">
        <v>45</v>
      </c>
      <c r="K109" s="8"/>
      <c r="L109" s="8" t="s">
        <v>33</v>
      </c>
      <c r="M109" s="9">
        <f t="shared" si="1"/>
        <v>65</v>
      </c>
    </row>
    <row r="110" ht="12.75" customHeight="1">
      <c r="A110" s="4">
        <f t="shared" si="2"/>
        <v>109</v>
      </c>
      <c r="B110" s="4" t="s">
        <v>252</v>
      </c>
      <c r="C110" s="5" t="s">
        <v>253</v>
      </c>
      <c r="D110" s="4"/>
      <c r="E110" s="4"/>
      <c r="F110" s="4" t="s">
        <v>22</v>
      </c>
      <c r="G110" s="6">
        <v>7.16</v>
      </c>
      <c r="H110" s="7" t="s">
        <v>16</v>
      </c>
      <c r="I110" s="4" t="s">
        <v>17</v>
      </c>
      <c r="J110" s="4" t="s">
        <v>45</v>
      </c>
      <c r="K110" s="8"/>
      <c r="L110" s="8" t="s">
        <v>33</v>
      </c>
      <c r="M110" s="9">
        <f t="shared" si="1"/>
        <v>66</v>
      </c>
    </row>
    <row r="111" ht="12.75" customHeight="1">
      <c r="A111" s="4">
        <f t="shared" si="2"/>
        <v>110</v>
      </c>
      <c r="B111" s="4" t="s">
        <v>254</v>
      </c>
      <c r="C111" s="5" t="s">
        <v>255</v>
      </c>
      <c r="D111" s="4"/>
      <c r="E111" s="4"/>
      <c r="F111" s="4" t="s">
        <v>22</v>
      </c>
      <c r="G111" s="6">
        <v>7.16</v>
      </c>
      <c r="H111" s="7" t="s">
        <v>16</v>
      </c>
      <c r="I111" s="4" t="s">
        <v>17</v>
      </c>
      <c r="J111" s="4" t="s">
        <v>45</v>
      </c>
      <c r="K111" s="8"/>
      <c r="L111" s="8" t="s">
        <v>33</v>
      </c>
      <c r="M111" s="9">
        <f t="shared" si="1"/>
        <v>67</v>
      </c>
    </row>
    <row r="112" ht="12.75" customHeight="1">
      <c r="A112" s="4">
        <f t="shared" si="2"/>
        <v>111</v>
      </c>
      <c r="B112" s="4" t="s">
        <v>256</v>
      </c>
      <c r="C112" s="5" t="s">
        <v>257</v>
      </c>
      <c r="D112" s="4"/>
      <c r="E112" s="4"/>
      <c r="F112" s="4" t="s">
        <v>22</v>
      </c>
      <c r="G112" s="6">
        <v>3.03</v>
      </c>
      <c r="H112" s="7" t="s">
        <v>16</v>
      </c>
      <c r="I112" s="4" t="s">
        <v>17</v>
      </c>
      <c r="J112" s="4" t="s">
        <v>23</v>
      </c>
      <c r="K112" s="8"/>
      <c r="L112" s="8" t="s">
        <v>33</v>
      </c>
      <c r="M112" s="9">
        <f t="shared" si="1"/>
        <v>28</v>
      </c>
    </row>
    <row r="113" ht="12.75" customHeight="1">
      <c r="A113" s="4">
        <f t="shared" si="2"/>
        <v>112</v>
      </c>
      <c r="B113" s="4" t="s">
        <v>258</v>
      </c>
      <c r="C113" s="5" t="s">
        <v>259</v>
      </c>
      <c r="D113" s="4"/>
      <c r="E113" s="4"/>
      <c r="F113" s="4" t="s">
        <v>22</v>
      </c>
      <c r="G113" s="6">
        <v>2.84</v>
      </c>
      <c r="H113" s="7" t="s">
        <v>16</v>
      </c>
      <c r="I113" s="4" t="s">
        <v>17</v>
      </c>
      <c r="J113" s="4" t="s">
        <v>45</v>
      </c>
      <c r="K113" s="8"/>
      <c r="L113" s="8" t="s">
        <v>33</v>
      </c>
      <c r="M113" s="9">
        <f t="shared" si="1"/>
        <v>45</v>
      </c>
    </row>
    <row r="114" ht="12.75" customHeight="1">
      <c r="A114" s="4">
        <f t="shared" si="2"/>
        <v>113</v>
      </c>
      <c r="B114" s="4" t="s">
        <v>260</v>
      </c>
      <c r="C114" s="5" t="s">
        <v>261</v>
      </c>
      <c r="D114" s="4"/>
      <c r="E114" s="4"/>
      <c r="F114" s="4" t="s">
        <v>15</v>
      </c>
      <c r="G114" s="6">
        <v>6.06</v>
      </c>
      <c r="H114" s="7" t="s">
        <v>16</v>
      </c>
      <c r="I114" s="4" t="s">
        <v>17</v>
      </c>
      <c r="J114" s="4" t="s">
        <v>184</v>
      </c>
      <c r="K114" s="8"/>
      <c r="L114" s="8" t="s">
        <v>33</v>
      </c>
      <c r="M114" s="9">
        <f t="shared" si="1"/>
        <v>55</v>
      </c>
    </row>
    <row r="115" ht="12.75" customHeight="1">
      <c r="A115" s="4">
        <f t="shared" si="2"/>
        <v>114</v>
      </c>
      <c r="B115" s="4" t="s">
        <v>262</v>
      </c>
      <c r="C115" s="5" t="s">
        <v>263</v>
      </c>
      <c r="D115" s="4"/>
      <c r="E115" s="4"/>
      <c r="F115" s="4" t="s">
        <v>15</v>
      </c>
      <c r="G115" s="6">
        <v>9.15</v>
      </c>
      <c r="H115" s="7" t="s">
        <v>16</v>
      </c>
      <c r="I115" s="4" t="s">
        <v>17</v>
      </c>
      <c r="J115" s="4" t="s">
        <v>18</v>
      </c>
      <c r="K115" s="8"/>
      <c r="L115" s="8" t="s">
        <v>19</v>
      </c>
      <c r="M115" s="9">
        <f t="shared" si="1"/>
        <v>69</v>
      </c>
    </row>
    <row r="116" ht="12.75" customHeight="1">
      <c r="A116" s="4">
        <f t="shared" si="2"/>
        <v>115</v>
      </c>
      <c r="B116" s="4" t="s">
        <v>264</v>
      </c>
      <c r="C116" s="5" t="s">
        <v>265</v>
      </c>
      <c r="D116" s="4"/>
      <c r="E116" s="4"/>
      <c r="F116" s="4" t="s">
        <v>15</v>
      </c>
      <c r="G116" s="6">
        <v>5.95</v>
      </c>
      <c r="H116" s="7" t="s">
        <v>16</v>
      </c>
      <c r="I116" s="4" t="s">
        <v>17</v>
      </c>
      <c r="J116" s="4" t="s">
        <v>18</v>
      </c>
      <c r="K116" s="8"/>
      <c r="L116" s="8" t="s">
        <v>19</v>
      </c>
      <c r="M116" s="9">
        <f t="shared" si="1"/>
        <v>69</v>
      </c>
    </row>
    <row r="117" ht="12.75" customHeight="1">
      <c r="A117" s="4">
        <f t="shared" si="2"/>
        <v>116</v>
      </c>
      <c r="B117" s="4" t="s">
        <v>266</v>
      </c>
      <c r="C117" s="5" t="s">
        <v>267</v>
      </c>
      <c r="D117" s="4"/>
      <c r="E117" s="4"/>
      <c r="F117" s="4" t="s">
        <v>22</v>
      </c>
      <c r="G117" s="6">
        <v>12.5</v>
      </c>
      <c r="H117" s="7" t="s">
        <v>16</v>
      </c>
      <c r="I117" s="4" t="s">
        <v>17</v>
      </c>
      <c r="J117" s="4" t="s">
        <v>23</v>
      </c>
      <c r="K117" s="8"/>
      <c r="L117" s="8" t="s">
        <v>39</v>
      </c>
      <c r="M117" s="9">
        <f t="shared" si="1"/>
        <v>69</v>
      </c>
    </row>
    <row r="118" ht="12.75" customHeight="1">
      <c r="A118" s="4">
        <f t="shared" si="2"/>
        <v>117</v>
      </c>
      <c r="B118" s="4" t="s">
        <v>268</v>
      </c>
      <c r="C118" s="5" t="s">
        <v>269</v>
      </c>
      <c r="D118" s="4"/>
      <c r="E118" s="4"/>
      <c r="F118" s="4" t="s">
        <v>22</v>
      </c>
      <c r="G118" s="6">
        <v>6.06</v>
      </c>
      <c r="H118" s="7" t="s">
        <v>16</v>
      </c>
      <c r="I118" s="4" t="s">
        <v>17</v>
      </c>
      <c r="J118" s="4" t="s">
        <v>184</v>
      </c>
      <c r="K118" s="8"/>
      <c r="L118" s="8" t="s">
        <v>33</v>
      </c>
      <c r="M118" s="9">
        <f t="shared" si="1"/>
        <v>64</v>
      </c>
    </row>
    <row r="119" ht="12.75" customHeight="1">
      <c r="A119" s="4">
        <f t="shared" si="2"/>
        <v>118</v>
      </c>
      <c r="B119" s="4" t="s">
        <v>270</v>
      </c>
      <c r="C119" s="5" t="s">
        <v>271</v>
      </c>
      <c r="D119" s="4"/>
      <c r="E119" s="4"/>
      <c r="F119" s="4" t="s">
        <v>22</v>
      </c>
      <c r="G119" s="6">
        <v>5.52</v>
      </c>
      <c r="H119" s="7" t="s">
        <v>16</v>
      </c>
      <c r="I119" s="4" t="s">
        <v>17</v>
      </c>
      <c r="J119" s="4" t="s">
        <v>45</v>
      </c>
      <c r="K119" s="8"/>
      <c r="L119" s="8" t="s">
        <v>33</v>
      </c>
      <c r="M119" s="9">
        <f t="shared" si="1"/>
        <v>55</v>
      </c>
    </row>
    <row r="120" ht="12.75" customHeight="1">
      <c r="A120" s="4">
        <f t="shared" si="2"/>
        <v>119</v>
      </c>
      <c r="B120" s="4" t="s">
        <v>272</v>
      </c>
      <c r="C120" s="5" t="s">
        <v>273</v>
      </c>
      <c r="D120" s="4"/>
      <c r="E120" s="4"/>
      <c r="F120" s="4" t="s">
        <v>15</v>
      </c>
      <c r="G120" s="6">
        <v>12.5</v>
      </c>
      <c r="H120" s="7" t="s">
        <v>16</v>
      </c>
      <c r="I120" s="4" t="s">
        <v>17</v>
      </c>
      <c r="J120" s="4" t="s">
        <v>274</v>
      </c>
      <c r="K120" s="8"/>
      <c r="L120" s="8" t="s">
        <v>275</v>
      </c>
      <c r="M120" s="9">
        <f t="shared" si="1"/>
        <v>37</v>
      </c>
    </row>
    <row r="121" ht="12.75" customHeight="1">
      <c r="A121" s="4">
        <f t="shared" si="2"/>
        <v>120</v>
      </c>
      <c r="B121" s="4" t="s">
        <v>276</v>
      </c>
      <c r="C121" s="5" t="s">
        <v>277</v>
      </c>
      <c r="D121" s="4"/>
      <c r="E121" s="4"/>
      <c r="F121" s="4" t="s">
        <v>15</v>
      </c>
      <c r="G121" s="6">
        <v>7.85</v>
      </c>
      <c r="H121" s="7" t="s">
        <v>16</v>
      </c>
      <c r="I121" s="4" t="s">
        <v>17</v>
      </c>
      <c r="J121" s="4" t="s">
        <v>274</v>
      </c>
      <c r="K121" s="8"/>
      <c r="L121" s="8" t="s">
        <v>278</v>
      </c>
      <c r="M121" s="9">
        <f t="shared" si="1"/>
        <v>19</v>
      </c>
    </row>
    <row r="122" ht="12.75" customHeight="1">
      <c r="A122" s="4">
        <f t="shared" si="2"/>
        <v>121</v>
      </c>
      <c r="B122" s="4" t="s">
        <v>279</v>
      </c>
      <c r="C122" s="5" t="s">
        <v>280</v>
      </c>
      <c r="D122" s="4"/>
      <c r="E122" s="4"/>
      <c r="F122" s="4" t="s">
        <v>15</v>
      </c>
      <c r="G122" s="6">
        <f t="shared" ref="G122:G124" si="3">8.5/3.7</f>
        <v>2.297297297</v>
      </c>
      <c r="H122" s="7" t="s">
        <v>16</v>
      </c>
      <c r="I122" s="4" t="s">
        <v>17</v>
      </c>
      <c r="J122" s="4" t="s">
        <v>274</v>
      </c>
      <c r="K122" s="8"/>
      <c r="L122" s="8" t="s">
        <v>281</v>
      </c>
      <c r="M122" s="9">
        <f t="shared" si="1"/>
        <v>54</v>
      </c>
    </row>
    <row r="123" ht="12.75" customHeight="1">
      <c r="A123" s="4">
        <f t="shared" si="2"/>
        <v>122</v>
      </c>
      <c r="B123" s="4" t="s">
        <v>282</v>
      </c>
      <c r="C123" s="5" t="s">
        <v>283</v>
      </c>
      <c r="D123" s="4"/>
      <c r="E123" s="4"/>
      <c r="F123" s="4" t="s">
        <v>15</v>
      </c>
      <c r="G123" s="6">
        <f t="shared" si="3"/>
        <v>2.297297297</v>
      </c>
      <c r="H123" s="7" t="s">
        <v>16</v>
      </c>
      <c r="I123" s="4" t="s">
        <v>17</v>
      </c>
      <c r="J123" s="4" t="s">
        <v>274</v>
      </c>
      <c r="K123" s="8"/>
      <c r="L123" s="8" t="s">
        <v>281</v>
      </c>
      <c r="M123" s="9">
        <f t="shared" si="1"/>
        <v>54</v>
      </c>
    </row>
    <row r="124" ht="12.75" customHeight="1">
      <c r="A124" s="4">
        <f t="shared" si="2"/>
        <v>123</v>
      </c>
      <c r="B124" s="4" t="s">
        <v>284</v>
      </c>
      <c r="C124" s="5" t="s">
        <v>285</v>
      </c>
      <c r="D124" s="4"/>
      <c r="E124" s="4"/>
      <c r="F124" s="4" t="s">
        <v>15</v>
      </c>
      <c r="G124" s="6">
        <f t="shared" si="3"/>
        <v>2.297297297</v>
      </c>
      <c r="H124" s="7" t="s">
        <v>16</v>
      </c>
      <c r="I124" s="4" t="s">
        <v>17</v>
      </c>
      <c r="J124" s="4" t="s">
        <v>274</v>
      </c>
      <c r="K124" s="8"/>
      <c r="L124" s="8" t="s">
        <v>281</v>
      </c>
      <c r="M124" s="9">
        <f t="shared" si="1"/>
        <v>54</v>
      </c>
    </row>
    <row r="125" ht="12.75" customHeight="1">
      <c r="A125" s="4">
        <f t="shared" si="2"/>
        <v>124</v>
      </c>
      <c r="B125" s="4" t="s">
        <v>286</v>
      </c>
      <c r="C125" s="5" t="s">
        <v>287</v>
      </c>
      <c r="D125" s="4"/>
      <c r="E125" s="4"/>
      <c r="F125" s="4" t="s">
        <v>15</v>
      </c>
      <c r="G125" s="6">
        <v>11.94</v>
      </c>
      <c r="H125" s="7" t="s">
        <v>16</v>
      </c>
      <c r="I125" s="4" t="s">
        <v>17</v>
      </c>
      <c r="J125" s="4" t="s">
        <v>274</v>
      </c>
      <c r="K125" s="8"/>
      <c r="L125" s="8" t="s">
        <v>288</v>
      </c>
      <c r="M125" s="9">
        <f t="shared" si="1"/>
        <v>53</v>
      </c>
    </row>
    <row r="126" ht="12.75" customHeight="1">
      <c r="A126" s="4">
        <f t="shared" si="2"/>
        <v>125</v>
      </c>
      <c r="B126" s="4" t="s">
        <v>289</v>
      </c>
      <c r="C126" s="5" t="s">
        <v>290</v>
      </c>
      <c r="D126" s="4"/>
      <c r="E126" s="4"/>
      <c r="F126" s="4" t="s">
        <v>15</v>
      </c>
      <c r="G126" s="6">
        <v>11.94</v>
      </c>
      <c r="H126" s="7" t="s">
        <v>16</v>
      </c>
      <c r="I126" s="4" t="s">
        <v>17</v>
      </c>
      <c r="J126" s="4" t="s">
        <v>274</v>
      </c>
      <c r="K126" s="8"/>
      <c r="L126" s="8" t="s">
        <v>288</v>
      </c>
      <c r="M126" s="9">
        <f t="shared" si="1"/>
        <v>53</v>
      </c>
    </row>
    <row r="127" ht="12.75" customHeight="1">
      <c r="A127" s="4">
        <f t="shared" si="2"/>
        <v>126</v>
      </c>
      <c r="B127" s="4" t="s">
        <v>291</v>
      </c>
      <c r="C127" s="5" t="s">
        <v>292</v>
      </c>
      <c r="D127" s="4"/>
      <c r="E127" s="4"/>
      <c r="F127" s="4" t="s">
        <v>15</v>
      </c>
      <c r="G127" s="6">
        <v>11.94</v>
      </c>
      <c r="H127" s="7" t="s">
        <v>16</v>
      </c>
      <c r="I127" s="4" t="s">
        <v>17</v>
      </c>
      <c r="J127" s="4" t="s">
        <v>274</v>
      </c>
      <c r="K127" s="8"/>
      <c r="L127" s="8" t="s">
        <v>288</v>
      </c>
      <c r="M127" s="9">
        <f t="shared" si="1"/>
        <v>53</v>
      </c>
    </row>
    <row r="128" ht="12.75" customHeight="1">
      <c r="A128" s="4">
        <f t="shared" si="2"/>
        <v>127</v>
      </c>
      <c r="B128" s="4" t="s">
        <v>293</v>
      </c>
      <c r="C128" s="5" t="s">
        <v>287</v>
      </c>
      <c r="D128" s="4"/>
      <c r="E128" s="4"/>
      <c r="F128" s="4" t="s">
        <v>15</v>
      </c>
      <c r="G128" s="6">
        <v>3.51</v>
      </c>
      <c r="H128" s="7" t="s">
        <v>16</v>
      </c>
      <c r="I128" s="4" t="s">
        <v>17</v>
      </c>
      <c r="J128" s="4" t="s">
        <v>274</v>
      </c>
      <c r="K128" s="8"/>
      <c r="L128" s="8" t="s">
        <v>27</v>
      </c>
      <c r="M128" s="9">
        <f t="shared" si="1"/>
        <v>53</v>
      </c>
    </row>
    <row r="129" ht="12.75" customHeight="1">
      <c r="A129" s="4">
        <f t="shared" si="2"/>
        <v>128</v>
      </c>
      <c r="B129" s="4" t="s">
        <v>294</v>
      </c>
      <c r="C129" s="5" t="s">
        <v>290</v>
      </c>
      <c r="D129" s="4"/>
      <c r="E129" s="4"/>
      <c r="F129" s="4" t="s">
        <v>15</v>
      </c>
      <c r="G129" s="6">
        <v>3.51</v>
      </c>
      <c r="H129" s="7" t="s">
        <v>16</v>
      </c>
      <c r="I129" s="4" t="s">
        <v>17</v>
      </c>
      <c r="J129" s="4" t="s">
        <v>274</v>
      </c>
      <c r="K129" s="8"/>
      <c r="L129" s="8" t="s">
        <v>27</v>
      </c>
      <c r="M129" s="9">
        <f t="shared" si="1"/>
        <v>53</v>
      </c>
    </row>
    <row r="130" ht="12.75" customHeight="1">
      <c r="A130" s="4">
        <f t="shared" si="2"/>
        <v>129</v>
      </c>
      <c r="B130" s="4" t="s">
        <v>295</v>
      </c>
      <c r="C130" s="5" t="s">
        <v>292</v>
      </c>
      <c r="D130" s="4"/>
      <c r="E130" s="4"/>
      <c r="F130" s="4" t="s">
        <v>15</v>
      </c>
      <c r="G130" s="6">
        <v>3.51</v>
      </c>
      <c r="H130" s="7" t="s">
        <v>16</v>
      </c>
      <c r="I130" s="4" t="s">
        <v>17</v>
      </c>
      <c r="J130" s="4" t="s">
        <v>274</v>
      </c>
      <c r="K130" s="8"/>
      <c r="L130" s="8" t="s">
        <v>27</v>
      </c>
      <c r="M130" s="9">
        <f t="shared" si="1"/>
        <v>53</v>
      </c>
    </row>
    <row r="131" ht="12.75" customHeight="1">
      <c r="A131" s="4">
        <f t="shared" si="2"/>
        <v>130</v>
      </c>
      <c r="B131" s="4" t="s">
        <v>296</v>
      </c>
      <c r="C131" s="5" t="s">
        <v>297</v>
      </c>
      <c r="D131" s="4"/>
      <c r="E131" s="4"/>
      <c r="F131" s="4" t="s">
        <v>15</v>
      </c>
      <c r="G131" s="6">
        <v>3.51</v>
      </c>
      <c r="H131" s="7" t="s">
        <v>16</v>
      </c>
      <c r="I131" s="4" t="s">
        <v>17</v>
      </c>
      <c r="J131" s="4" t="s">
        <v>274</v>
      </c>
      <c r="K131" s="8"/>
      <c r="L131" s="8" t="s">
        <v>33</v>
      </c>
      <c r="M131" s="9">
        <f t="shared" si="1"/>
        <v>27</v>
      </c>
    </row>
    <row r="132" ht="12.75" customHeight="1">
      <c r="A132" s="4">
        <f t="shared" si="2"/>
        <v>131</v>
      </c>
      <c r="B132" s="4" t="s">
        <v>298</v>
      </c>
      <c r="C132" s="5" t="s">
        <v>299</v>
      </c>
      <c r="D132" s="4"/>
      <c r="E132" s="4"/>
      <c r="F132" s="4" t="s">
        <v>15</v>
      </c>
      <c r="G132" s="6">
        <v>5.97</v>
      </c>
      <c r="H132" s="7" t="s">
        <v>16</v>
      </c>
      <c r="I132" s="4" t="s">
        <v>17</v>
      </c>
      <c r="J132" s="4" t="s">
        <v>274</v>
      </c>
      <c r="K132" s="8"/>
      <c r="L132" s="8" t="s">
        <v>300</v>
      </c>
      <c r="M132" s="9">
        <f t="shared" si="1"/>
        <v>32</v>
      </c>
    </row>
    <row r="133" ht="12.75" customHeight="1">
      <c r="A133" s="4">
        <f t="shared" si="2"/>
        <v>132</v>
      </c>
      <c r="B133" s="4" t="s">
        <v>301</v>
      </c>
      <c r="C133" s="5" t="s">
        <v>302</v>
      </c>
      <c r="D133" s="4"/>
      <c r="E133" s="4"/>
      <c r="F133" s="4" t="s">
        <v>15</v>
      </c>
      <c r="G133" s="6">
        <v>5.97</v>
      </c>
      <c r="H133" s="7" t="s">
        <v>16</v>
      </c>
      <c r="I133" s="4" t="s">
        <v>17</v>
      </c>
      <c r="J133" s="4" t="s">
        <v>274</v>
      </c>
      <c r="K133" s="8"/>
      <c r="L133" s="8" t="s">
        <v>303</v>
      </c>
      <c r="M133" s="9">
        <f t="shared" si="1"/>
        <v>40</v>
      </c>
    </row>
    <row r="134" ht="12.75" customHeight="1">
      <c r="A134" s="4">
        <f t="shared" si="2"/>
        <v>133</v>
      </c>
      <c r="B134" s="4" t="s">
        <v>304</v>
      </c>
      <c r="C134" s="5" t="s">
        <v>305</v>
      </c>
      <c r="D134" s="4"/>
      <c r="E134" s="4"/>
      <c r="F134" s="4" t="s">
        <v>15</v>
      </c>
      <c r="G134" s="6">
        <v>5.06</v>
      </c>
      <c r="H134" s="7" t="s">
        <v>16</v>
      </c>
      <c r="I134" s="4" t="s">
        <v>17</v>
      </c>
      <c r="J134" s="4" t="s">
        <v>274</v>
      </c>
      <c r="K134" s="8"/>
      <c r="L134" s="8" t="s">
        <v>303</v>
      </c>
      <c r="M134" s="9">
        <f t="shared" si="1"/>
        <v>53</v>
      </c>
    </row>
    <row r="135" ht="12.75" customHeight="1">
      <c r="A135" s="4">
        <f t="shared" si="2"/>
        <v>134</v>
      </c>
      <c r="B135" s="4" t="s">
        <v>306</v>
      </c>
      <c r="C135" s="5" t="s">
        <v>307</v>
      </c>
      <c r="D135" s="4"/>
      <c r="E135" s="4"/>
      <c r="F135" s="4" t="s">
        <v>15</v>
      </c>
      <c r="G135" s="6">
        <v>1.43</v>
      </c>
      <c r="H135" s="7" t="s">
        <v>16</v>
      </c>
      <c r="I135" s="4" t="s">
        <v>17</v>
      </c>
      <c r="J135" s="4" t="s">
        <v>274</v>
      </c>
      <c r="K135" s="8"/>
      <c r="L135" s="8" t="s">
        <v>303</v>
      </c>
      <c r="M135" s="9">
        <f t="shared" si="1"/>
        <v>48</v>
      </c>
    </row>
    <row r="136" ht="12.75" customHeight="1">
      <c r="A136" s="4">
        <f t="shared" si="2"/>
        <v>135</v>
      </c>
      <c r="B136" s="4" t="s">
        <v>308</v>
      </c>
      <c r="C136" s="5" t="s">
        <v>309</v>
      </c>
      <c r="D136" s="4"/>
      <c r="E136" s="4"/>
      <c r="F136" s="4" t="s">
        <v>15</v>
      </c>
      <c r="G136" s="6">
        <v>10.35</v>
      </c>
      <c r="H136" s="7" t="s">
        <v>16</v>
      </c>
      <c r="I136" s="4" t="s">
        <v>17</v>
      </c>
      <c r="J136" s="4" t="s">
        <v>274</v>
      </c>
      <c r="K136" s="8"/>
      <c r="L136" s="8" t="s">
        <v>33</v>
      </c>
      <c r="M136" s="9">
        <f t="shared" si="1"/>
        <v>26</v>
      </c>
    </row>
    <row r="137" ht="12.75" customHeight="1">
      <c r="A137" s="4">
        <f t="shared" si="2"/>
        <v>136</v>
      </c>
      <c r="B137" s="4" t="s">
        <v>310</v>
      </c>
      <c r="C137" s="5" t="s">
        <v>311</v>
      </c>
      <c r="D137" s="4"/>
      <c r="E137" s="4"/>
      <c r="F137" s="4" t="s">
        <v>15</v>
      </c>
      <c r="G137" s="6">
        <v>25.09</v>
      </c>
      <c r="H137" s="7" t="s">
        <v>16</v>
      </c>
      <c r="I137" s="4" t="s">
        <v>17</v>
      </c>
      <c r="J137" s="4" t="s">
        <v>274</v>
      </c>
      <c r="K137" s="8"/>
      <c r="L137" s="8" t="s">
        <v>33</v>
      </c>
      <c r="M137" s="9">
        <f t="shared" si="1"/>
        <v>43</v>
      </c>
    </row>
    <row r="138" ht="12.75" customHeight="1">
      <c r="A138" s="4">
        <f t="shared" si="2"/>
        <v>137</v>
      </c>
      <c r="B138" s="4" t="s">
        <v>312</v>
      </c>
      <c r="C138" s="5" t="s">
        <v>313</v>
      </c>
      <c r="D138" s="4"/>
      <c r="E138" s="4"/>
      <c r="F138" s="4" t="s">
        <v>15</v>
      </c>
      <c r="G138" s="6">
        <v>47.59</v>
      </c>
      <c r="H138" s="7" t="s">
        <v>16</v>
      </c>
      <c r="I138" s="4" t="s">
        <v>17</v>
      </c>
      <c r="J138" s="4" t="s">
        <v>274</v>
      </c>
      <c r="K138" s="8"/>
      <c r="L138" s="8" t="s">
        <v>33</v>
      </c>
      <c r="M138" s="9">
        <f t="shared" si="1"/>
        <v>43</v>
      </c>
    </row>
    <row r="139" ht="12.75" customHeight="1">
      <c r="A139" s="4">
        <f t="shared" si="2"/>
        <v>138</v>
      </c>
      <c r="B139" s="4" t="s">
        <v>314</v>
      </c>
      <c r="C139" s="5" t="s">
        <v>315</v>
      </c>
      <c r="D139" s="4"/>
      <c r="E139" s="4"/>
      <c r="F139" s="4" t="s">
        <v>15</v>
      </c>
      <c r="G139" s="6">
        <v>52.3</v>
      </c>
      <c r="H139" s="7" t="s">
        <v>16</v>
      </c>
      <c r="I139" s="4" t="s">
        <v>17</v>
      </c>
      <c r="J139" s="4" t="s">
        <v>274</v>
      </c>
      <c r="K139" s="8"/>
      <c r="L139" s="8" t="s">
        <v>33</v>
      </c>
      <c r="M139" s="9">
        <f t="shared" si="1"/>
        <v>44</v>
      </c>
    </row>
    <row r="140" ht="12.75" customHeight="1">
      <c r="A140" s="4">
        <f t="shared" si="2"/>
        <v>139</v>
      </c>
      <c r="B140" s="4" t="s">
        <v>316</v>
      </c>
      <c r="C140" s="5" t="s">
        <v>317</v>
      </c>
      <c r="D140" s="4"/>
      <c r="E140" s="4"/>
      <c r="F140" s="4" t="s">
        <v>15</v>
      </c>
      <c r="G140" s="6">
        <v>64.89</v>
      </c>
      <c r="H140" s="7" t="s">
        <v>16</v>
      </c>
      <c r="I140" s="4" t="s">
        <v>17</v>
      </c>
      <c r="J140" s="4" t="s">
        <v>274</v>
      </c>
      <c r="K140" s="8"/>
      <c r="L140" s="8" t="s">
        <v>33</v>
      </c>
      <c r="M140" s="9">
        <f t="shared" si="1"/>
        <v>44</v>
      </c>
    </row>
    <row r="141" ht="12.75" customHeight="1">
      <c r="A141" s="4">
        <f t="shared" si="2"/>
        <v>140</v>
      </c>
      <c r="B141" s="4" t="s">
        <v>318</v>
      </c>
      <c r="C141" s="5" t="s">
        <v>319</v>
      </c>
      <c r="D141" s="4"/>
      <c r="E141" s="4"/>
      <c r="F141" s="4" t="s">
        <v>15</v>
      </c>
      <c r="G141" s="6">
        <v>112.48</v>
      </c>
      <c r="H141" s="7" t="s">
        <v>16</v>
      </c>
      <c r="I141" s="4" t="s">
        <v>17</v>
      </c>
      <c r="J141" s="4" t="s">
        <v>274</v>
      </c>
      <c r="K141" s="8"/>
      <c r="L141" s="8" t="s">
        <v>33</v>
      </c>
      <c r="M141" s="9">
        <f t="shared" si="1"/>
        <v>44</v>
      </c>
    </row>
    <row r="142" ht="12.75" customHeight="1">
      <c r="A142" s="4">
        <f t="shared" si="2"/>
        <v>141</v>
      </c>
      <c r="B142" s="4" t="s">
        <v>320</v>
      </c>
      <c r="C142" s="5" t="s">
        <v>321</v>
      </c>
      <c r="D142" s="4"/>
      <c r="E142" s="4"/>
      <c r="F142" s="4" t="s">
        <v>15</v>
      </c>
      <c r="G142" s="6">
        <v>2.53</v>
      </c>
      <c r="H142" s="7" t="s">
        <v>16</v>
      </c>
      <c r="I142" s="4" t="s">
        <v>17</v>
      </c>
      <c r="J142" s="4" t="s">
        <v>274</v>
      </c>
      <c r="K142" s="8"/>
      <c r="L142" s="8" t="s">
        <v>300</v>
      </c>
      <c r="M142" s="9">
        <f t="shared" si="1"/>
        <v>32</v>
      </c>
    </row>
    <row r="143" ht="12.75" customHeight="1">
      <c r="A143" s="4">
        <f t="shared" si="2"/>
        <v>142</v>
      </c>
      <c r="B143" s="4" t="s">
        <v>322</v>
      </c>
      <c r="C143" s="5" t="s">
        <v>323</v>
      </c>
      <c r="D143" s="4"/>
      <c r="E143" s="4"/>
      <c r="F143" s="4" t="s">
        <v>22</v>
      </c>
      <c r="G143" s="6">
        <v>11.35</v>
      </c>
      <c r="H143" s="7" t="s">
        <v>16</v>
      </c>
      <c r="I143" s="4" t="s">
        <v>17</v>
      </c>
      <c r="J143" s="4" t="s">
        <v>324</v>
      </c>
      <c r="K143" s="8"/>
      <c r="L143" s="8" t="s">
        <v>33</v>
      </c>
      <c r="M143" s="9">
        <f t="shared" si="1"/>
        <v>29</v>
      </c>
    </row>
    <row r="144" ht="12.75" customHeight="1">
      <c r="A144" s="4">
        <f t="shared" si="2"/>
        <v>143</v>
      </c>
      <c r="B144" s="4" t="s">
        <v>325</v>
      </c>
      <c r="C144" s="5" t="s">
        <v>326</v>
      </c>
      <c r="D144" s="4"/>
      <c r="E144" s="4"/>
      <c r="F144" s="4" t="s">
        <v>22</v>
      </c>
      <c r="G144" s="6">
        <v>2.5</v>
      </c>
      <c r="H144" s="7" t="s">
        <v>16</v>
      </c>
      <c r="I144" s="4" t="s">
        <v>17</v>
      </c>
      <c r="J144" s="4" t="s">
        <v>23</v>
      </c>
      <c r="K144" s="8"/>
      <c r="L144" s="8" t="s">
        <v>19</v>
      </c>
      <c r="M144" s="9">
        <f t="shared" si="1"/>
        <v>61</v>
      </c>
    </row>
    <row r="145" ht="12.75" customHeight="1">
      <c r="A145" s="4">
        <f t="shared" si="2"/>
        <v>144</v>
      </c>
      <c r="B145" s="4" t="s">
        <v>327</v>
      </c>
      <c r="C145" s="5" t="s">
        <v>328</v>
      </c>
      <c r="D145" s="4"/>
      <c r="E145" s="4"/>
      <c r="F145" s="4" t="s">
        <v>22</v>
      </c>
      <c r="G145" s="6">
        <v>5.52</v>
      </c>
      <c r="H145" s="7" t="s">
        <v>16</v>
      </c>
      <c r="I145" s="4" t="s">
        <v>17</v>
      </c>
      <c r="J145" s="4" t="s">
        <v>23</v>
      </c>
      <c r="K145" s="8"/>
      <c r="L145" s="8" t="s">
        <v>27</v>
      </c>
      <c r="M145" s="9">
        <f t="shared" si="1"/>
        <v>28</v>
      </c>
    </row>
    <row r="146" ht="12.75" customHeight="1">
      <c r="A146" s="4">
        <f t="shared" si="2"/>
        <v>145</v>
      </c>
      <c r="B146" s="4" t="s">
        <v>329</v>
      </c>
      <c r="C146" s="5" t="s">
        <v>330</v>
      </c>
      <c r="D146" s="4"/>
      <c r="E146" s="4"/>
      <c r="F146" s="4" t="s">
        <v>22</v>
      </c>
      <c r="G146" s="6">
        <v>1.88</v>
      </c>
      <c r="H146" s="7" t="s">
        <v>16</v>
      </c>
      <c r="I146" s="4" t="s">
        <v>17</v>
      </c>
      <c r="J146" s="4" t="s">
        <v>23</v>
      </c>
      <c r="K146" s="8"/>
      <c r="L146" s="8" t="s">
        <v>331</v>
      </c>
      <c r="M146" s="9">
        <f t="shared" si="1"/>
        <v>58</v>
      </c>
    </row>
    <row r="147" ht="12.75" customHeight="1">
      <c r="A147" s="4">
        <f t="shared" si="2"/>
        <v>146</v>
      </c>
      <c r="B147" s="4" t="s">
        <v>332</v>
      </c>
      <c r="C147" s="5" t="s">
        <v>333</v>
      </c>
      <c r="D147" s="4"/>
      <c r="E147" s="4"/>
      <c r="F147" s="4" t="s">
        <v>22</v>
      </c>
      <c r="G147" s="6">
        <v>3.25</v>
      </c>
      <c r="H147" s="7" t="s">
        <v>16</v>
      </c>
      <c r="I147" s="4" t="s">
        <v>17</v>
      </c>
      <c r="J147" s="4" t="s">
        <v>23</v>
      </c>
      <c r="K147" s="8"/>
      <c r="L147" s="8" t="s">
        <v>334</v>
      </c>
      <c r="M147" s="9">
        <f t="shared" si="1"/>
        <v>65</v>
      </c>
    </row>
    <row r="148" ht="12.75" customHeight="1">
      <c r="A148" s="4">
        <f t="shared" si="2"/>
        <v>147</v>
      </c>
      <c r="B148" s="4" t="s">
        <v>335</v>
      </c>
      <c r="C148" s="5" t="s">
        <v>336</v>
      </c>
      <c r="D148" s="4"/>
      <c r="E148" s="4"/>
      <c r="F148" s="4" t="s">
        <v>22</v>
      </c>
      <c r="G148" s="6">
        <v>1.88</v>
      </c>
      <c r="H148" s="7" t="s">
        <v>16</v>
      </c>
      <c r="I148" s="4" t="s">
        <v>17</v>
      </c>
      <c r="J148" s="4" t="s">
        <v>23</v>
      </c>
      <c r="K148" s="8"/>
      <c r="L148" s="8" t="s">
        <v>331</v>
      </c>
      <c r="M148" s="9">
        <f t="shared" si="1"/>
        <v>59</v>
      </c>
    </row>
    <row r="149" ht="12.75" customHeight="1">
      <c r="A149" s="4">
        <f t="shared" si="2"/>
        <v>148</v>
      </c>
      <c r="B149" s="4" t="s">
        <v>337</v>
      </c>
      <c r="C149" s="5" t="s">
        <v>338</v>
      </c>
      <c r="D149" s="4"/>
      <c r="E149" s="4"/>
      <c r="F149" s="4" t="s">
        <v>22</v>
      </c>
      <c r="G149" s="6">
        <v>3.25</v>
      </c>
      <c r="H149" s="7" t="s">
        <v>16</v>
      </c>
      <c r="I149" s="4" t="s">
        <v>17</v>
      </c>
      <c r="J149" s="4" t="s">
        <v>23</v>
      </c>
      <c r="K149" s="8"/>
      <c r="L149" s="8" t="s">
        <v>334</v>
      </c>
      <c r="M149" s="9">
        <f t="shared" si="1"/>
        <v>65</v>
      </c>
    </row>
    <row r="150" ht="12.75" customHeight="1">
      <c r="A150" s="4">
        <f t="shared" si="2"/>
        <v>149</v>
      </c>
      <c r="B150" s="4" t="s">
        <v>339</v>
      </c>
      <c r="C150" s="5" t="s">
        <v>340</v>
      </c>
      <c r="D150" s="4"/>
      <c r="E150" s="4"/>
      <c r="F150" s="4" t="s">
        <v>22</v>
      </c>
      <c r="G150" s="6">
        <v>3.58</v>
      </c>
      <c r="H150" s="7" t="s">
        <v>16</v>
      </c>
      <c r="I150" s="4" t="s">
        <v>17</v>
      </c>
      <c r="J150" s="4" t="s">
        <v>23</v>
      </c>
      <c r="K150" s="8"/>
      <c r="L150" s="8" t="s">
        <v>19</v>
      </c>
      <c r="M150" s="9">
        <f t="shared" si="1"/>
        <v>48</v>
      </c>
    </row>
    <row r="151" ht="12.75" customHeight="1">
      <c r="A151" s="4">
        <f t="shared" si="2"/>
        <v>150</v>
      </c>
      <c r="B151" s="4" t="s">
        <v>341</v>
      </c>
      <c r="C151" s="5" t="s">
        <v>342</v>
      </c>
      <c r="D151" s="4"/>
      <c r="E151" s="4"/>
      <c r="F151" s="4" t="s">
        <v>22</v>
      </c>
      <c r="G151" s="6">
        <v>1.08</v>
      </c>
      <c r="H151" s="7" t="s">
        <v>16</v>
      </c>
      <c r="I151" s="4" t="s">
        <v>17</v>
      </c>
      <c r="J151" s="4" t="s">
        <v>23</v>
      </c>
      <c r="K151" s="8"/>
      <c r="L151" s="8" t="s">
        <v>33</v>
      </c>
      <c r="M151" s="9">
        <f t="shared" si="1"/>
        <v>41</v>
      </c>
    </row>
    <row r="152" ht="12.75" customHeight="1">
      <c r="A152" s="4">
        <f t="shared" si="2"/>
        <v>151</v>
      </c>
      <c r="B152" s="4" t="s">
        <v>343</v>
      </c>
      <c r="C152" s="5" t="s">
        <v>344</v>
      </c>
      <c r="D152" s="4"/>
      <c r="E152" s="4"/>
      <c r="F152" s="4" t="s">
        <v>22</v>
      </c>
      <c r="G152" s="6">
        <v>3.33</v>
      </c>
      <c r="H152" s="7" t="s">
        <v>16</v>
      </c>
      <c r="I152" s="4" t="s">
        <v>17</v>
      </c>
      <c r="J152" s="4" t="s">
        <v>23</v>
      </c>
      <c r="K152" s="8"/>
      <c r="L152" s="8" t="s">
        <v>33</v>
      </c>
      <c r="M152" s="9">
        <f t="shared" si="1"/>
        <v>33</v>
      </c>
    </row>
    <row r="153" ht="12.75" customHeight="1">
      <c r="A153" s="4">
        <f t="shared" si="2"/>
        <v>152</v>
      </c>
      <c r="B153" s="4" t="s">
        <v>345</v>
      </c>
      <c r="C153" s="5" t="s">
        <v>346</v>
      </c>
      <c r="D153" s="4"/>
      <c r="E153" s="4"/>
      <c r="F153" s="4" t="s">
        <v>22</v>
      </c>
      <c r="G153" s="6">
        <v>175.68</v>
      </c>
      <c r="H153" s="7" t="s">
        <v>16</v>
      </c>
      <c r="I153" s="4" t="s">
        <v>17</v>
      </c>
      <c r="J153" s="4" t="s">
        <v>32</v>
      </c>
      <c r="K153" s="8"/>
      <c r="L153" s="8" t="s">
        <v>33</v>
      </c>
      <c r="M153" s="9">
        <f t="shared" si="1"/>
        <v>78</v>
      </c>
    </row>
    <row r="154" ht="12.75" customHeight="1">
      <c r="A154" s="4">
        <f t="shared" si="2"/>
        <v>153</v>
      </c>
      <c r="B154" s="4" t="s">
        <v>347</v>
      </c>
      <c r="C154" s="5" t="s">
        <v>348</v>
      </c>
      <c r="D154" s="4"/>
      <c r="E154" s="4"/>
      <c r="F154" s="4" t="s">
        <v>22</v>
      </c>
      <c r="G154" s="6">
        <v>162.16</v>
      </c>
      <c r="H154" s="7" t="s">
        <v>16</v>
      </c>
      <c r="I154" s="4" t="s">
        <v>17</v>
      </c>
      <c r="J154" s="4" t="s">
        <v>32</v>
      </c>
      <c r="K154" s="8"/>
      <c r="L154" s="8" t="s">
        <v>33</v>
      </c>
      <c r="M154" s="9">
        <f t="shared" si="1"/>
        <v>78</v>
      </c>
    </row>
    <row r="155" ht="12.75" customHeight="1">
      <c r="A155" s="4">
        <f t="shared" si="2"/>
        <v>154</v>
      </c>
      <c r="B155" s="4" t="s">
        <v>349</v>
      </c>
      <c r="C155" s="5" t="s">
        <v>350</v>
      </c>
      <c r="D155" s="4"/>
      <c r="E155" s="4"/>
      <c r="F155" s="4" t="s">
        <v>22</v>
      </c>
      <c r="G155" s="6">
        <v>67.3</v>
      </c>
      <c r="H155" s="7" t="s">
        <v>16</v>
      </c>
      <c r="I155" s="4" t="s">
        <v>17</v>
      </c>
      <c r="J155" s="4" t="s">
        <v>32</v>
      </c>
      <c r="K155" s="8"/>
      <c r="L155" s="8" t="s">
        <v>33</v>
      </c>
      <c r="M155" s="9">
        <f t="shared" si="1"/>
        <v>74</v>
      </c>
    </row>
    <row r="156" ht="12.75" customHeight="1">
      <c r="A156" s="4">
        <f t="shared" si="2"/>
        <v>155</v>
      </c>
      <c r="B156" s="4" t="s">
        <v>351</v>
      </c>
      <c r="C156" s="5" t="s">
        <v>352</v>
      </c>
      <c r="D156" s="4"/>
      <c r="E156" s="4"/>
      <c r="F156" s="4" t="s">
        <v>22</v>
      </c>
      <c r="G156" s="6">
        <v>40.54</v>
      </c>
      <c r="H156" s="7" t="s">
        <v>16</v>
      </c>
      <c r="I156" s="4" t="s">
        <v>17</v>
      </c>
      <c r="J156" s="4" t="s">
        <v>32</v>
      </c>
      <c r="K156" s="8"/>
      <c r="L156" s="8" t="s">
        <v>33</v>
      </c>
      <c r="M156" s="9">
        <f t="shared" si="1"/>
        <v>68</v>
      </c>
    </row>
    <row r="157" ht="12.75" customHeight="1">
      <c r="A157" s="4">
        <f t="shared" si="2"/>
        <v>156</v>
      </c>
      <c r="B157" s="4" t="s">
        <v>353</v>
      </c>
      <c r="C157" s="5" t="s">
        <v>354</v>
      </c>
      <c r="D157" s="4"/>
      <c r="E157" s="4"/>
      <c r="F157" s="4" t="s">
        <v>22</v>
      </c>
      <c r="G157" s="6">
        <v>36.49</v>
      </c>
      <c r="H157" s="7" t="s">
        <v>16</v>
      </c>
      <c r="I157" s="4" t="s">
        <v>17</v>
      </c>
      <c r="J157" s="4" t="s">
        <v>32</v>
      </c>
      <c r="K157" s="8"/>
      <c r="L157" s="8" t="s">
        <v>33</v>
      </c>
      <c r="M157" s="9">
        <f t="shared" si="1"/>
        <v>66</v>
      </c>
    </row>
    <row r="158" ht="12.75" customHeight="1">
      <c r="A158" s="4">
        <f t="shared" si="2"/>
        <v>157</v>
      </c>
      <c r="B158" s="4" t="s">
        <v>355</v>
      </c>
      <c r="C158" s="5" t="s">
        <v>356</v>
      </c>
      <c r="D158" s="4"/>
      <c r="E158" s="4"/>
      <c r="F158" s="4" t="s">
        <v>22</v>
      </c>
      <c r="G158" s="6">
        <v>29.73</v>
      </c>
      <c r="H158" s="7" t="s">
        <v>16</v>
      </c>
      <c r="I158" s="4" t="s">
        <v>17</v>
      </c>
      <c r="J158" s="4" t="s">
        <v>32</v>
      </c>
      <c r="K158" s="8"/>
      <c r="L158" s="8" t="s">
        <v>33</v>
      </c>
      <c r="M158" s="9">
        <f t="shared" si="1"/>
        <v>64</v>
      </c>
    </row>
    <row r="159" ht="12.75" customHeight="1">
      <c r="A159" s="4">
        <f t="shared" si="2"/>
        <v>158</v>
      </c>
      <c r="B159" s="4" t="s">
        <v>357</v>
      </c>
      <c r="C159" s="5" t="s">
        <v>358</v>
      </c>
      <c r="D159" s="4"/>
      <c r="E159" s="4"/>
      <c r="F159" s="4" t="s">
        <v>22</v>
      </c>
      <c r="G159" s="6">
        <v>6.88</v>
      </c>
      <c r="H159" s="7" t="s">
        <v>16</v>
      </c>
      <c r="I159" s="4" t="s">
        <v>17</v>
      </c>
      <c r="J159" s="4" t="s">
        <v>184</v>
      </c>
      <c r="K159" s="8"/>
      <c r="L159" s="8" t="s">
        <v>33</v>
      </c>
      <c r="M159" s="9">
        <f t="shared" si="1"/>
        <v>39</v>
      </c>
    </row>
    <row r="160" ht="12.75" customHeight="1">
      <c r="A160" s="4">
        <f t="shared" si="2"/>
        <v>159</v>
      </c>
      <c r="B160" s="4" t="s">
        <v>359</v>
      </c>
      <c r="C160" s="5" t="s">
        <v>360</v>
      </c>
      <c r="D160" s="4"/>
      <c r="E160" s="4"/>
      <c r="F160" s="4" t="s">
        <v>15</v>
      </c>
      <c r="G160" s="6">
        <v>5.97</v>
      </c>
      <c r="H160" s="7" t="s">
        <v>16</v>
      </c>
      <c r="I160" s="4" t="s">
        <v>17</v>
      </c>
      <c r="J160" s="4" t="s">
        <v>274</v>
      </c>
      <c r="K160" s="8"/>
      <c r="L160" s="8" t="s">
        <v>275</v>
      </c>
      <c r="M160" s="9">
        <f t="shared" si="1"/>
        <v>51</v>
      </c>
    </row>
    <row r="161" ht="12.75" customHeight="1">
      <c r="A161" s="4">
        <f t="shared" si="2"/>
        <v>160</v>
      </c>
      <c r="B161" s="4" t="s">
        <v>361</v>
      </c>
      <c r="C161" s="5" t="s">
        <v>362</v>
      </c>
      <c r="D161" s="4"/>
      <c r="E161" s="4"/>
      <c r="F161" s="4" t="s">
        <v>22</v>
      </c>
      <c r="G161" s="6">
        <f>1/3.7</f>
        <v>0.2702702703</v>
      </c>
      <c r="H161" s="7" t="s">
        <v>16</v>
      </c>
      <c r="I161" s="4" t="s">
        <v>17</v>
      </c>
      <c r="J161" s="4" t="s">
        <v>18</v>
      </c>
      <c r="K161" s="8"/>
      <c r="L161" s="8" t="s">
        <v>33</v>
      </c>
      <c r="M161" s="9">
        <f t="shared" si="1"/>
        <v>27</v>
      </c>
    </row>
    <row r="162" ht="12.75" customHeight="1">
      <c r="A162" s="4">
        <f t="shared" si="2"/>
        <v>161</v>
      </c>
      <c r="B162" s="4" t="s">
        <v>363</v>
      </c>
      <c r="C162" s="5" t="s">
        <v>364</v>
      </c>
      <c r="D162" s="4"/>
      <c r="E162" s="4"/>
      <c r="F162" s="4" t="s">
        <v>22</v>
      </c>
      <c r="G162" s="6">
        <v>0.15</v>
      </c>
      <c r="H162" s="7" t="s">
        <v>16</v>
      </c>
      <c r="I162" s="4" t="s">
        <v>17</v>
      </c>
      <c r="J162" s="4" t="s">
        <v>18</v>
      </c>
      <c r="K162" s="8"/>
      <c r="L162" s="8" t="s">
        <v>33</v>
      </c>
      <c r="M162" s="9">
        <f t="shared" si="1"/>
        <v>35</v>
      </c>
    </row>
    <row r="163" ht="12.75" customHeight="1">
      <c r="A163" s="4">
        <f t="shared" si="2"/>
        <v>162</v>
      </c>
      <c r="B163" s="4" t="s">
        <v>365</v>
      </c>
      <c r="C163" s="5" t="s">
        <v>366</v>
      </c>
      <c r="D163" s="4"/>
      <c r="E163" s="4"/>
      <c r="F163" s="4" t="s">
        <v>22</v>
      </c>
      <c r="G163" s="6">
        <v>8.51</v>
      </c>
      <c r="H163" s="7" t="s">
        <v>16</v>
      </c>
      <c r="I163" s="4" t="s">
        <v>17</v>
      </c>
      <c r="J163" s="4" t="s">
        <v>23</v>
      </c>
      <c r="K163" s="8"/>
      <c r="L163" s="8" t="s">
        <v>33</v>
      </c>
      <c r="M163" s="9">
        <f t="shared" si="1"/>
        <v>30</v>
      </c>
    </row>
    <row r="164" ht="12.75" customHeight="1">
      <c r="A164" s="4">
        <f t="shared" si="2"/>
        <v>163</v>
      </c>
      <c r="B164" s="4" t="s">
        <v>367</v>
      </c>
      <c r="C164" s="5" t="s">
        <v>368</v>
      </c>
      <c r="D164" s="4"/>
      <c r="E164" s="4"/>
      <c r="F164" s="4" t="s">
        <v>22</v>
      </c>
      <c r="G164" s="6">
        <f>6.5/3.7</f>
        <v>1.756756757</v>
      </c>
      <c r="H164" s="7" t="s">
        <v>16</v>
      </c>
      <c r="I164" s="4" t="s">
        <v>17</v>
      </c>
      <c r="J164" s="4" t="s">
        <v>23</v>
      </c>
      <c r="K164" s="8"/>
      <c r="L164" s="8" t="s">
        <v>33</v>
      </c>
      <c r="M164" s="9">
        <f t="shared" si="1"/>
        <v>36</v>
      </c>
    </row>
    <row r="165" ht="12.75" customHeight="1">
      <c r="A165" s="4">
        <f t="shared" si="2"/>
        <v>164</v>
      </c>
      <c r="B165" s="4" t="s">
        <v>369</v>
      </c>
      <c r="C165" s="5" t="s">
        <v>370</v>
      </c>
      <c r="D165" s="4"/>
      <c r="E165" s="4"/>
      <c r="F165" s="4" t="s">
        <v>371</v>
      </c>
      <c r="G165" s="6">
        <v>17.26</v>
      </c>
      <c r="H165" s="7" t="s">
        <v>16</v>
      </c>
      <c r="I165" s="4" t="s">
        <v>17</v>
      </c>
      <c r="J165" s="4" t="s">
        <v>372</v>
      </c>
      <c r="K165" s="8"/>
      <c r="L165" s="8" t="s">
        <v>19</v>
      </c>
      <c r="M165" s="9">
        <f t="shared" si="1"/>
        <v>55</v>
      </c>
    </row>
    <row r="166" ht="12.75" customHeight="1">
      <c r="A166" s="4">
        <f t="shared" si="2"/>
        <v>165</v>
      </c>
      <c r="B166" s="4" t="s">
        <v>373</v>
      </c>
      <c r="C166" s="5" t="s">
        <v>374</v>
      </c>
      <c r="D166" s="4"/>
      <c r="E166" s="4"/>
      <c r="F166" s="4" t="s">
        <v>22</v>
      </c>
      <c r="G166" s="6">
        <v>34.63</v>
      </c>
      <c r="H166" s="7" t="s">
        <v>16</v>
      </c>
      <c r="I166" s="4" t="s">
        <v>17</v>
      </c>
      <c r="J166" s="4" t="s">
        <v>184</v>
      </c>
      <c r="K166" s="8"/>
      <c r="L166" s="8" t="s">
        <v>33</v>
      </c>
      <c r="M166" s="9">
        <f t="shared" si="1"/>
        <v>55</v>
      </c>
    </row>
    <row r="167" ht="12.75" customHeight="1">
      <c r="A167" s="4">
        <f t="shared" si="2"/>
        <v>166</v>
      </c>
      <c r="B167" s="4" t="s">
        <v>375</v>
      </c>
      <c r="C167" s="5" t="s">
        <v>376</v>
      </c>
      <c r="D167" s="4"/>
      <c r="E167" s="4"/>
      <c r="F167" s="4" t="s">
        <v>22</v>
      </c>
      <c r="G167" s="6">
        <v>9.4</v>
      </c>
      <c r="H167" s="7" t="s">
        <v>16</v>
      </c>
      <c r="I167" s="4" t="s">
        <v>17</v>
      </c>
      <c r="J167" s="4" t="s">
        <v>45</v>
      </c>
      <c r="K167" s="8"/>
      <c r="L167" s="8" t="s">
        <v>33</v>
      </c>
      <c r="M167" s="9">
        <f t="shared" si="1"/>
        <v>77</v>
      </c>
    </row>
    <row r="168" ht="12.75" customHeight="1">
      <c r="A168" s="4">
        <f t="shared" si="2"/>
        <v>167</v>
      </c>
      <c r="B168" s="4" t="s">
        <v>377</v>
      </c>
      <c r="C168" s="5" t="s">
        <v>378</v>
      </c>
      <c r="D168" s="4"/>
      <c r="E168" s="4"/>
      <c r="F168" s="4" t="s">
        <v>22</v>
      </c>
      <c r="G168" s="6">
        <v>9.4</v>
      </c>
      <c r="H168" s="7" t="s">
        <v>16</v>
      </c>
      <c r="I168" s="4" t="s">
        <v>17</v>
      </c>
      <c r="J168" s="4" t="s">
        <v>45</v>
      </c>
      <c r="K168" s="8"/>
      <c r="L168" s="8" t="s">
        <v>33</v>
      </c>
      <c r="M168" s="9">
        <f t="shared" si="1"/>
        <v>77</v>
      </c>
    </row>
    <row r="169" ht="12.75" customHeight="1">
      <c r="A169" s="4">
        <f t="shared" si="2"/>
        <v>168</v>
      </c>
      <c r="B169" s="4" t="s">
        <v>379</v>
      </c>
      <c r="C169" s="5" t="s">
        <v>380</v>
      </c>
      <c r="D169" s="4"/>
      <c r="E169" s="4"/>
      <c r="F169" s="4" t="s">
        <v>22</v>
      </c>
      <c r="G169" s="6">
        <v>9.4</v>
      </c>
      <c r="H169" s="7" t="s">
        <v>16</v>
      </c>
      <c r="I169" s="4" t="s">
        <v>17</v>
      </c>
      <c r="J169" s="4" t="s">
        <v>45</v>
      </c>
      <c r="K169" s="8"/>
      <c r="L169" s="8" t="s">
        <v>33</v>
      </c>
      <c r="M169" s="9">
        <f t="shared" si="1"/>
        <v>77</v>
      </c>
    </row>
    <row r="170" ht="12.75" customHeight="1">
      <c r="A170" s="4">
        <f t="shared" si="2"/>
        <v>169</v>
      </c>
      <c r="B170" s="4" t="s">
        <v>381</v>
      </c>
      <c r="C170" s="5" t="s">
        <v>382</v>
      </c>
      <c r="D170" s="4"/>
      <c r="E170" s="4"/>
      <c r="F170" s="4" t="s">
        <v>22</v>
      </c>
      <c r="G170" s="6">
        <v>9.4</v>
      </c>
      <c r="H170" s="7" t="s">
        <v>16</v>
      </c>
      <c r="I170" s="4" t="s">
        <v>17</v>
      </c>
      <c r="J170" s="4" t="s">
        <v>45</v>
      </c>
      <c r="K170" s="8"/>
      <c r="L170" s="8" t="s">
        <v>33</v>
      </c>
      <c r="M170" s="9">
        <f t="shared" si="1"/>
        <v>77</v>
      </c>
    </row>
    <row r="171" ht="12.75" customHeight="1">
      <c r="A171" s="4">
        <f t="shared" si="2"/>
        <v>170</v>
      </c>
      <c r="B171" s="4" t="s">
        <v>383</v>
      </c>
      <c r="C171" s="5" t="s">
        <v>384</v>
      </c>
      <c r="D171" s="4"/>
      <c r="E171" s="4"/>
      <c r="F171" s="4" t="s">
        <v>22</v>
      </c>
      <c r="G171" s="6">
        <v>9.4</v>
      </c>
      <c r="H171" s="7" t="s">
        <v>16</v>
      </c>
      <c r="I171" s="4" t="s">
        <v>17</v>
      </c>
      <c r="J171" s="4" t="s">
        <v>45</v>
      </c>
      <c r="K171" s="8"/>
      <c r="L171" s="8" t="s">
        <v>33</v>
      </c>
      <c r="M171" s="9">
        <f t="shared" si="1"/>
        <v>77</v>
      </c>
    </row>
    <row r="172" ht="12.75" customHeight="1">
      <c r="A172" s="4">
        <f t="shared" si="2"/>
        <v>171</v>
      </c>
      <c r="B172" s="4" t="s">
        <v>385</v>
      </c>
      <c r="C172" s="5" t="s">
        <v>386</v>
      </c>
      <c r="D172" s="4"/>
      <c r="E172" s="4"/>
      <c r="F172" s="4" t="s">
        <v>22</v>
      </c>
      <c r="G172" s="6">
        <v>9.4</v>
      </c>
      <c r="H172" s="7" t="s">
        <v>16</v>
      </c>
      <c r="I172" s="4" t="s">
        <v>17</v>
      </c>
      <c r="J172" s="4" t="s">
        <v>45</v>
      </c>
      <c r="K172" s="8"/>
      <c r="L172" s="8" t="s">
        <v>33</v>
      </c>
      <c r="M172" s="9">
        <f t="shared" si="1"/>
        <v>60</v>
      </c>
    </row>
    <row r="173" ht="12.75" customHeight="1">
      <c r="A173" s="4">
        <f t="shared" si="2"/>
        <v>172</v>
      </c>
      <c r="B173" s="4" t="s">
        <v>387</v>
      </c>
      <c r="C173" s="5" t="s">
        <v>388</v>
      </c>
      <c r="D173" s="4"/>
      <c r="E173" s="4"/>
      <c r="F173" s="4" t="s">
        <v>22</v>
      </c>
      <c r="G173" s="6">
        <v>9.4</v>
      </c>
      <c r="H173" s="7" t="s">
        <v>16</v>
      </c>
      <c r="I173" s="4" t="s">
        <v>17</v>
      </c>
      <c r="J173" s="4" t="s">
        <v>45</v>
      </c>
      <c r="K173" s="8"/>
      <c r="L173" s="8" t="s">
        <v>33</v>
      </c>
      <c r="M173" s="9">
        <f t="shared" si="1"/>
        <v>60</v>
      </c>
    </row>
    <row r="174" ht="12.75" customHeight="1">
      <c r="A174" s="4">
        <f t="shared" si="2"/>
        <v>173</v>
      </c>
      <c r="B174" s="4" t="s">
        <v>389</v>
      </c>
      <c r="C174" s="5" t="s">
        <v>390</v>
      </c>
      <c r="D174" s="4"/>
      <c r="E174" s="4"/>
      <c r="F174" s="4" t="s">
        <v>22</v>
      </c>
      <c r="G174" s="6">
        <v>9.4</v>
      </c>
      <c r="H174" s="7" t="s">
        <v>16</v>
      </c>
      <c r="I174" s="4" t="s">
        <v>17</v>
      </c>
      <c r="J174" s="4" t="s">
        <v>45</v>
      </c>
      <c r="K174" s="8"/>
      <c r="L174" s="8" t="s">
        <v>33</v>
      </c>
      <c r="M174" s="9">
        <f t="shared" si="1"/>
        <v>60</v>
      </c>
    </row>
    <row r="175" ht="12.75" customHeight="1">
      <c r="A175" s="4">
        <f t="shared" si="2"/>
        <v>174</v>
      </c>
      <c r="B175" s="4" t="s">
        <v>391</v>
      </c>
      <c r="C175" s="5" t="s">
        <v>392</v>
      </c>
      <c r="D175" s="4"/>
      <c r="E175" s="4"/>
      <c r="F175" s="4" t="s">
        <v>22</v>
      </c>
      <c r="G175" s="6">
        <v>9.4</v>
      </c>
      <c r="H175" s="7" t="s">
        <v>16</v>
      </c>
      <c r="I175" s="4" t="s">
        <v>17</v>
      </c>
      <c r="J175" s="4" t="s">
        <v>45</v>
      </c>
      <c r="K175" s="8"/>
      <c r="L175" s="8" t="s">
        <v>33</v>
      </c>
      <c r="M175" s="9">
        <f t="shared" si="1"/>
        <v>60</v>
      </c>
    </row>
    <row r="176" ht="12.75" customHeight="1">
      <c r="A176" s="4">
        <f t="shared" si="2"/>
        <v>175</v>
      </c>
      <c r="B176" s="4" t="s">
        <v>393</v>
      </c>
      <c r="C176" s="5" t="s">
        <v>394</v>
      </c>
      <c r="D176" s="4"/>
      <c r="E176" s="4"/>
      <c r="F176" s="4" t="s">
        <v>22</v>
      </c>
      <c r="G176" s="6">
        <v>9.4</v>
      </c>
      <c r="H176" s="7" t="s">
        <v>16</v>
      </c>
      <c r="I176" s="4" t="s">
        <v>17</v>
      </c>
      <c r="J176" s="4" t="s">
        <v>45</v>
      </c>
      <c r="K176" s="8"/>
      <c r="L176" s="8" t="s">
        <v>33</v>
      </c>
      <c r="M176" s="9">
        <f t="shared" si="1"/>
        <v>60</v>
      </c>
    </row>
    <row r="177" ht="12.75" customHeight="1">
      <c r="A177" s="4">
        <f t="shared" si="2"/>
        <v>176</v>
      </c>
      <c r="B177" s="4" t="s">
        <v>395</v>
      </c>
      <c r="C177" s="5" t="s">
        <v>396</v>
      </c>
      <c r="D177" s="4"/>
      <c r="E177" s="4"/>
      <c r="F177" s="4" t="s">
        <v>22</v>
      </c>
      <c r="G177" s="6">
        <v>9.4</v>
      </c>
      <c r="H177" s="7" t="s">
        <v>16</v>
      </c>
      <c r="I177" s="4" t="s">
        <v>17</v>
      </c>
      <c r="J177" s="4" t="s">
        <v>45</v>
      </c>
      <c r="K177" s="8"/>
      <c r="L177" s="8" t="s">
        <v>33</v>
      </c>
      <c r="M177" s="9">
        <f t="shared" si="1"/>
        <v>77</v>
      </c>
    </row>
    <row r="178" ht="12.75" customHeight="1">
      <c r="A178" s="4">
        <f t="shared" si="2"/>
        <v>177</v>
      </c>
      <c r="B178" s="4" t="s">
        <v>397</v>
      </c>
      <c r="C178" s="5" t="s">
        <v>398</v>
      </c>
      <c r="D178" s="4"/>
      <c r="E178" s="4"/>
      <c r="F178" s="4" t="s">
        <v>22</v>
      </c>
      <c r="G178" s="6">
        <v>9.4</v>
      </c>
      <c r="H178" s="7" t="s">
        <v>16</v>
      </c>
      <c r="I178" s="4" t="s">
        <v>17</v>
      </c>
      <c r="J178" s="4" t="s">
        <v>45</v>
      </c>
      <c r="K178" s="8"/>
      <c r="L178" s="8" t="s">
        <v>33</v>
      </c>
      <c r="M178" s="9">
        <f t="shared" si="1"/>
        <v>77</v>
      </c>
    </row>
    <row r="179" ht="12.75" customHeight="1">
      <c r="A179" s="4">
        <f t="shared" si="2"/>
        <v>178</v>
      </c>
      <c r="B179" s="4" t="s">
        <v>399</v>
      </c>
      <c r="C179" s="5" t="s">
        <v>400</v>
      </c>
      <c r="D179" s="4"/>
      <c r="E179" s="4"/>
      <c r="F179" s="4" t="s">
        <v>22</v>
      </c>
      <c r="G179" s="6">
        <v>9.4</v>
      </c>
      <c r="H179" s="7" t="s">
        <v>16</v>
      </c>
      <c r="I179" s="4" t="s">
        <v>17</v>
      </c>
      <c r="J179" s="4" t="s">
        <v>45</v>
      </c>
      <c r="K179" s="8"/>
      <c r="L179" s="8" t="s">
        <v>33</v>
      </c>
      <c r="M179" s="9">
        <f t="shared" si="1"/>
        <v>77</v>
      </c>
    </row>
    <row r="180" ht="12.75" customHeight="1">
      <c r="A180" s="4">
        <f t="shared" si="2"/>
        <v>179</v>
      </c>
      <c r="B180" s="4" t="s">
        <v>401</v>
      </c>
      <c r="C180" s="5" t="s">
        <v>402</v>
      </c>
      <c r="D180" s="4"/>
      <c r="E180" s="4"/>
      <c r="F180" s="4" t="s">
        <v>22</v>
      </c>
      <c r="G180" s="6">
        <v>9.4</v>
      </c>
      <c r="H180" s="7" t="s">
        <v>16</v>
      </c>
      <c r="I180" s="4" t="s">
        <v>17</v>
      </c>
      <c r="J180" s="4" t="s">
        <v>45</v>
      </c>
      <c r="K180" s="8"/>
      <c r="L180" s="8" t="s">
        <v>33</v>
      </c>
      <c r="M180" s="9">
        <f t="shared" si="1"/>
        <v>77</v>
      </c>
    </row>
    <row r="181" ht="12.75" customHeight="1">
      <c r="A181" s="4">
        <f t="shared" si="2"/>
        <v>180</v>
      </c>
      <c r="B181" s="4" t="s">
        <v>403</v>
      </c>
      <c r="C181" s="5" t="s">
        <v>404</v>
      </c>
      <c r="D181" s="4"/>
      <c r="E181" s="4"/>
      <c r="F181" s="4" t="s">
        <v>22</v>
      </c>
      <c r="G181" s="6">
        <v>9.4</v>
      </c>
      <c r="H181" s="7" t="s">
        <v>16</v>
      </c>
      <c r="I181" s="4" t="s">
        <v>17</v>
      </c>
      <c r="J181" s="4" t="s">
        <v>45</v>
      </c>
      <c r="K181" s="8"/>
      <c r="L181" s="8" t="s">
        <v>33</v>
      </c>
      <c r="M181" s="9">
        <f t="shared" si="1"/>
        <v>77</v>
      </c>
    </row>
    <row r="182" ht="12.75" customHeight="1">
      <c r="A182" s="4">
        <f t="shared" si="2"/>
        <v>181</v>
      </c>
      <c r="B182" s="4" t="s">
        <v>405</v>
      </c>
      <c r="C182" s="5" t="s">
        <v>406</v>
      </c>
      <c r="D182" s="4"/>
      <c r="E182" s="4"/>
      <c r="F182" s="4" t="s">
        <v>22</v>
      </c>
      <c r="G182" s="6">
        <v>3.88</v>
      </c>
      <c r="H182" s="7" t="s">
        <v>16</v>
      </c>
      <c r="I182" s="4" t="s">
        <v>17</v>
      </c>
      <c r="J182" s="4" t="s">
        <v>45</v>
      </c>
      <c r="K182" s="8"/>
      <c r="L182" s="8" t="s">
        <v>33</v>
      </c>
      <c r="M182" s="9">
        <f t="shared" si="1"/>
        <v>45</v>
      </c>
    </row>
    <row r="183" ht="12.75" customHeight="1">
      <c r="A183" s="4">
        <f t="shared" si="2"/>
        <v>182</v>
      </c>
      <c r="B183" s="4" t="s">
        <v>407</v>
      </c>
      <c r="C183" s="5" t="s">
        <v>408</v>
      </c>
      <c r="D183" s="4"/>
      <c r="E183" s="4"/>
      <c r="F183" s="4" t="s">
        <v>22</v>
      </c>
      <c r="G183" s="6">
        <v>3.88</v>
      </c>
      <c r="H183" s="7" t="s">
        <v>16</v>
      </c>
      <c r="I183" s="4" t="s">
        <v>17</v>
      </c>
      <c r="J183" s="4" t="s">
        <v>45</v>
      </c>
      <c r="K183" s="8"/>
      <c r="L183" s="8" t="s">
        <v>33</v>
      </c>
      <c r="M183" s="9">
        <f t="shared" si="1"/>
        <v>45</v>
      </c>
    </row>
    <row r="184" ht="12.75" customHeight="1">
      <c r="A184" s="4">
        <f t="shared" si="2"/>
        <v>183</v>
      </c>
      <c r="B184" s="4" t="s">
        <v>409</v>
      </c>
      <c r="C184" s="5" t="s">
        <v>410</v>
      </c>
      <c r="D184" s="4"/>
      <c r="E184" s="4"/>
      <c r="F184" s="4" t="s">
        <v>22</v>
      </c>
      <c r="G184" s="6">
        <v>3.88</v>
      </c>
      <c r="H184" s="7" t="s">
        <v>16</v>
      </c>
      <c r="I184" s="4" t="s">
        <v>17</v>
      </c>
      <c r="J184" s="4" t="s">
        <v>45</v>
      </c>
      <c r="K184" s="8"/>
      <c r="L184" s="8" t="s">
        <v>33</v>
      </c>
      <c r="M184" s="9">
        <f t="shared" si="1"/>
        <v>45</v>
      </c>
    </row>
    <row r="185" ht="12.75" customHeight="1">
      <c r="A185" s="4">
        <f t="shared" si="2"/>
        <v>184</v>
      </c>
      <c r="B185" s="4" t="s">
        <v>411</v>
      </c>
      <c r="C185" s="5" t="s">
        <v>412</v>
      </c>
      <c r="D185" s="4"/>
      <c r="E185" s="4"/>
      <c r="F185" s="4" t="s">
        <v>22</v>
      </c>
      <c r="G185" s="6">
        <v>3.88</v>
      </c>
      <c r="H185" s="7" t="s">
        <v>16</v>
      </c>
      <c r="I185" s="4" t="s">
        <v>17</v>
      </c>
      <c r="J185" s="4" t="s">
        <v>45</v>
      </c>
      <c r="K185" s="8"/>
      <c r="L185" s="8" t="s">
        <v>33</v>
      </c>
      <c r="M185" s="9">
        <f t="shared" si="1"/>
        <v>46</v>
      </c>
    </row>
    <row r="186" ht="12.75" customHeight="1">
      <c r="A186" s="4">
        <f t="shared" si="2"/>
        <v>185</v>
      </c>
      <c r="B186" s="4" t="s">
        <v>413</v>
      </c>
      <c r="C186" s="5" t="s">
        <v>414</v>
      </c>
      <c r="D186" s="4"/>
      <c r="E186" s="4"/>
      <c r="F186" s="4" t="s">
        <v>15</v>
      </c>
      <c r="G186" s="6">
        <v>2.78</v>
      </c>
      <c r="H186" s="7" t="s">
        <v>16</v>
      </c>
      <c r="I186" s="4" t="s">
        <v>17</v>
      </c>
      <c r="J186" s="4" t="s">
        <v>18</v>
      </c>
      <c r="K186" s="8"/>
      <c r="L186" s="8" t="s">
        <v>19</v>
      </c>
      <c r="M186" s="9">
        <f t="shared" si="1"/>
        <v>22</v>
      </c>
    </row>
    <row r="187" ht="12.75" customHeight="1">
      <c r="A187" s="4">
        <f t="shared" si="2"/>
        <v>186</v>
      </c>
      <c r="B187" s="4" t="s">
        <v>415</v>
      </c>
      <c r="C187" s="5" t="s">
        <v>416</v>
      </c>
      <c r="D187" s="4"/>
      <c r="E187" s="4"/>
      <c r="F187" s="4" t="s">
        <v>15</v>
      </c>
      <c r="G187" s="6">
        <v>30.3</v>
      </c>
      <c r="H187" s="7" t="s">
        <v>16</v>
      </c>
      <c r="I187" s="4" t="s">
        <v>17</v>
      </c>
      <c r="J187" s="4" t="s">
        <v>54</v>
      </c>
      <c r="K187" s="8"/>
      <c r="L187" s="8" t="s">
        <v>33</v>
      </c>
      <c r="M187" s="9">
        <f t="shared" si="1"/>
        <v>67</v>
      </c>
    </row>
    <row r="188" ht="12.75" customHeight="1">
      <c r="A188" s="4">
        <f t="shared" si="2"/>
        <v>187</v>
      </c>
      <c r="B188" s="4" t="s">
        <v>417</v>
      </c>
      <c r="C188" s="5" t="s">
        <v>418</v>
      </c>
      <c r="D188" s="4"/>
      <c r="E188" s="4"/>
      <c r="F188" s="4" t="s">
        <v>22</v>
      </c>
      <c r="G188" s="6">
        <v>12.65</v>
      </c>
      <c r="H188" s="7" t="s">
        <v>16</v>
      </c>
      <c r="I188" s="4" t="s">
        <v>17</v>
      </c>
      <c r="J188" s="4" t="s">
        <v>18</v>
      </c>
      <c r="K188" s="8"/>
      <c r="L188" s="8" t="s">
        <v>19</v>
      </c>
      <c r="M188" s="9">
        <f t="shared" si="1"/>
        <v>49</v>
      </c>
    </row>
    <row r="189" ht="12.75" customHeight="1">
      <c r="A189" s="4">
        <f t="shared" si="2"/>
        <v>188</v>
      </c>
      <c r="B189" s="4" t="s">
        <v>419</v>
      </c>
      <c r="C189" s="5" t="s">
        <v>420</v>
      </c>
      <c r="D189" s="4"/>
      <c r="E189" s="4"/>
      <c r="F189" s="4" t="s">
        <v>22</v>
      </c>
      <c r="G189" s="6">
        <v>21.23</v>
      </c>
      <c r="H189" s="7" t="s">
        <v>16</v>
      </c>
      <c r="I189" s="4" t="s">
        <v>17</v>
      </c>
      <c r="J189" s="4" t="s">
        <v>18</v>
      </c>
      <c r="K189" s="8"/>
      <c r="L189" s="8" t="s">
        <v>19</v>
      </c>
      <c r="M189" s="9">
        <f t="shared" si="1"/>
        <v>49</v>
      </c>
    </row>
    <row r="190" ht="12.75" customHeight="1">
      <c r="A190" s="4">
        <f t="shared" si="2"/>
        <v>189</v>
      </c>
      <c r="B190" s="4" t="s">
        <v>421</v>
      </c>
      <c r="C190" s="5" t="s">
        <v>422</v>
      </c>
      <c r="D190" s="4"/>
      <c r="E190" s="4"/>
      <c r="F190" s="4" t="s">
        <v>15</v>
      </c>
      <c r="G190" s="6">
        <v>1.39</v>
      </c>
      <c r="H190" s="7" t="s">
        <v>16</v>
      </c>
      <c r="I190" s="4" t="s">
        <v>17</v>
      </c>
      <c r="J190" s="4" t="s">
        <v>18</v>
      </c>
      <c r="K190" s="8"/>
      <c r="L190" s="8" t="s">
        <v>19</v>
      </c>
      <c r="M190" s="9">
        <f t="shared" si="1"/>
        <v>38</v>
      </c>
    </row>
    <row r="191" ht="12.75" customHeight="1">
      <c r="A191" s="4">
        <f t="shared" si="2"/>
        <v>190</v>
      </c>
      <c r="B191" s="4" t="s">
        <v>423</v>
      </c>
      <c r="C191" s="5" t="s">
        <v>424</v>
      </c>
      <c r="D191" s="4"/>
      <c r="E191" s="4"/>
      <c r="F191" s="4" t="s">
        <v>15</v>
      </c>
      <c r="G191" s="6">
        <v>8.76</v>
      </c>
      <c r="H191" s="7" t="s">
        <v>16</v>
      </c>
      <c r="I191" s="4" t="s">
        <v>17</v>
      </c>
      <c r="J191" s="4" t="s">
        <v>165</v>
      </c>
      <c r="K191" s="8"/>
      <c r="L191" s="8" t="s">
        <v>288</v>
      </c>
      <c r="M191" s="9">
        <f t="shared" si="1"/>
        <v>9</v>
      </c>
    </row>
    <row r="192" ht="12.75" customHeight="1">
      <c r="A192" s="4">
        <f t="shared" si="2"/>
        <v>191</v>
      </c>
      <c r="B192" s="4" t="s">
        <v>425</v>
      </c>
      <c r="C192" s="5" t="s">
        <v>426</v>
      </c>
      <c r="D192" s="4"/>
      <c r="E192" s="4"/>
      <c r="F192" s="4" t="s">
        <v>22</v>
      </c>
      <c r="G192" s="6">
        <v>8.33</v>
      </c>
      <c r="H192" s="7" t="s">
        <v>16</v>
      </c>
      <c r="I192" s="4" t="s">
        <v>17</v>
      </c>
      <c r="J192" s="4" t="s">
        <v>427</v>
      </c>
      <c r="K192" s="8"/>
      <c r="L192" s="8" t="s">
        <v>281</v>
      </c>
      <c r="M192" s="9">
        <f t="shared" si="1"/>
        <v>42</v>
      </c>
    </row>
    <row r="193" ht="12.75" customHeight="1">
      <c r="A193" s="4">
        <f t="shared" si="2"/>
        <v>192</v>
      </c>
      <c r="B193" s="4" t="s">
        <v>428</v>
      </c>
      <c r="C193" s="5" t="s">
        <v>429</v>
      </c>
      <c r="D193" s="4"/>
      <c r="E193" s="4"/>
      <c r="F193" s="4" t="s">
        <v>22</v>
      </c>
      <c r="G193" s="6">
        <v>6.57</v>
      </c>
      <c r="H193" s="7" t="s">
        <v>16</v>
      </c>
      <c r="I193" s="4" t="s">
        <v>17</v>
      </c>
      <c r="J193" s="4" t="s">
        <v>430</v>
      </c>
      <c r="K193" s="8"/>
      <c r="L193" s="8" t="s">
        <v>281</v>
      </c>
      <c r="M193" s="9">
        <f t="shared" si="1"/>
        <v>51</v>
      </c>
    </row>
    <row r="194" ht="12.75" customHeight="1">
      <c r="A194" s="4">
        <f t="shared" si="2"/>
        <v>193</v>
      </c>
      <c r="B194" s="4" t="s">
        <v>431</v>
      </c>
      <c r="C194" s="5" t="s">
        <v>432</v>
      </c>
      <c r="D194" s="4"/>
      <c r="E194" s="4"/>
      <c r="F194" s="4" t="s">
        <v>22</v>
      </c>
      <c r="G194" s="6">
        <v>6.57</v>
      </c>
      <c r="H194" s="7" t="s">
        <v>16</v>
      </c>
      <c r="I194" s="4" t="s">
        <v>17</v>
      </c>
      <c r="J194" s="4" t="s">
        <v>430</v>
      </c>
      <c r="K194" s="8"/>
      <c r="L194" s="8" t="s">
        <v>281</v>
      </c>
      <c r="M194" s="9">
        <f t="shared" si="1"/>
        <v>50</v>
      </c>
    </row>
    <row r="195" ht="12.75" customHeight="1">
      <c r="A195" s="4">
        <f t="shared" si="2"/>
        <v>194</v>
      </c>
      <c r="B195" s="4" t="s">
        <v>433</v>
      </c>
      <c r="C195" s="5" t="s">
        <v>434</v>
      </c>
      <c r="D195" s="4"/>
      <c r="E195" s="4"/>
      <c r="F195" s="4" t="s">
        <v>22</v>
      </c>
      <c r="G195" s="6">
        <v>1.03</v>
      </c>
      <c r="H195" s="7" t="s">
        <v>16</v>
      </c>
      <c r="I195" s="4" t="s">
        <v>17</v>
      </c>
      <c r="J195" s="4" t="s">
        <v>372</v>
      </c>
      <c r="K195" s="8"/>
      <c r="L195" s="8" t="s">
        <v>19</v>
      </c>
      <c r="M195" s="9">
        <f t="shared" si="1"/>
        <v>51</v>
      </c>
    </row>
    <row r="196" ht="12.75" customHeight="1">
      <c r="A196" s="4">
        <f t="shared" si="2"/>
        <v>195</v>
      </c>
      <c r="B196" s="4" t="s">
        <v>435</v>
      </c>
      <c r="C196" s="5" t="s">
        <v>434</v>
      </c>
      <c r="D196" s="4"/>
      <c r="E196" s="4"/>
      <c r="F196" s="4" t="s">
        <v>22</v>
      </c>
      <c r="G196" s="6">
        <v>0.27</v>
      </c>
      <c r="H196" s="7" t="s">
        <v>16</v>
      </c>
      <c r="I196" s="4" t="s">
        <v>17</v>
      </c>
      <c r="J196" s="4" t="s">
        <v>372</v>
      </c>
      <c r="K196" s="8"/>
      <c r="L196" s="8" t="s">
        <v>281</v>
      </c>
      <c r="M196" s="9">
        <f t="shared" si="1"/>
        <v>51</v>
      </c>
    </row>
    <row r="197" ht="12.75" customHeight="1">
      <c r="A197" s="4">
        <f t="shared" si="2"/>
        <v>196</v>
      </c>
      <c r="B197" s="4" t="s">
        <v>436</v>
      </c>
      <c r="C197" s="5" t="s">
        <v>434</v>
      </c>
      <c r="D197" s="4"/>
      <c r="E197" s="4"/>
      <c r="F197" s="4" t="s">
        <v>22</v>
      </c>
      <c r="G197" s="6">
        <v>0.27</v>
      </c>
      <c r="H197" s="7" t="s">
        <v>16</v>
      </c>
      <c r="I197" s="4" t="s">
        <v>17</v>
      </c>
      <c r="J197" s="4" t="s">
        <v>372</v>
      </c>
      <c r="K197" s="8"/>
      <c r="L197" s="8" t="s">
        <v>27</v>
      </c>
      <c r="M197" s="9">
        <f t="shared" si="1"/>
        <v>51</v>
      </c>
    </row>
    <row r="198" ht="12.75" customHeight="1">
      <c r="A198" s="4">
        <f t="shared" si="2"/>
        <v>197</v>
      </c>
      <c r="B198" s="4" t="s">
        <v>437</v>
      </c>
      <c r="C198" s="5" t="s">
        <v>438</v>
      </c>
      <c r="D198" s="4"/>
      <c r="E198" s="4"/>
      <c r="F198" s="4" t="s">
        <v>22</v>
      </c>
      <c r="G198" s="6">
        <v>211.22</v>
      </c>
      <c r="H198" s="7" t="s">
        <v>16</v>
      </c>
      <c r="I198" s="4" t="s">
        <v>17</v>
      </c>
      <c r="J198" s="4" t="s">
        <v>439</v>
      </c>
      <c r="K198" s="8"/>
      <c r="L198" s="8" t="s">
        <v>33</v>
      </c>
      <c r="M198" s="9">
        <f t="shared" si="1"/>
        <v>31</v>
      </c>
    </row>
    <row r="199" ht="12.75" customHeight="1">
      <c r="A199" s="4">
        <f t="shared" si="2"/>
        <v>198</v>
      </c>
      <c r="B199" s="4" t="s">
        <v>440</v>
      </c>
      <c r="C199" s="5" t="s">
        <v>441</v>
      </c>
      <c r="D199" s="4"/>
      <c r="E199" s="4"/>
      <c r="F199" s="4" t="s">
        <v>22</v>
      </c>
      <c r="G199" s="6">
        <v>1.79</v>
      </c>
      <c r="H199" s="7" t="s">
        <v>16</v>
      </c>
      <c r="I199" s="4" t="s">
        <v>17</v>
      </c>
      <c r="J199" s="4" t="s">
        <v>442</v>
      </c>
      <c r="K199" s="8"/>
      <c r="L199" s="8" t="s">
        <v>288</v>
      </c>
      <c r="M199" s="9">
        <f t="shared" si="1"/>
        <v>44</v>
      </c>
    </row>
    <row r="200" ht="12.75" customHeight="1">
      <c r="A200" s="4">
        <f t="shared" si="2"/>
        <v>199</v>
      </c>
      <c r="B200" s="4" t="s">
        <v>443</v>
      </c>
      <c r="C200" s="5" t="s">
        <v>444</v>
      </c>
      <c r="D200" s="4"/>
      <c r="E200" s="4"/>
      <c r="F200" s="4" t="s">
        <v>22</v>
      </c>
      <c r="G200" s="6">
        <v>1.79</v>
      </c>
      <c r="H200" s="7" t="s">
        <v>16</v>
      </c>
      <c r="I200" s="4" t="s">
        <v>17</v>
      </c>
      <c r="J200" s="4" t="s">
        <v>442</v>
      </c>
      <c r="K200" s="8"/>
      <c r="L200" s="8" t="s">
        <v>288</v>
      </c>
      <c r="M200" s="9">
        <f t="shared" si="1"/>
        <v>44</v>
      </c>
    </row>
    <row r="201" ht="12.75" customHeight="1">
      <c r="A201" s="4">
        <f t="shared" si="2"/>
        <v>200</v>
      </c>
      <c r="B201" s="4" t="s">
        <v>445</v>
      </c>
      <c r="C201" s="5" t="s">
        <v>446</v>
      </c>
      <c r="D201" s="4"/>
      <c r="E201" s="4"/>
      <c r="F201" s="4" t="s">
        <v>22</v>
      </c>
      <c r="G201" s="6">
        <v>1.79</v>
      </c>
      <c r="H201" s="7" t="s">
        <v>16</v>
      </c>
      <c r="I201" s="4" t="s">
        <v>17</v>
      </c>
      <c r="J201" s="4" t="s">
        <v>442</v>
      </c>
      <c r="K201" s="8"/>
      <c r="L201" s="8" t="s">
        <v>288</v>
      </c>
      <c r="M201" s="9">
        <f t="shared" si="1"/>
        <v>45</v>
      </c>
    </row>
    <row r="202" ht="12.75" customHeight="1">
      <c r="A202" s="4">
        <f t="shared" si="2"/>
        <v>201</v>
      </c>
      <c r="B202" s="4" t="s">
        <v>447</v>
      </c>
      <c r="C202" s="5" t="s">
        <v>448</v>
      </c>
      <c r="D202" s="4"/>
      <c r="E202" s="4"/>
      <c r="F202" s="4" t="s">
        <v>22</v>
      </c>
      <c r="G202" s="6">
        <v>1.79</v>
      </c>
      <c r="H202" s="7" t="s">
        <v>16</v>
      </c>
      <c r="I202" s="4" t="s">
        <v>17</v>
      </c>
      <c r="J202" s="4" t="s">
        <v>442</v>
      </c>
      <c r="K202" s="8"/>
      <c r="L202" s="8" t="s">
        <v>288</v>
      </c>
      <c r="M202" s="9">
        <f t="shared" si="1"/>
        <v>46</v>
      </c>
    </row>
    <row r="203" ht="12.75" customHeight="1">
      <c r="A203" s="4">
        <f t="shared" si="2"/>
        <v>202</v>
      </c>
      <c r="B203" s="4" t="s">
        <v>449</v>
      </c>
      <c r="C203" s="5" t="s">
        <v>441</v>
      </c>
      <c r="D203" s="4"/>
      <c r="E203" s="4"/>
      <c r="F203" s="4" t="s">
        <v>22</v>
      </c>
      <c r="G203" s="6">
        <v>2.63</v>
      </c>
      <c r="H203" s="7" t="s">
        <v>16</v>
      </c>
      <c r="I203" s="4" t="s">
        <v>17</v>
      </c>
      <c r="J203" s="4" t="s">
        <v>442</v>
      </c>
      <c r="K203" s="8"/>
      <c r="L203" s="8" t="s">
        <v>281</v>
      </c>
      <c r="M203" s="9">
        <f t="shared" si="1"/>
        <v>44</v>
      </c>
    </row>
    <row r="204" ht="12.75" customHeight="1">
      <c r="A204" s="4">
        <f t="shared" si="2"/>
        <v>203</v>
      </c>
      <c r="B204" s="4" t="s">
        <v>450</v>
      </c>
      <c r="C204" s="5" t="s">
        <v>444</v>
      </c>
      <c r="D204" s="4"/>
      <c r="E204" s="4"/>
      <c r="F204" s="4" t="s">
        <v>22</v>
      </c>
      <c r="G204" s="6">
        <v>2.63</v>
      </c>
      <c r="H204" s="7" t="s">
        <v>16</v>
      </c>
      <c r="I204" s="4" t="s">
        <v>17</v>
      </c>
      <c r="J204" s="4" t="s">
        <v>442</v>
      </c>
      <c r="K204" s="8"/>
      <c r="L204" s="8" t="s">
        <v>281</v>
      </c>
      <c r="M204" s="9">
        <f t="shared" si="1"/>
        <v>44</v>
      </c>
    </row>
    <row r="205" ht="12.75" customHeight="1">
      <c r="A205" s="4">
        <f t="shared" si="2"/>
        <v>204</v>
      </c>
      <c r="B205" s="4" t="s">
        <v>451</v>
      </c>
      <c r="C205" s="5" t="s">
        <v>446</v>
      </c>
      <c r="D205" s="4"/>
      <c r="E205" s="4"/>
      <c r="F205" s="4" t="s">
        <v>22</v>
      </c>
      <c r="G205" s="6">
        <v>2.63</v>
      </c>
      <c r="H205" s="7" t="s">
        <v>16</v>
      </c>
      <c r="I205" s="4" t="s">
        <v>17</v>
      </c>
      <c r="J205" s="4" t="s">
        <v>442</v>
      </c>
      <c r="K205" s="8"/>
      <c r="L205" s="8" t="s">
        <v>281</v>
      </c>
      <c r="M205" s="9">
        <f t="shared" si="1"/>
        <v>45</v>
      </c>
    </row>
    <row r="206" ht="12.75" customHeight="1">
      <c r="A206" s="4">
        <f t="shared" si="2"/>
        <v>205</v>
      </c>
      <c r="B206" s="4" t="s">
        <v>452</v>
      </c>
      <c r="C206" s="5" t="s">
        <v>448</v>
      </c>
      <c r="D206" s="4"/>
      <c r="E206" s="4"/>
      <c r="F206" s="4" t="s">
        <v>22</v>
      </c>
      <c r="G206" s="6">
        <v>2.63</v>
      </c>
      <c r="H206" s="7" t="s">
        <v>16</v>
      </c>
      <c r="I206" s="4" t="s">
        <v>17</v>
      </c>
      <c r="J206" s="4" t="s">
        <v>442</v>
      </c>
      <c r="K206" s="8"/>
      <c r="L206" s="8" t="s">
        <v>281</v>
      </c>
      <c r="M206" s="9">
        <f t="shared" si="1"/>
        <v>46</v>
      </c>
    </row>
    <row r="207" ht="12.75" customHeight="1">
      <c r="A207" s="4">
        <f t="shared" si="2"/>
        <v>206</v>
      </c>
      <c r="B207" s="4" t="s">
        <v>453</v>
      </c>
      <c r="C207" s="5" t="s">
        <v>454</v>
      </c>
      <c r="D207" s="4"/>
      <c r="E207" s="4"/>
      <c r="F207" s="4" t="s">
        <v>22</v>
      </c>
      <c r="G207" s="6">
        <v>4.81</v>
      </c>
      <c r="H207" s="7" t="s">
        <v>16</v>
      </c>
      <c r="I207" s="4" t="s">
        <v>17</v>
      </c>
      <c r="J207" s="4" t="s">
        <v>442</v>
      </c>
      <c r="K207" s="8"/>
      <c r="L207" s="8" t="s">
        <v>455</v>
      </c>
      <c r="M207" s="9">
        <f t="shared" si="1"/>
        <v>39</v>
      </c>
    </row>
    <row r="208" ht="12.75" customHeight="1">
      <c r="A208" s="4">
        <f t="shared" si="2"/>
        <v>207</v>
      </c>
      <c r="B208" s="4" t="s">
        <v>456</v>
      </c>
      <c r="C208" s="5" t="s">
        <v>457</v>
      </c>
      <c r="D208" s="4"/>
      <c r="E208" s="4"/>
      <c r="F208" s="4" t="s">
        <v>22</v>
      </c>
      <c r="G208" s="6">
        <v>4.81</v>
      </c>
      <c r="H208" s="7" t="s">
        <v>16</v>
      </c>
      <c r="I208" s="4" t="s">
        <v>17</v>
      </c>
      <c r="J208" s="4" t="s">
        <v>442</v>
      </c>
      <c r="K208" s="8"/>
      <c r="L208" s="8" t="s">
        <v>455</v>
      </c>
      <c r="M208" s="9">
        <f t="shared" si="1"/>
        <v>40</v>
      </c>
    </row>
    <row r="209" ht="12.75" customHeight="1">
      <c r="A209" s="4">
        <f t="shared" si="2"/>
        <v>208</v>
      </c>
      <c r="B209" s="4" t="s">
        <v>458</v>
      </c>
      <c r="C209" s="5" t="s">
        <v>459</v>
      </c>
      <c r="D209" s="4"/>
      <c r="E209" s="4"/>
      <c r="F209" s="4" t="s">
        <v>371</v>
      </c>
      <c r="G209" s="6">
        <v>32.88</v>
      </c>
      <c r="H209" s="7" t="s">
        <v>16</v>
      </c>
      <c r="I209" s="4" t="s">
        <v>17</v>
      </c>
      <c r="J209" s="4" t="s">
        <v>45</v>
      </c>
      <c r="K209" s="8"/>
      <c r="L209" s="8" t="s">
        <v>33</v>
      </c>
      <c r="M209" s="9">
        <f t="shared" si="1"/>
        <v>68</v>
      </c>
    </row>
    <row r="210" ht="12.75" customHeight="1">
      <c r="A210" s="4">
        <f t="shared" si="2"/>
        <v>209</v>
      </c>
      <c r="B210" s="4" t="s">
        <v>460</v>
      </c>
      <c r="C210" s="5" t="s">
        <v>461</v>
      </c>
      <c r="D210" s="4"/>
      <c r="E210" s="4"/>
      <c r="F210" s="4" t="s">
        <v>371</v>
      </c>
      <c r="G210" s="6">
        <v>32.88</v>
      </c>
      <c r="H210" s="7" t="s">
        <v>16</v>
      </c>
      <c r="I210" s="4" t="s">
        <v>17</v>
      </c>
      <c r="J210" s="4" t="s">
        <v>45</v>
      </c>
      <c r="K210" s="8"/>
      <c r="L210" s="8" t="s">
        <v>33</v>
      </c>
      <c r="M210" s="9">
        <f t="shared" si="1"/>
        <v>68</v>
      </c>
    </row>
    <row r="211" ht="12.75" customHeight="1">
      <c r="A211" s="4">
        <f t="shared" si="2"/>
        <v>210</v>
      </c>
      <c r="B211" s="4" t="s">
        <v>462</v>
      </c>
      <c r="C211" s="5" t="s">
        <v>463</v>
      </c>
      <c r="D211" s="4"/>
      <c r="E211" s="4"/>
      <c r="F211" s="4" t="s">
        <v>371</v>
      </c>
      <c r="G211" s="6">
        <v>32.88</v>
      </c>
      <c r="H211" s="7" t="s">
        <v>16</v>
      </c>
      <c r="I211" s="4" t="s">
        <v>17</v>
      </c>
      <c r="J211" s="4" t="s">
        <v>45</v>
      </c>
      <c r="K211" s="8"/>
      <c r="L211" s="8" t="s">
        <v>33</v>
      </c>
      <c r="M211" s="9">
        <f t="shared" si="1"/>
        <v>68</v>
      </c>
    </row>
    <row r="212" ht="12.75" customHeight="1">
      <c r="A212" s="4">
        <f t="shared" si="2"/>
        <v>211</v>
      </c>
      <c r="B212" s="4" t="s">
        <v>464</v>
      </c>
      <c r="C212" s="5" t="s">
        <v>465</v>
      </c>
      <c r="D212" s="4"/>
      <c r="E212" s="4"/>
      <c r="F212" s="4" t="s">
        <v>371</v>
      </c>
      <c r="G212" s="6">
        <v>32.88</v>
      </c>
      <c r="H212" s="7" t="s">
        <v>16</v>
      </c>
      <c r="I212" s="4" t="s">
        <v>17</v>
      </c>
      <c r="J212" s="4" t="s">
        <v>45</v>
      </c>
      <c r="K212" s="8"/>
      <c r="L212" s="8" t="s">
        <v>33</v>
      </c>
      <c r="M212" s="9">
        <f t="shared" si="1"/>
        <v>69</v>
      </c>
    </row>
    <row r="213" ht="12.75" customHeight="1">
      <c r="A213" s="4">
        <f t="shared" si="2"/>
        <v>212</v>
      </c>
      <c r="B213" s="4" t="s">
        <v>466</v>
      </c>
      <c r="C213" s="5" t="s">
        <v>467</v>
      </c>
      <c r="D213" s="4"/>
      <c r="E213" s="4"/>
      <c r="F213" s="4" t="s">
        <v>371</v>
      </c>
      <c r="G213" s="6">
        <v>32.88</v>
      </c>
      <c r="H213" s="7" t="s">
        <v>16</v>
      </c>
      <c r="I213" s="4" t="s">
        <v>17</v>
      </c>
      <c r="J213" s="4" t="s">
        <v>45</v>
      </c>
      <c r="K213" s="8"/>
      <c r="L213" s="8" t="s">
        <v>33</v>
      </c>
      <c r="M213" s="9">
        <f t="shared" si="1"/>
        <v>70</v>
      </c>
    </row>
    <row r="214" ht="12.75" customHeight="1">
      <c r="A214" s="4">
        <f t="shared" si="2"/>
        <v>213</v>
      </c>
      <c r="B214" s="10" t="s">
        <v>468</v>
      </c>
      <c r="C214" s="11" t="s">
        <v>469</v>
      </c>
      <c r="D214" s="12"/>
      <c r="E214" s="12"/>
      <c r="F214" s="10" t="s">
        <v>22</v>
      </c>
      <c r="G214" s="10" t="s">
        <v>470</v>
      </c>
      <c r="H214" s="10" t="s">
        <v>16</v>
      </c>
      <c r="I214" s="10" t="s">
        <v>17</v>
      </c>
      <c r="J214" s="10" t="s">
        <v>32</v>
      </c>
      <c r="K214" s="8"/>
      <c r="L214" s="8" t="s">
        <v>36</v>
      </c>
      <c r="M214" s="9">
        <f t="shared" si="1"/>
        <v>45</v>
      </c>
    </row>
    <row r="215" ht="12.75" customHeight="1">
      <c r="A215" s="4">
        <f t="shared" si="2"/>
        <v>214</v>
      </c>
      <c r="B215" s="4" t="s">
        <v>471</v>
      </c>
      <c r="C215" s="5" t="s">
        <v>472</v>
      </c>
      <c r="D215" s="4" t="s">
        <v>473</v>
      </c>
      <c r="E215" s="4"/>
      <c r="F215" s="4" t="s">
        <v>22</v>
      </c>
      <c r="G215" s="6">
        <v>392.61</v>
      </c>
      <c r="H215" s="7" t="s">
        <v>474</v>
      </c>
      <c r="I215" s="4" t="s">
        <v>475</v>
      </c>
      <c r="J215" s="4" t="s">
        <v>476</v>
      </c>
      <c r="K215" s="8"/>
      <c r="L215" s="8" t="s">
        <v>477</v>
      </c>
      <c r="M215" s="9">
        <f t="shared" si="1"/>
        <v>35</v>
      </c>
    </row>
    <row r="216" ht="12.75" customHeight="1">
      <c r="A216" s="4">
        <f t="shared" si="2"/>
        <v>215</v>
      </c>
      <c r="B216" s="4" t="s">
        <v>478</v>
      </c>
      <c r="C216" s="5" t="s">
        <v>479</v>
      </c>
      <c r="D216" s="4">
        <v>2.1090414E7</v>
      </c>
      <c r="E216" s="4"/>
      <c r="F216" s="4" t="s">
        <v>22</v>
      </c>
      <c r="G216" s="6">
        <v>18.35</v>
      </c>
      <c r="H216" s="7" t="s">
        <v>474</v>
      </c>
      <c r="I216" s="4" t="s">
        <v>475</v>
      </c>
      <c r="J216" s="4" t="s">
        <v>480</v>
      </c>
      <c r="K216" s="8"/>
      <c r="L216" s="8" t="s">
        <v>481</v>
      </c>
      <c r="M216" s="9">
        <f t="shared" si="1"/>
        <v>34</v>
      </c>
    </row>
    <row r="217" ht="12.75" customHeight="1">
      <c r="A217" s="4">
        <f t="shared" si="2"/>
        <v>216</v>
      </c>
      <c r="B217" s="4" t="s">
        <v>482</v>
      </c>
      <c r="C217" s="5" t="s">
        <v>483</v>
      </c>
      <c r="D217" s="4" t="s">
        <v>484</v>
      </c>
      <c r="E217" s="4"/>
      <c r="F217" s="4" t="s">
        <v>22</v>
      </c>
      <c r="G217" s="6">
        <v>297.03</v>
      </c>
      <c r="H217" s="7" t="s">
        <v>474</v>
      </c>
      <c r="I217" s="4" t="s">
        <v>485</v>
      </c>
      <c r="J217" s="4" t="s">
        <v>486</v>
      </c>
      <c r="K217" s="8"/>
      <c r="L217" s="8" t="s">
        <v>487</v>
      </c>
      <c r="M217" s="9">
        <f t="shared" si="1"/>
        <v>77</v>
      </c>
    </row>
    <row r="218" ht="12.75" customHeight="1">
      <c r="A218" s="4">
        <f t="shared" si="2"/>
        <v>217</v>
      </c>
      <c r="B218" s="4" t="s">
        <v>488</v>
      </c>
      <c r="C218" s="5" t="s">
        <v>489</v>
      </c>
      <c r="D218" s="4">
        <v>109154.0</v>
      </c>
      <c r="E218" s="4"/>
      <c r="F218" s="4" t="s">
        <v>22</v>
      </c>
      <c r="G218" s="6">
        <v>408.24</v>
      </c>
      <c r="H218" s="7" t="s">
        <v>474</v>
      </c>
      <c r="I218" s="4" t="s">
        <v>475</v>
      </c>
      <c r="J218" s="4" t="s">
        <v>490</v>
      </c>
      <c r="K218" s="8"/>
      <c r="L218" s="8" t="s">
        <v>491</v>
      </c>
      <c r="M218" s="9">
        <f t="shared" si="1"/>
        <v>31</v>
      </c>
    </row>
    <row r="219" ht="12.75" customHeight="1">
      <c r="A219" s="4">
        <f t="shared" si="2"/>
        <v>218</v>
      </c>
      <c r="B219" s="4" t="s">
        <v>492</v>
      </c>
      <c r="C219" s="5" t="s">
        <v>493</v>
      </c>
      <c r="D219" s="4" t="s">
        <v>494</v>
      </c>
      <c r="E219" s="4"/>
      <c r="F219" s="4" t="s">
        <v>22</v>
      </c>
      <c r="G219" s="6">
        <v>20.27</v>
      </c>
      <c r="H219" s="7" t="s">
        <v>474</v>
      </c>
      <c r="I219" s="4" t="s">
        <v>475</v>
      </c>
      <c r="J219" s="4" t="s">
        <v>495</v>
      </c>
      <c r="K219" s="8"/>
      <c r="L219" s="8" t="s">
        <v>496</v>
      </c>
      <c r="M219" s="9">
        <f t="shared" si="1"/>
        <v>43</v>
      </c>
    </row>
    <row r="220" ht="12.75" customHeight="1">
      <c r="A220" s="4">
        <f t="shared" si="2"/>
        <v>219</v>
      </c>
      <c r="B220" s="4" t="s">
        <v>497</v>
      </c>
      <c r="C220" s="5" t="s">
        <v>493</v>
      </c>
      <c r="D220" s="4" t="s">
        <v>498</v>
      </c>
      <c r="E220" s="4"/>
      <c r="F220" s="4" t="s">
        <v>22</v>
      </c>
      <c r="G220" s="6">
        <v>20.27</v>
      </c>
      <c r="H220" s="7" t="s">
        <v>474</v>
      </c>
      <c r="I220" s="4" t="s">
        <v>475</v>
      </c>
      <c r="J220" s="4" t="s">
        <v>495</v>
      </c>
      <c r="K220" s="8"/>
      <c r="L220" s="8" t="s">
        <v>496</v>
      </c>
      <c r="M220" s="9">
        <f t="shared" si="1"/>
        <v>43</v>
      </c>
    </row>
    <row r="221" ht="12.75" customHeight="1">
      <c r="A221" s="4">
        <f t="shared" si="2"/>
        <v>220</v>
      </c>
      <c r="B221" s="4" t="s">
        <v>499</v>
      </c>
      <c r="C221" s="5" t="s">
        <v>500</v>
      </c>
      <c r="D221" s="4" t="s">
        <v>501</v>
      </c>
      <c r="E221" s="4"/>
      <c r="F221" s="4" t="s">
        <v>22</v>
      </c>
      <c r="G221" s="6">
        <v>43.24</v>
      </c>
      <c r="H221" s="7" t="s">
        <v>474</v>
      </c>
      <c r="I221" s="4" t="s">
        <v>475</v>
      </c>
      <c r="J221" s="4" t="s">
        <v>495</v>
      </c>
      <c r="K221" s="8"/>
      <c r="L221" s="8" t="s">
        <v>502</v>
      </c>
      <c r="M221" s="9">
        <f t="shared" si="1"/>
        <v>59</v>
      </c>
    </row>
    <row r="222" ht="12.75" customHeight="1">
      <c r="A222" s="4">
        <f t="shared" si="2"/>
        <v>221</v>
      </c>
      <c r="B222" s="4" t="s">
        <v>503</v>
      </c>
      <c r="C222" s="5" t="s">
        <v>504</v>
      </c>
      <c r="D222" s="4" t="s">
        <v>484</v>
      </c>
      <c r="E222" s="4"/>
      <c r="F222" s="4" t="s">
        <v>22</v>
      </c>
      <c r="G222" s="6">
        <v>513.51</v>
      </c>
      <c r="H222" s="7" t="s">
        <v>474</v>
      </c>
      <c r="I222" s="4" t="s">
        <v>505</v>
      </c>
      <c r="J222" s="4" t="s">
        <v>506</v>
      </c>
      <c r="K222" s="8"/>
      <c r="L222" s="8" t="s">
        <v>507</v>
      </c>
      <c r="M222" s="9">
        <f t="shared" si="1"/>
        <v>49</v>
      </c>
    </row>
    <row r="223" ht="12.75" customHeight="1">
      <c r="A223" s="4">
        <f t="shared" si="2"/>
        <v>222</v>
      </c>
      <c r="B223" s="4" t="s">
        <v>508</v>
      </c>
      <c r="C223" s="5" t="s">
        <v>509</v>
      </c>
      <c r="D223" s="4">
        <v>3.23005563E8</v>
      </c>
      <c r="E223" s="4"/>
      <c r="F223" s="4" t="s">
        <v>22</v>
      </c>
      <c r="G223" s="6">
        <v>178.35</v>
      </c>
      <c r="H223" s="7" t="s">
        <v>474</v>
      </c>
      <c r="I223" s="4" t="s">
        <v>510</v>
      </c>
      <c r="J223" s="4" t="s">
        <v>511</v>
      </c>
      <c r="K223" s="8"/>
      <c r="L223" s="8" t="s">
        <v>512</v>
      </c>
      <c r="M223" s="9">
        <f t="shared" si="1"/>
        <v>54</v>
      </c>
    </row>
    <row r="224" ht="12.75" customHeight="1">
      <c r="A224" s="4">
        <f t="shared" si="2"/>
        <v>223</v>
      </c>
      <c r="B224" s="4" t="s">
        <v>513</v>
      </c>
      <c r="C224" s="5" t="s">
        <v>509</v>
      </c>
      <c r="D224" s="4">
        <v>3.25000045E8</v>
      </c>
      <c r="E224" s="4"/>
      <c r="F224" s="4" t="s">
        <v>22</v>
      </c>
      <c r="G224" s="6">
        <v>178.35</v>
      </c>
      <c r="H224" s="7" t="s">
        <v>474</v>
      </c>
      <c r="I224" s="4" t="s">
        <v>510</v>
      </c>
      <c r="J224" s="4" t="s">
        <v>511</v>
      </c>
      <c r="K224" s="8"/>
      <c r="L224" s="8" t="s">
        <v>512</v>
      </c>
      <c r="M224" s="9">
        <f t="shared" si="1"/>
        <v>54</v>
      </c>
    </row>
    <row r="225" ht="12.75" customHeight="1">
      <c r="A225" s="4">
        <f t="shared" si="2"/>
        <v>224</v>
      </c>
      <c r="B225" s="4" t="s">
        <v>514</v>
      </c>
      <c r="C225" s="5" t="s">
        <v>515</v>
      </c>
      <c r="D225" s="4">
        <v>3.28010628E8</v>
      </c>
      <c r="E225" s="4"/>
      <c r="F225" s="4" t="s">
        <v>22</v>
      </c>
      <c r="G225" s="6">
        <v>102.68</v>
      </c>
      <c r="H225" s="7" t="s">
        <v>474</v>
      </c>
      <c r="I225" s="4" t="s">
        <v>510</v>
      </c>
      <c r="J225" s="4" t="s">
        <v>511</v>
      </c>
      <c r="K225" s="8"/>
      <c r="L225" s="8" t="s">
        <v>512</v>
      </c>
      <c r="M225" s="9">
        <f t="shared" si="1"/>
        <v>53</v>
      </c>
    </row>
    <row r="226" ht="12.75" customHeight="1">
      <c r="A226" s="4">
        <f t="shared" si="2"/>
        <v>225</v>
      </c>
      <c r="B226" s="4" t="s">
        <v>516</v>
      </c>
      <c r="C226" s="5" t="s">
        <v>517</v>
      </c>
      <c r="D226" s="4">
        <v>3.21040221E8</v>
      </c>
      <c r="E226" s="4"/>
      <c r="F226" s="4" t="s">
        <v>22</v>
      </c>
      <c r="G226" s="6">
        <v>243.22</v>
      </c>
      <c r="H226" s="7" t="s">
        <v>474</v>
      </c>
      <c r="I226" s="4" t="s">
        <v>510</v>
      </c>
      <c r="J226" s="4" t="s">
        <v>511</v>
      </c>
      <c r="K226" s="8"/>
      <c r="L226" s="8" t="s">
        <v>512</v>
      </c>
      <c r="M226" s="9">
        <f t="shared" si="1"/>
        <v>50</v>
      </c>
    </row>
    <row r="227" ht="12.75" customHeight="1">
      <c r="A227" s="4">
        <f t="shared" si="2"/>
        <v>226</v>
      </c>
      <c r="B227" s="4" t="s">
        <v>518</v>
      </c>
      <c r="C227" s="5" t="s">
        <v>519</v>
      </c>
      <c r="D227" s="4">
        <v>3.21001405E8</v>
      </c>
      <c r="E227" s="4"/>
      <c r="F227" s="4" t="s">
        <v>22</v>
      </c>
      <c r="G227" s="6">
        <v>140.51</v>
      </c>
      <c r="H227" s="7" t="s">
        <v>474</v>
      </c>
      <c r="I227" s="4" t="s">
        <v>510</v>
      </c>
      <c r="J227" s="4" t="s">
        <v>511</v>
      </c>
      <c r="K227" s="8"/>
      <c r="L227" s="8" t="s">
        <v>512</v>
      </c>
      <c r="M227" s="9">
        <f t="shared" si="1"/>
        <v>38</v>
      </c>
    </row>
    <row r="228" ht="12.75" customHeight="1">
      <c r="A228" s="4">
        <f t="shared" si="2"/>
        <v>227</v>
      </c>
      <c r="B228" s="4" t="s">
        <v>520</v>
      </c>
      <c r="C228" s="5" t="s">
        <v>521</v>
      </c>
      <c r="D228" s="4" t="s">
        <v>522</v>
      </c>
      <c r="E228" s="4"/>
      <c r="F228" s="4" t="s">
        <v>22</v>
      </c>
      <c r="G228" s="6">
        <f>1699.9/3.7</f>
        <v>459.4324324</v>
      </c>
      <c r="H228" s="7" t="s">
        <v>474</v>
      </c>
      <c r="I228" s="4" t="s">
        <v>523</v>
      </c>
      <c r="J228" s="4" t="s">
        <v>524</v>
      </c>
      <c r="K228" s="8"/>
      <c r="L228" s="8" t="s">
        <v>525</v>
      </c>
      <c r="M228" s="9">
        <f t="shared" si="1"/>
        <v>45</v>
      </c>
    </row>
    <row r="229" ht="12.75" customHeight="1">
      <c r="A229" s="4">
        <f t="shared" si="2"/>
        <v>228</v>
      </c>
      <c r="B229" s="4" t="s">
        <v>526</v>
      </c>
      <c r="C229" s="5" t="s">
        <v>527</v>
      </c>
      <c r="D229" s="4" t="s">
        <v>528</v>
      </c>
      <c r="E229" s="4"/>
      <c r="F229" s="4" t="s">
        <v>22</v>
      </c>
      <c r="G229" s="6">
        <v>297.27</v>
      </c>
      <c r="H229" s="7" t="s">
        <v>474</v>
      </c>
      <c r="I229" s="4" t="s">
        <v>523</v>
      </c>
      <c r="J229" s="4" t="s">
        <v>524</v>
      </c>
      <c r="K229" s="8" t="s">
        <v>529</v>
      </c>
      <c r="L229" s="8" t="s">
        <v>525</v>
      </c>
      <c r="M229" s="9">
        <f t="shared" si="1"/>
        <v>41</v>
      </c>
    </row>
    <row r="230" ht="12.75" customHeight="1">
      <c r="A230" s="4">
        <f t="shared" si="2"/>
        <v>229</v>
      </c>
      <c r="B230" s="4" t="s">
        <v>530</v>
      </c>
      <c r="C230" s="5" t="s">
        <v>531</v>
      </c>
      <c r="D230" s="13" t="s">
        <v>532</v>
      </c>
      <c r="E230" s="4"/>
      <c r="F230" s="4" t="s">
        <v>22</v>
      </c>
      <c r="G230" s="6">
        <v>162.16</v>
      </c>
      <c r="H230" s="7" t="s">
        <v>474</v>
      </c>
      <c r="I230" s="4" t="s">
        <v>17</v>
      </c>
      <c r="J230" s="4" t="s">
        <v>32</v>
      </c>
      <c r="K230" s="8"/>
      <c r="L230" s="8" t="s">
        <v>27</v>
      </c>
      <c r="M230" s="9">
        <f t="shared" si="1"/>
        <v>69</v>
      </c>
    </row>
    <row r="231" ht="12.75" customHeight="1">
      <c r="A231" s="4">
        <f t="shared" si="2"/>
        <v>230</v>
      </c>
      <c r="B231" s="4" t="s">
        <v>533</v>
      </c>
      <c r="C231" s="5" t="s">
        <v>534</v>
      </c>
      <c r="D231" s="4" t="s">
        <v>484</v>
      </c>
      <c r="E231" s="4"/>
      <c r="F231" s="4" t="s">
        <v>22</v>
      </c>
      <c r="G231" s="6">
        <v>216.22</v>
      </c>
      <c r="H231" s="7" t="s">
        <v>474</v>
      </c>
      <c r="I231" s="4" t="s">
        <v>17</v>
      </c>
      <c r="J231" s="4" t="s">
        <v>32</v>
      </c>
      <c r="K231" s="8"/>
      <c r="L231" s="8" t="s">
        <v>535</v>
      </c>
      <c r="M231" s="9">
        <f t="shared" si="1"/>
        <v>74</v>
      </c>
    </row>
    <row r="232" ht="12.75" customHeight="1">
      <c r="A232" s="4">
        <f t="shared" si="2"/>
        <v>231</v>
      </c>
      <c r="B232" s="4" t="s">
        <v>536</v>
      </c>
      <c r="C232" s="5" t="s">
        <v>534</v>
      </c>
      <c r="D232" s="4" t="s">
        <v>484</v>
      </c>
      <c r="E232" s="4"/>
      <c r="F232" s="4" t="s">
        <v>22</v>
      </c>
      <c r="G232" s="6">
        <v>216.22</v>
      </c>
      <c r="H232" s="7" t="s">
        <v>474</v>
      </c>
      <c r="I232" s="4" t="s">
        <v>17</v>
      </c>
      <c r="J232" s="4" t="s">
        <v>32</v>
      </c>
      <c r="K232" s="8"/>
      <c r="L232" s="8" t="s">
        <v>535</v>
      </c>
      <c r="M232" s="9">
        <f t="shared" si="1"/>
        <v>74</v>
      </c>
    </row>
    <row r="233" ht="12.75" customHeight="1">
      <c r="A233" s="4">
        <f t="shared" si="2"/>
        <v>232</v>
      </c>
      <c r="B233" s="4" t="s">
        <v>537</v>
      </c>
      <c r="C233" s="5" t="s">
        <v>534</v>
      </c>
      <c r="D233" s="4" t="s">
        <v>484</v>
      </c>
      <c r="E233" s="4"/>
      <c r="F233" s="4" t="s">
        <v>22</v>
      </c>
      <c r="G233" s="6">
        <v>216.22</v>
      </c>
      <c r="H233" s="7" t="s">
        <v>474</v>
      </c>
      <c r="I233" s="4" t="s">
        <v>17</v>
      </c>
      <c r="J233" s="4" t="s">
        <v>32</v>
      </c>
      <c r="K233" s="8"/>
      <c r="L233" s="8" t="s">
        <v>535</v>
      </c>
      <c r="M233" s="9">
        <f t="shared" si="1"/>
        <v>74</v>
      </c>
    </row>
    <row r="234" ht="12.75" customHeight="1">
      <c r="A234" s="4">
        <f t="shared" si="2"/>
        <v>233</v>
      </c>
      <c r="B234" s="4" t="s">
        <v>538</v>
      </c>
      <c r="C234" s="5" t="s">
        <v>539</v>
      </c>
      <c r="D234" s="4" t="s">
        <v>540</v>
      </c>
      <c r="E234" s="4"/>
      <c r="F234" s="4" t="s">
        <v>22</v>
      </c>
      <c r="G234" s="6">
        <v>162.16</v>
      </c>
      <c r="H234" s="7" t="s">
        <v>474</v>
      </c>
      <c r="I234" s="4" t="s">
        <v>17</v>
      </c>
      <c r="J234" s="4" t="s">
        <v>32</v>
      </c>
      <c r="K234" s="8"/>
      <c r="L234" s="8" t="s">
        <v>541</v>
      </c>
      <c r="M234" s="9">
        <f t="shared" si="1"/>
        <v>71</v>
      </c>
    </row>
    <row r="235" ht="12.75" customHeight="1">
      <c r="A235" s="4">
        <f t="shared" si="2"/>
        <v>234</v>
      </c>
      <c r="B235" s="4" t="s">
        <v>542</v>
      </c>
      <c r="C235" s="5" t="s">
        <v>543</v>
      </c>
      <c r="D235" s="13">
        <v>57118.84652777778</v>
      </c>
      <c r="E235" s="4"/>
      <c r="F235" s="4" t="s">
        <v>22</v>
      </c>
      <c r="G235" s="6">
        <v>216.22</v>
      </c>
      <c r="H235" s="7" t="s">
        <v>474</v>
      </c>
      <c r="I235" s="4" t="s">
        <v>17</v>
      </c>
      <c r="J235" s="4" t="s">
        <v>32</v>
      </c>
      <c r="K235" s="8"/>
      <c r="L235" s="8" t="s">
        <v>27</v>
      </c>
      <c r="M235" s="9">
        <f t="shared" si="1"/>
        <v>59</v>
      </c>
    </row>
    <row r="236" ht="12.75" customHeight="1">
      <c r="A236" s="4">
        <f t="shared" si="2"/>
        <v>235</v>
      </c>
      <c r="B236" s="4" t="s">
        <v>544</v>
      </c>
      <c r="C236" s="5" t="s">
        <v>545</v>
      </c>
      <c r="D236" s="4">
        <v>3.26000171E8</v>
      </c>
      <c r="E236" s="4"/>
      <c r="F236" s="4" t="s">
        <v>22</v>
      </c>
      <c r="G236" s="6">
        <v>321.59</v>
      </c>
      <c r="H236" s="7" t="s">
        <v>474</v>
      </c>
      <c r="I236" s="4" t="s">
        <v>505</v>
      </c>
      <c r="J236" s="4" t="s">
        <v>546</v>
      </c>
      <c r="K236" s="8"/>
      <c r="L236" s="8" t="s">
        <v>512</v>
      </c>
      <c r="M236" s="9">
        <f t="shared" si="1"/>
        <v>51</v>
      </c>
    </row>
    <row r="237" ht="12.75" customHeight="1">
      <c r="A237" s="4">
        <f t="shared" si="2"/>
        <v>236</v>
      </c>
      <c r="B237" s="4" t="s">
        <v>547</v>
      </c>
      <c r="C237" s="5" t="s">
        <v>548</v>
      </c>
      <c r="D237" s="4" t="s">
        <v>549</v>
      </c>
      <c r="E237" s="4"/>
      <c r="F237" s="4" t="s">
        <v>371</v>
      </c>
      <c r="G237" s="6">
        <v>486.49</v>
      </c>
      <c r="H237" s="7" t="s">
        <v>474</v>
      </c>
      <c r="I237" s="4" t="s">
        <v>510</v>
      </c>
      <c r="J237" s="4" t="s">
        <v>550</v>
      </c>
      <c r="K237" s="8"/>
      <c r="L237" s="8" t="s">
        <v>551</v>
      </c>
      <c r="M237" s="9">
        <f t="shared" si="1"/>
        <v>58</v>
      </c>
    </row>
    <row r="238" ht="12.75" customHeight="1">
      <c r="A238" s="4">
        <f t="shared" si="2"/>
        <v>237</v>
      </c>
      <c r="B238" s="4" t="s">
        <v>552</v>
      </c>
      <c r="C238" s="5" t="s">
        <v>553</v>
      </c>
      <c r="D238" s="4" t="s">
        <v>554</v>
      </c>
      <c r="E238" s="4"/>
      <c r="F238" s="4" t="s">
        <v>371</v>
      </c>
      <c r="G238" s="6">
        <v>405.41</v>
      </c>
      <c r="H238" s="7" t="s">
        <v>474</v>
      </c>
      <c r="I238" s="4" t="s">
        <v>510</v>
      </c>
      <c r="J238" s="4" t="s">
        <v>550</v>
      </c>
      <c r="K238" s="8"/>
      <c r="L238" s="8" t="s">
        <v>555</v>
      </c>
      <c r="M238" s="9">
        <f t="shared" si="1"/>
        <v>49</v>
      </c>
    </row>
    <row r="239" ht="12.75" customHeight="1">
      <c r="A239" s="4">
        <f t="shared" si="2"/>
        <v>238</v>
      </c>
      <c r="B239" s="4" t="s">
        <v>556</v>
      </c>
      <c r="C239" s="5" t="s">
        <v>553</v>
      </c>
      <c r="D239" s="4" t="s">
        <v>557</v>
      </c>
      <c r="E239" s="4"/>
      <c r="F239" s="4" t="s">
        <v>371</v>
      </c>
      <c r="G239" s="6">
        <v>405.41</v>
      </c>
      <c r="H239" s="7" t="s">
        <v>474</v>
      </c>
      <c r="I239" s="4" t="s">
        <v>510</v>
      </c>
      <c r="J239" s="4" t="s">
        <v>550</v>
      </c>
      <c r="K239" s="8"/>
      <c r="L239" s="8" t="s">
        <v>555</v>
      </c>
      <c r="M239" s="9">
        <f t="shared" si="1"/>
        <v>49</v>
      </c>
    </row>
    <row r="240" ht="12.75" customHeight="1">
      <c r="A240" s="4">
        <f t="shared" si="2"/>
        <v>239</v>
      </c>
      <c r="B240" s="4" t="s">
        <v>558</v>
      </c>
      <c r="C240" s="5" t="s">
        <v>559</v>
      </c>
      <c r="D240" s="4" t="s">
        <v>560</v>
      </c>
      <c r="E240" s="4"/>
      <c r="F240" s="4" t="s">
        <v>22</v>
      </c>
      <c r="G240" s="6">
        <v>71.0</v>
      </c>
      <c r="H240" s="7" t="s">
        <v>474</v>
      </c>
      <c r="I240" s="4" t="s">
        <v>475</v>
      </c>
      <c r="J240" s="4" t="s">
        <v>561</v>
      </c>
      <c r="K240" s="8"/>
      <c r="L240" s="8" t="s">
        <v>562</v>
      </c>
      <c r="M240" s="9">
        <f t="shared" si="1"/>
        <v>43</v>
      </c>
    </row>
    <row r="241" ht="12.75" customHeight="1">
      <c r="A241" s="4">
        <f t="shared" si="2"/>
        <v>240</v>
      </c>
      <c r="B241" s="4" t="s">
        <v>563</v>
      </c>
      <c r="C241" s="5" t="s">
        <v>564</v>
      </c>
      <c r="D241" s="4">
        <v>2231976.0</v>
      </c>
      <c r="E241" s="4"/>
      <c r="F241" s="4" t="s">
        <v>371</v>
      </c>
      <c r="G241" s="6">
        <v>1459.46</v>
      </c>
      <c r="H241" s="7" t="s">
        <v>474</v>
      </c>
      <c r="I241" s="4" t="s">
        <v>475</v>
      </c>
      <c r="J241" s="4" t="s">
        <v>565</v>
      </c>
      <c r="K241" s="8"/>
      <c r="L241" s="8" t="s">
        <v>566</v>
      </c>
      <c r="M241" s="9">
        <f t="shared" si="1"/>
        <v>55</v>
      </c>
    </row>
    <row r="242" ht="12.75" customHeight="1">
      <c r="A242" s="4">
        <f t="shared" si="2"/>
        <v>241</v>
      </c>
      <c r="B242" s="4" t="s">
        <v>567</v>
      </c>
      <c r="C242" s="5" t="s">
        <v>568</v>
      </c>
      <c r="D242" s="4" t="s">
        <v>569</v>
      </c>
      <c r="E242" s="4"/>
      <c r="F242" s="4" t="s">
        <v>22</v>
      </c>
      <c r="G242" s="6">
        <v>682.5</v>
      </c>
      <c r="H242" s="7" t="s">
        <v>474</v>
      </c>
      <c r="I242" s="4" t="s">
        <v>475</v>
      </c>
      <c r="J242" s="4" t="s">
        <v>570</v>
      </c>
      <c r="K242" s="8"/>
      <c r="L242" s="8" t="s">
        <v>502</v>
      </c>
      <c r="M242" s="9">
        <f t="shared" si="1"/>
        <v>33</v>
      </c>
    </row>
    <row r="243" ht="12.75" customHeight="1">
      <c r="A243" s="4">
        <f t="shared" si="2"/>
        <v>242</v>
      </c>
      <c r="B243" s="4" t="s">
        <v>571</v>
      </c>
      <c r="C243" s="5" t="s">
        <v>572</v>
      </c>
      <c r="D243" s="4" t="s">
        <v>573</v>
      </c>
      <c r="E243" s="4"/>
      <c r="F243" s="4" t="s">
        <v>22</v>
      </c>
      <c r="G243" s="6">
        <v>761.45</v>
      </c>
      <c r="H243" s="7" t="s">
        <v>474</v>
      </c>
      <c r="I243" s="4" t="s">
        <v>475</v>
      </c>
      <c r="J243" s="4" t="s">
        <v>570</v>
      </c>
      <c r="K243" s="8"/>
      <c r="L243" s="8" t="s">
        <v>502</v>
      </c>
      <c r="M243" s="9">
        <f t="shared" si="1"/>
        <v>33</v>
      </c>
    </row>
    <row r="244" ht="12.75" customHeight="1">
      <c r="A244" s="4">
        <f t="shared" si="2"/>
        <v>243</v>
      </c>
      <c r="B244" s="4" t="s">
        <v>574</v>
      </c>
      <c r="C244" s="5" t="s">
        <v>575</v>
      </c>
      <c r="D244" s="4" t="s">
        <v>484</v>
      </c>
      <c r="E244" s="4"/>
      <c r="F244" s="4" t="s">
        <v>22</v>
      </c>
      <c r="G244" s="6">
        <v>71.62</v>
      </c>
      <c r="H244" s="7" t="s">
        <v>474</v>
      </c>
      <c r="I244" s="4" t="s">
        <v>510</v>
      </c>
      <c r="J244" s="4" t="s">
        <v>576</v>
      </c>
      <c r="K244" s="8"/>
      <c r="L244" s="8" t="s">
        <v>577</v>
      </c>
      <c r="M244" s="9">
        <f t="shared" si="1"/>
        <v>42</v>
      </c>
    </row>
    <row r="245" ht="12.75" customHeight="1">
      <c r="A245" s="4">
        <f t="shared" si="2"/>
        <v>244</v>
      </c>
      <c r="B245" s="4" t="s">
        <v>578</v>
      </c>
      <c r="C245" s="5" t="s">
        <v>579</v>
      </c>
      <c r="D245" s="4">
        <v>211321.0</v>
      </c>
      <c r="E245" s="4"/>
      <c r="F245" s="4" t="s">
        <v>22</v>
      </c>
      <c r="G245" s="6">
        <v>210.0</v>
      </c>
      <c r="H245" s="7" t="s">
        <v>474</v>
      </c>
      <c r="I245" s="4" t="s">
        <v>580</v>
      </c>
      <c r="J245" s="4" t="s">
        <v>581</v>
      </c>
      <c r="K245" s="8"/>
      <c r="L245" s="8" t="s">
        <v>33</v>
      </c>
      <c r="M245" s="9">
        <f t="shared" si="1"/>
        <v>38</v>
      </c>
    </row>
    <row r="246" ht="12.75" customHeight="1">
      <c r="A246" s="4">
        <f t="shared" si="2"/>
        <v>245</v>
      </c>
      <c r="B246" s="4" t="s">
        <v>582</v>
      </c>
      <c r="C246" s="5" t="s">
        <v>583</v>
      </c>
      <c r="D246" s="4" t="s">
        <v>484</v>
      </c>
      <c r="E246" s="4"/>
      <c r="F246" s="4" t="s">
        <v>22</v>
      </c>
      <c r="G246" s="6">
        <v>51.72</v>
      </c>
      <c r="H246" s="7" t="s">
        <v>474</v>
      </c>
      <c r="I246" s="4" t="s">
        <v>584</v>
      </c>
      <c r="J246" s="4" t="s">
        <v>585</v>
      </c>
      <c r="K246" s="8"/>
      <c r="L246" s="8" t="s">
        <v>586</v>
      </c>
      <c r="M246" s="9">
        <f t="shared" si="1"/>
        <v>72</v>
      </c>
    </row>
    <row r="247" ht="12.75" customHeight="1">
      <c r="A247" s="4">
        <f t="shared" si="2"/>
        <v>246</v>
      </c>
      <c r="B247" s="4" t="s">
        <v>587</v>
      </c>
      <c r="C247" s="5" t="s">
        <v>588</v>
      </c>
      <c r="D247" s="4" t="s">
        <v>589</v>
      </c>
      <c r="E247" s="4"/>
      <c r="F247" s="4" t="s">
        <v>22</v>
      </c>
      <c r="G247" s="6">
        <v>110.0</v>
      </c>
      <c r="H247" s="7" t="s">
        <v>474</v>
      </c>
      <c r="I247" s="4" t="s">
        <v>590</v>
      </c>
      <c r="J247" s="4" t="s">
        <v>591</v>
      </c>
      <c r="K247" s="8"/>
      <c r="L247" s="8" t="s">
        <v>592</v>
      </c>
      <c r="M247" s="9">
        <f t="shared" si="1"/>
        <v>42</v>
      </c>
    </row>
    <row r="248" ht="12.75" customHeight="1">
      <c r="A248" s="4">
        <f t="shared" si="2"/>
        <v>247</v>
      </c>
      <c r="B248" s="4" t="s">
        <v>593</v>
      </c>
      <c r="C248" s="5" t="s">
        <v>588</v>
      </c>
      <c r="D248" s="4" t="s">
        <v>594</v>
      </c>
      <c r="E248" s="4"/>
      <c r="F248" s="4" t="s">
        <v>22</v>
      </c>
      <c r="G248" s="6">
        <v>110.0</v>
      </c>
      <c r="H248" s="7" t="s">
        <v>474</v>
      </c>
      <c r="I248" s="4" t="s">
        <v>590</v>
      </c>
      <c r="J248" s="4" t="s">
        <v>591</v>
      </c>
      <c r="K248" s="8"/>
      <c r="L248" s="8" t="s">
        <v>592</v>
      </c>
      <c r="M248" s="9">
        <f t="shared" si="1"/>
        <v>42</v>
      </c>
    </row>
    <row r="249" ht="12.75" customHeight="1">
      <c r="A249" s="4">
        <f t="shared" si="2"/>
        <v>248</v>
      </c>
      <c r="B249" s="4" t="s">
        <v>595</v>
      </c>
      <c r="C249" s="5" t="s">
        <v>596</v>
      </c>
      <c r="D249" s="4" t="s">
        <v>597</v>
      </c>
      <c r="E249" s="4"/>
      <c r="F249" s="4" t="s">
        <v>22</v>
      </c>
      <c r="G249" s="6">
        <v>81.08</v>
      </c>
      <c r="H249" s="7" t="s">
        <v>474</v>
      </c>
      <c r="I249" s="4" t="s">
        <v>598</v>
      </c>
      <c r="J249" s="4" t="s">
        <v>599</v>
      </c>
      <c r="K249" s="8"/>
      <c r="L249" s="8" t="s">
        <v>600</v>
      </c>
      <c r="M249" s="9">
        <f t="shared" si="1"/>
        <v>43</v>
      </c>
    </row>
    <row r="250" ht="12.75" customHeight="1">
      <c r="A250" s="4">
        <f t="shared" si="2"/>
        <v>249</v>
      </c>
      <c r="B250" s="4" t="s">
        <v>601</v>
      </c>
      <c r="C250" s="5" t="s">
        <v>602</v>
      </c>
      <c r="D250" s="4" t="s">
        <v>603</v>
      </c>
      <c r="E250" s="4"/>
      <c r="F250" s="4" t="s">
        <v>22</v>
      </c>
      <c r="G250" s="6">
        <v>297.3</v>
      </c>
      <c r="H250" s="7" t="s">
        <v>474</v>
      </c>
      <c r="I250" s="4" t="s">
        <v>598</v>
      </c>
      <c r="J250" s="4" t="s">
        <v>599</v>
      </c>
      <c r="K250" s="8"/>
      <c r="L250" s="8" t="s">
        <v>600</v>
      </c>
      <c r="M250" s="9">
        <f t="shared" si="1"/>
        <v>44</v>
      </c>
    </row>
    <row r="251" ht="12.75" customHeight="1">
      <c r="A251" s="4">
        <f t="shared" si="2"/>
        <v>250</v>
      </c>
      <c r="B251" s="4" t="s">
        <v>604</v>
      </c>
      <c r="C251" s="5" t="s">
        <v>605</v>
      </c>
      <c r="D251" s="4">
        <v>106100.0</v>
      </c>
      <c r="E251" s="4"/>
      <c r="F251" s="4" t="s">
        <v>22</v>
      </c>
      <c r="G251" s="6">
        <v>124.3</v>
      </c>
      <c r="H251" s="7" t="s">
        <v>474</v>
      </c>
      <c r="I251" s="4" t="s">
        <v>510</v>
      </c>
      <c r="J251" s="4" t="s">
        <v>606</v>
      </c>
      <c r="K251" s="8"/>
      <c r="L251" s="8" t="s">
        <v>607</v>
      </c>
      <c r="M251" s="9">
        <f t="shared" si="1"/>
        <v>48</v>
      </c>
    </row>
    <row r="252" ht="12.75" customHeight="1">
      <c r="A252" s="4">
        <f t="shared" si="2"/>
        <v>251</v>
      </c>
      <c r="B252" s="4" t="s">
        <v>608</v>
      </c>
      <c r="C252" s="5" t="s">
        <v>609</v>
      </c>
      <c r="D252" s="4" t="s">
        <v>610</v>
      </c>
      <c r="E252" s="4"/>
      <c r="F252" s="4" t="s">
        <v>371</v>
      </c>
      <c r="G252" s="6">
        <v>216.22</v>
      </c>
      <c r="H252" s="7" t="s">
        <v>474</v>
      </c>
      <c r="I252" s="4" t="s">
        <v>510</v>
      </c>
      <c r="J252" s="4" t="s">
        <v>611</v>
      </c>
      <c r="K252" s="8"/>
      <c r="L252" s="8" t="s">
        <v>512</v>
      </c>
      <c r="M252" s="9">
        <f t="shared" si="1"/>
        <v>79</v>
      </c>
    </row>
    <row r="253" ht="12.75" customHeight="1">
      <c r="A253" s="4">
        <f t="shared" si="2"/>
        <v>252</v>
      </c>
      <c r="B253" s="4" t="s">
        <v>612</v>
      </c>
      <c r="C253" s="5" t="s">
        <v>613</v>
      </c>
      <c r="D253" s="14">
        <v>3.92E11</v>
      </c>
      <c r="E253" s="4"/>
      <c r="F253" s="4" t="s">
        <v>371</v>
      </c>
      <c r="G253" s="6">
        <v>756.76</v>
      </c>
      <c r="H253" s="7" t="s">
        <v>474</v>
      </c>
      <c r="I253" s="4" t="s">
        <v>510</v>
      </c>
      <c r="J253" s="4" t="s">
        <v>611</v>
      </c>
      <c r="K253" s="8"/>
      <c r="L253" s="8" t="s">
        <v>614</v>
      </c>
      <c r="M253" s="9">
        <f t="shared" si="1"/>
        <v>51</v>
      </c>
    </row>
    <row r="254" ht="12.75" customHeight="1">
      <c r="A254" s="4">
        <f t="shared" si="2"/>
        <v>253</v>
      </c>
      <c r="B254" s="4" t="s">
        <v>615</v>
      </c>
      <c r="C254" s="5" t="s">
        <v>613</v>
      </c>
      <c r="D254" s="14">
        <v>3.92E11</v>
      </c>
      <c r="E254" s="4"/>
      <c r="F254" s="4" t="s">
        <v>371</v>
      </c>
      <c r="G254" s="6">
        <v>756.76</v>
      </c>
      <c r="H254" s="7" t="s">
        <v>474</v>
      </c>
      <c r="I254" s="4" t="s">
        <v>510</v>
      </c>
      <c r="J254" s="4" t="s">
        <v>611</v>
      </c>
      <c r="K254" s="8"/>
      <c r="L254" s="8" t="s">
        <v>614</v>
      </c>
      <c r="M254" s="9">
        <f t="shared" si="1"/>
        <v>51</v>
      </c>
    </row>
    <row r="255" ht="12.75" customHeight="1">
      <c r="A255" s="4">
        <f t="shared" si="2"/>
        <v>254</v>
      </c>
      <c r="B255" s="4" t="s">
        <v>616</v>
      </c>
      <c r="C255" s="5" t="s">
        <v>617</v>
      </c>
      <c r="D255" s="4">
        <v>4.8400221E7</v>
      </c>
      <c r="E255" s="4"/>
      <c r="F255" s="4" t="s">
        <v>22</v>
      </c>
      <c r="G255" s="6">
        <v>67.57</v>
      </c>
      <c r="H255" s="7" t="s">
        <v>474</v>
      </c>
      <c r="I255" s="4" t="s">
        <v>510</v>
      </c>
      <c r="J255" s="4" t="s">
        <v>611</v>
      </c>
      <c r="K255" s="8"/>
      <c r="L255" s="8" t="s">
        <v>512</v>
      </c>
      <c r="M255" s="9">
        <f t="shared" si="1"/>
        <v>40</v>
      </c>
    </row>
    <row r="256" ht="12.75" customHeight="1">
      <c r="A256" s="4">
        <f t="shared" si="2"/>
        <v>255</v>
      </c>
      <c r="B256" s="4" t="s">
        <v>618</v>
      </c>
      <c r="C256" s="5" t="s">
        <v>617</v>
      </c>
      <c r="D256" s="4">
        <v>1.25216469E8</v>
      </c>
      <c r="E256" s="4"/>
      <c r="F256" s="4" t="s">
        <v>22</v>
      </c>
      <c r="G256" s="6">
        <v>67.57</v>
      </c>
      <c r="H256" s="7" t="s">
        <v>474</v>
      </c>
      <c r="I256" s="4" t="s">
        <v>510</v>
      </c>
      <c r="J256" s="4" t="s">
        <v>611</v>
      </c>
      <c r="K256" s="8"/>
      <c r="L256" s="8" t="s">
        <v>512</v>
      </c>
      <c r="M256" s="9">
        <f t="shared" si="1"/>
        <v>40</v>
      </c>
    </row>
    <row r="257" ht="12.75" customHeight="1">
      <c r="A257" s="4">
        <f t="shared" si="2"/>
        <v>256</v>
      </c>
      <c r="B257" s="4" t="s">
        <v>619</v>
      </c>
      <c r="C257" s="5" t="s">
        <v>620</v>
      </c>
      <c r="D257" s="4">
        <v>1.0</v>
      </c>
      <c r="E257" s="4"/>
      <c r="F257" s="4" t="s">
        <v>22</v>
      </c>
      <c r="G257" s="6">
        <v>1297.3</v>
      </c>
      <c r="H257" s="7" t="s">
        <v>474</v>
      </c>
      <c r="I257" s="4" t="s">
        <v>621</v>
      </c>
      <c r="J257" s="4" t="s">
        <v>622</v>
      </c>
      <c r="K257" s="8"/>
      <c r="L257" s="8" t="s">
        <v>623</v>
      </c>
      <c r="M257" s="9">
        <f t="shared" si="1"/>
        <v>60</v>
      </c>
    </row>
    <row r="258" ht="12.75" customHeight="1">
      <c r="A258" s="4">
        <f t="shared" si="2"/>
        <v>257</v>
      </c>
      <c r="B258" s="4" t="s">
        <v>624</v>
      </c>
      <c r="C258" s="5" t="s">
        <v>625</v>
      </c>
      <c r="D258" s="4" t="s">
        <v>484</v>
      </c>
      <c r="E258" s="4"/>
      <c r="F258" s="4" t="s">
        <v>22</v>
      </c>
      <c r="G258" s="6">
        <v>129.73</v>
      </c>
      <c r="H258" s="7" t="s">
        <v>474</v>
      </c>
      <c r="I258" s="4" t="s">
        <v>621</v>
      </c>
      <c r="J258" s="4" t="s">
        <v>622</v>
      </c>
      <c r="K258" s="8"/>
      <c r="L258" s="8" t="s">
        <v>507</v>
      </c>
      <c r="M258" s="9">
        <f t="shared" si="1"/>
        <v>50</v>
      </c>
    </row>
    <row r="259" ht="12.75" customHeight="1">
      <c r="A259" s="4">
        <f t="shared" si="2"/>
        <v>258</v>
      </c>
      <c r="B259" s="4" t="s">
        <v>626</v>
      </c>
      <c r="C259" s="5" t="s">
        <v>627</v>
      </c>
      <c r="D259" s="4" t="s">
        <v>484</v>
      </c>
      <c r="E259" s="4"/>
      <c r="F259" s="4" t="s">
        <v>22</v>
      </c>
      <c r="G259" s="6">
        <v>129.73</v>
      </c>
      <c r="H259" s="7" t="s">
        <v>474</v>
      </c>
      <c r="I259" s="4" t="s">
        <v>621</v>
      </c>
      <c r="J259" s="4" t="s">
        <v>622</v>
      </c>
      <c r="K259" s="8"/>
      <c r="L259" s="8" t="s">
        <v>507</v>
      </c>
      <c r="M259" s="9">
        <f t="shared" si="1"/>
        <v>50</v>
      </c>
    </row>
    <row r="260" ht="12.75" customHeight="1">
      <c r="A260" s="4">
        <f t="shared" si="2"/>
        <v>259</v>
      </c>
      <c r="B260" s="4" t="s">
        <v>628</v>
      </c>
      <c r="C260" s="5" t="s">
        <v>629</v>
      </c>
      <c r="D260" s="4" t="s">
        <v>630</v>
      </c>
      <c r="E260" s="4"/>
      <c r="F260" s="4" t="s">
        <v>22</v>
      </c>
      <c r="G260" s="6">
        <v>143.49</v>
      </c>
      <c r="H260" s="7" t="s">
        <v>474</v>
      </c>
      <c r="I260" s="4" t="s">
        <v>580</v>
      </c>
      <c r="J260" s="4" t="s">
        <v>631</v>
      </c>
      <c r="K260" s="8"/>
      <c r="L260" s="8" t="s">
        <v>632</v>
      </c>
      <c r="M260" s="9">
        <f t="shared" si="1"/>
        <v>41</v>
      </c>
    </row>
    <row r="261" ht="12.75" customHeight="1">
      <c r="A261" s="4">
        <f t="shared" si="2"/>
        <v>260</v>
      </c>
      <c r="B261" s="4" t="s">
        <v>633</v>
      </c>
      <c r="C261" s="5" t="s">
        <v>634</v>
      </c>
      <c r="D261" s="4" t="s">
        <v>484</v>
      </c>
      <c r="E261" s="4"/>
      <c r="F261" s="4" t="s">
        <v>22</v>
      </c>
      <c r="G261" s="6">
        <v>836.22</v>
      </c>
      <c r="H261" s="7" t="s">
        <v>474</v>
      </c>
      <c r="I261" s="4" t="s">
        <v>505</v>
      </c>
      <c r="J261" s="4" t="s">
        <v>635</v>
      </c>
      <c r="K261" s="8"/>
      <c r="L261" s="8" t="s">
        <v>636</v>
      </c>
      <c r="M261" s="9">
        <f t="shared" si="1"/>
        <v>38</v>
      </c>
    </row>
    <row r="262" ht="12.75" customHeight="1">
      <c r="A262" s="4">
        <f t="shared" si="2"/>
        <v>261</v>
      </c>
      <c r="B262" s="4" t="s">
        <v>637</v>
      </c>
      <c r="C262" s="5" t="s">
        <v>638</v>
      </c>
      <c r="D262" s="4">
        <v>3.29381613E8</v>
      </c>
      <c r="E262" s="4"/>
      <c r="F262" s="4" t="s">
        <v>22</v>
      </c>
      <c r="G262" s="6" t="s">
        <v>639</v>
      </c>
      <c r="H262" s="7" t="s">
        <v>474</v>
      </c>
      <c r="I262" s="4" t="s">
        <v>510</v>
      </c>
      <c r="J262" s="4" t="s">
        <v>511</v>
      </c>
      <c r="K262" s="8"/>
      <c r="L262" s="8" t="s">
        <v>512</v>
      </c>
      <c r="M262" s="9">
        <f t="shared" si="1"/>
        <v>52</v>
      </c>
    </row>
    <row r="263" ht="12.75" customHeight="1">
      <c r="A263" s="4">
        <f t="shared" si="2"/>
        <v>262</v>
      </c>
      <c r="B263" s="4" t="s">
        <v>640</v>
      </c>
      <c r="C263" s="5" t="s">
        <v>641</v>
      </c>
      <c r="D263" s="4">
        <v>4085936.0</v>
      </c>
      <c r="E263" s="4"/>
      <c r="F263" s="4" t="s">
        <v>22</v>
      </c>
      <c r="G263" s="6" t="s">
        <v>642</v>
      </c>
      <c r="H263" s="7" t="s">
        <v>474</v>
      </c>
      <c r="I263" s="4" t="s">
        <v>510</v>
      </c>
      <c r="J263" s="4" t="s">
        <v>611</v>
      </c>
      <c r="K263" s="8"/>
      <c r="L263" s="8" t="s">
        <v>512</v>
      </c>
      <c r="M263" s="9">
        <f t="shared" si="1"/>
        <v>71</v>
      </c>
    </row>
    <row r="264" ht="12.75" customHeight="1">
      <c r="A264" s="4">
        <f t="shared" si="2"/>
        <v>263</v>
      </c>
      <c r="B264" s="4" t="s">
        <v>643</v>
      </c>
      <c r="C264" s="5" t="s">
        <v>644</v>
      </c>
      <c r="D264" s="4">
        <v>2.0276617E7</v>
      </c>
      <c r="E264" s="4"/>
      <c r="F264" s="4" t="s">
        <v>22</v>
      </c>
      <c r="G264" s="6" t="s">
        <v>645</v>
      </c>
      <c r="H264" s="7" t="s">
        <v>474</v>
      </c>
      <c r="I264" s="4" t="s">
        <v>475</v>
      </c>
      <c r="J264" s="4" t="s">
        <v>646</v>
      </c>
      <c r="K264" s="8"/>
      <c r="L264" s="8" t="s">
        <v>647</v>
      </c>
      <c r="M264" s="9">
        <f t="shared" si="1"/>
        <v>48</v>
      </c>
    </row>
    <row r="265" ht="12.75" customHeight="1">
      <c r="A265" s="4">
        <f t="shared" si="2"/>
        <v>264</v>
      </c>
      <c r="B265" s="4" t="s">
        <v>648</v>
      </c>
      <c r="C265" s="5" t="s">
        <v>649</v>
      </c>
      <c r="D265" s="4">
        <v>220503.0</v>
      </c>
      <c r="E265" s="4"/>
      <c r="F265" s="4" t="s">
        <v>22</v>
      </c>
      <c r="G265" s="6" t="s">
        <v>645</v>
      </c>
      <c r="H265" s="7" t="s">
        <v>474</v>
      </c>
      <c r="I265" s="4" t="s">
        <v>17</v>
      </c>
      <c r="J265" s="4" t="s">
        <v>32</v>
      </c>
      <c r="K265" s="8"/>
      <c r="L265" s="8" t="s">
        <v>650</v>
      </c>
      <c r="M265" s="9">
        <f t="shared" si="1"/>
        <v>63</v>
      </c>
    </row>
    <row r="266" ht="12.75" customHeight="1">
      <c r="A266" s="4">
        <f t="shared" si="2"/>
        <v>265</v>
      </c>
      <c r="B266" s="4" t="s">
        <v>651</v>
      </c>
      <c r="C266" s="5" t="s">
        <v>649</v>
      </c>
      <c r="D266" s="4">
        <v>220446.0</v>
      </c>
      <c r="E266" s="4"/>
      <c r="F266" s="4" t="s">
        <v>22</v>
      </c>
      <c r="G266" s="6" t="s">
        <v>645</v>
      </c>
      <c r="H266" s="7" t="s">
        <v>474</v>
      </c>
      <c r="I266" s="4" t="s">
        <v>17</v>
      </c>
      <c r="J266" s="4" t="s">
        <v>32</v>
      </c>
      <c r="K266" s="8"/>
      <c r="L266" s="8" t="s">
        <v>650</v>
      </c>
      <c r="M266" s="9">
        <f t="shared" si="1"/>
        <v>63</v>
      </c>
    </row>
    <row r="267" ht="12.75" customHeight="1">
      <c r="A267" s="4">
        <f t="shared" si="2"/>
        <v>266</v>
      </c>
      <c r="B267" s="4" t="s">
        <v>652</v>
      </c>
      <c r="C267" s="5" t="s">
        <v>649</v>
      </c>
      <c r="D267" s="4">
        <v>220445.0</v>
      </c>
      <c r="E267" s="4"/>
      <c r="F267" s="4" t="s">
        <v>22</v>
      </c>
      <c r="G267" s="6" t="s">
        <v>645</v>
      </c>
      <c r="H267" s="7" t="s">
        <v>474</v>
      </c>
      <c r="I267" s="4" t="s">
        <v>17</v>
      </c>
      <c r="J267" s="4" t="s">
        <v>32</v>
      </c>
      <c r="K267" s="8"/>
      <c r="L267" s="8" t="s">
        <v>650</v>
      </c>
      <c r="M267" s="9">
        <f t="shared" si="1"/>
        <v>63</v>
      </c>
    </row>
    <row r="268" ht="12.75" customHeight="1">
      <c r="A268" s="4">
        <f t="shared" si="2"/>
        <v>267</v>
      </c>
      <c r="B268" s="4" t="s">
        <v>653</v>
      </c>
      <c r="C268" s="5" t="s">
        <v>649</v>
      </c>
      <c r="D268" s="4">
        <v>220487.0</v>
      </c>
      <c r="E268" s="4"/>
      <c r="F268" s="4" t="s">
        <v>22</v>
      </c>
      <c r="G268" s="6" t="s">
        <v>645</v>
      </c>
      <c r="H268" s="7" t="s">
        <v>474</v>
      </c>
      <c r="I268" s="4" t="s">
        <v>17</v>
      </c>
      <c r="J268" s="4" t="s">
        <v>32</v>
      </c>
      <c r="K268" s="8"/>
      <c r="L268" s="8" t="s">
        <v>650</v>
      </c>
      <c r="M268" s="9">
        <f t="shared" si="1"/>
        <v>63</v>
      </c>
    </row>
    <row r="269" ht="12.75" customHeight="1">
      <c r="A269" s="4">
        <f t="shared" si="2"/>
        <v>268</v>
      </c>
      <c r="B269" s="4" t="s">
        <v>654</v>
      </c>
      <c r="C269" s="5" t="s">
        <v>649</v>
      </c>
      <c r="D269" s="4">
        <v>220511.0</v>
      </c>
      <c r="E269" s="4"/>
      <c r="F269" s="4" t="s">
        <v>22</v>
      </c>
      <c r="G269" s="6" t="s">
        <v>645</v>
      </c>
      <c r="H269" s="7" t="s">
        <v>474</v>
      </c>
      <c r="I269" s="4" t="s">
        <v>17</v>
      </c>
      <c r="J269" s="4" t="s">
        <v>32</v>
      </c>
      <c r="K269" s="8"/>
      <c r="L269" s="8" t="s">
        <v>650</v>
      </c>
      <c r="M269" s="9">
        <f t="shared" si="1"/>
        <v>63</v>
      </c>
    </row>
    <row r="270" ht="12.75" customHeight="1">
      <c r="A270" s="4">
        <f t="shared" si="2"/>
        <v>269</v>
      </c>
      <c r="B270" s="4" t="s">
        <v>655</v>
      </c>
      <c r="C270" s="5" t="s">
        <v>649</v>
      </c>
      <c r="D270" s="4">
        <v>220471.0</v>
      </c>
      <c r="E270" s="4"/>
      <c r="F270" s="4" t="s">
        <v>22</v>
      </c>
      <c r="G270" s="6" t="s">
        <v>645</v>
      </c>
      <c r="H270" s="7" t="s">
        <v>474</v>
      </c>
      <c r="I270" s="4" t="s">
        <v>17</v>
      </c>
      <c r="J270" s="4" t="s">
        <v>32</v>
      </c>
      <c r="K270" s="8"/>
      <c r="L270" s="8" t="s">
        <v>650</v>
      </c>
      <c r="M270" s="9">
        <f t="shared" si="1"/>
        <v>63</v>
      </c>
    </row>
    <row r="271" ht="12.75" customHeight="1">
      <c r="A271" s="4">
        <f t="shared" si="2"/>
        <v>270</v>
      </c>
      <c r="B271" s="4" t="s">
        <v>656</v>
      </c>
      <c r="C271" s="5" t="s">
        <v>657</v>
      </c>
      <c r="D271" s="4">
        <v>220144.0</v>
      </c>
      <c r="E271" s="4"/>
      <c r="F271" s="4" t="s">
        <v>22</v>
      </c>
      <c r="G271" s="6" t="s">
        <v>658</v>
      </c>
      <c r="H271" s="7" t="s">
        <v>474</v>
      </c>
      <c r="I271" s="4" t="s">
        <v>17</v>
      </c>
      <c r="J271" s="4" t="s">
        <v>32</v>
      </c>
      <c r="K271" s="8"/>
      <c r="L271" s="8" t="s">
        <v>659</v>
      </c>
      <c r="M271" s="9">
        <f t="shared" si="1"/>
        <v>73</v>
      </c>
    </row>
    <row r="272" ht="12.75" customHeight="1">
      <c r="A272" s="4">
        <f t="shared" si="2"/>
        <v>271</v>
      </c>
      <c r="B272" s="4" t="s">
        <v>660</v>
      </c>
      <c r="C272" s="5" t="s">
        <v>657</v>
      </c>
      <c r="D272" s="4">
        <v>230386.0</v>
      </c>
      <c r="E272" s="4"/>
      <c r="F272" s="4" t="s">
        <v>22</v>
      </c>
      <c r="G272" s="6" t="s">
        <v>658</v>
      </c>
      <c r="H272" s="7" t="s">
        <v>474</v>
      </c>
      <c r="I272" s="4" t="s">
        <v>17</v>
      </c>
      <c r="J272" s="4" t="s">
        <v>32</v>
      </c>
      <c r="K272" s="8"/>
      <c r="L272" s="8" t="s">
        <v>659</v>
      </c>
      <c r="M272" s="9">
        <f t="shared" si="1"/>
        <v>73</v>
      </c>
    </row>
    <row r="273" ht="12.75" customHeight="1">
      <c r="A273" s="4">
        <f t="shared" si="2"/>
        <v>272</v>
      </c>
      <c r="B273" s="4" t="s">
        <v>661</v>
      </c>
      <c r="C273" s="5" t="s">
        <v>657</v>
      </c>
      <c r="D273" s="4">
        <v>230389.0</v>
      </c>
      <c r="E273" s="4"/>
      <c r="F273" s="4" t="s">
        <v>22</v>
      </c>
      <c r="G273" s="6" t="s">
        <v>658</v>
      </c>
      <c r="H273" s="7" t="s">
        <v>474</v>
      </c>
      <c r="I273" s="4" t="s">
        <v>17</v>
      </c>
      <c r="J273" s="4" t="s">
        <v>32</v>
      </c>
      <c r="K273" s="8"/>
      <c r="L273" s="8" t="s">
        <v>659</v>
      </c>
      <c r="M273" s="9">
        <f t="shared" si="1"/>
        <v>73</v>
      </c>
    </row>
    <row r="274" ht="12.75" customHeight="1">
      <c r="A274" s="4">
        <f t="shared" si="2"/>
        <v>273</v>
      </c>
      <c r="B274" s="4" t="s">
        <v>662</v>
      </c>
      <c r="C274" s="5" t="s">
        <v>657</v>
      </c>
      <c r="D274" s="4">
        <v>230424.0</v>
      </c>
      <c r="E274" s="4"/>
      <c r="F274" s="4" t="s">
        <v>22</v>
      </c>
      <c r="G274" s="6" t="s">
        <v>658</v>
      </c>
      <c r="H274" s="7" t="s">
        <v>474</v>
      </c>
      <c r="I274" s="4" t="s">
        <v>17</v>
      </c>
      <c r="J274" s="4" t="s">
        <v>32</v>
      </c>
      <c r="K274" s="8"/>
      <c r="L274" s="8" t="s">
        <v>659</v>
      </c>
      <c r="M274" s="9">
        <f t="shared" si="1"/>
        <v>73</v>
      </c>
    </row>
    <row r="275" ht="12.75" customHeight="1">
      <c r="A275" s="4">
        <f t="shared" si="2"/>
        <v>274</v>
      </c>
      <c r="B275" s="4" t="s">
        <v>663</v>
      </c>
      <c r="C275" s="5" t="s">
        <v>657</v>
      </c>
      <c r="D275" s="4" t="s">
        <v>664</v>
      </c>
      <c r="E275" s="4"/>
      <c r="F275" s="4" t="s">
        <v>22</v>
      </c>
      <c r="G275" s="6" t="s">
        <v>658</v>
      </c>
      <c r="H275" s="7" t="s">
        <v>474</v>
      </c>
      <c r="I275" s="4" t="s">
        <v>17</v>
      </c>
      <c r="J275" s="4" t="s">
        <v>32</v>
      </c>
      <c r="K275" s="8"/>
      <c r="L275" s="8" t="s">
        <v>659</v>
      </c>
      <c r="M275" s="9">
        <f t="shared" si="1"/>
        <v>73</v>
      </c>
    </row>
    <row r="276" ht="12.75" customHeight="1">
      <c r="A276" s="4">
        <f t="shared" si="2"/>
        <v>275</v>
      </c>
      <c r="B276" s="4" t="s">
        <v>665</v>
      </c>
      <c r="C276" s="5" t="s">
        <v>657</v>
      </c>
      <c r="D276" s="4" t="s">
        <v>666</v>
      </c>
      <c r="E276" s="4"/>
      <c r="F276" s="4" t="s">
        <v>22</v>
      </c>
      <c r="G276" s="6" t="s">
        <v>658</v>
      </c>
      <c r="H276" s="7" t="s">
        <v>474</v>
      </c>
      <c r="I276" s="4" t="s">
        <v>17</v>
      </c>
      <c r="J276" s="4" t="s">
        <v>32</v>
      </c>
      <c r="K276" s="8"/>
      <c r="L276" s="8" t="s">
        <v>659</v>
      </c>
      <c r="M276" s="9">
        <f t="shared" si="1"/>
        <v>73</v>
      </c>
    </row>
    <row r="277" ht="12.75" customHeight="1">
      <c r="A277" s="4">
        <f t="shared" si="2"/>
        <v>276</v>
      </c>
      <c r="B277" s="4" t="s">
        <v>667</v>
      </c>
      <c r="C277" s="5" t="s">
        <v>657</v>
      </c>
      <c r="D277" s="4" t="s">
        <v>668</v>
      </c>
      <c r="E277" s="4"/>
      <c r="F277" s="4" t="s">
        <v>22</v>
      </c>
      <c r="G277" s="6" t="s">
        <v>658</v>
      </c>
      <c r="H277" s="7" t="s">
        <v>474</v>
      </c>
      <c r="I277" s="4" t="s">
        <v>17</v>
      </c>
      <c r="J277" s="4" t="s">
        <v>32</v>
      </c>
      <c r="K277" s="8"/>
      <c r="L277" s="8" t="s">
        <v>659</v>
      </c>
      <c r="M277" s="9">
        <f t="shared" si="1"/>
        <v>73</v>
      </c>
    </row>
    <row r="278" ht="12.75" customHeight="1">
      <c r="A278" s="4">
        <f t="shared" si="2"/>
        <v>277</v>
      </c>
      <c r="B278" s="4" t="s">
        <v>669</v>
      </c>
      <c r="C278" s="5" t="s">
        <v>657</v>
      </c>
      <c r="D278" s="4" t="s">
        <v>670</v>
      </c>
      <c r="E278" s="4"/>
      <c r="F278" s="4" t="s">
        <v>22</v>
      </c>
      <c r="G278" s="6" t="s">
        <v>658</v>
      </c>
      <c r="H278" s="7" t="s">
        <v>474</v>
      </c>
      <c r="I278" s="4" t="s">
        <v>17</v>
      </c>
      <c r="J278" s="4" t="s">
        <v>32</v>
      </c>
      <c r="K278" s="8"/>
      <c r="L278" s="8" t="s">
        <v>659</v>
      </c>
      <c r="M278" s="9">
        <f t="shared" si="1"/>
        <v>73</v>
      </c>
    </row>
    <row r="279" ht="12.75" customHeight="1">
      <c r="A279" s="4">
        <f t="shared" si="2"/>
        <v>278</v>
      </c>
      <c r="B279" s="4" t="s">
        <v>671</v>
      </c>
      <c r="C279" s="5" t="s">
        <v>657</v>
      </c>
      <c r="D279" s="4" t="s">
        <v>672</v>
      </c>
      <c r="E279" s="4"/>
      <c r="F279" s="4" t="s">
        <v>22</v>
      </c>
      <c r="G279" s="6" t="s">
        <v>658</v>
      </c>
      <c r="H279" s="7" t="s">
        <v>474</v>
      </c>
      <c r="I279" s="4" t="s">
        <v>17</v>
      </c>
      <c r="J279" s="4" t="s">
        <v>32</v>
      </c>
      <c r="K279" s="8"/>
      <c r="L279" s="8" t="s">
        <v>659</v>
      </c>
      <c r="M279" s="9">
        <f t="shared" si="1"/>
        <v>73</v>
      </c>
    </row>
    <row r="280" ht="12.75" customHeight="1">
      <c r="A280" s="4">
        <f t="shared" si="2"/>
        <v>279</v>
      </c>
      <c r="B280" s="4" t="s">
        <v>673</v>
      </c>
      <c r="C280" s="5" t="s">
        <v>657</v>
      </c>
      <c r="D280" s="4" t="s">
        <v>674</v>
      </c>
      <c r="E280" s="4"/>
      <c r="F280" s="4" t="s">
        <v>22</v>
      </c>
      <c r="G280" s="6" t="s">
        <v>658</v>
      </c>
      <c r="H280" s="7" t="s">
        <v>474</v>
      </c>
      <c r="I280" s="4" t="s">
        <v>17</v>
      </c>
      <c r="J280" s="4" t="s">
        <v>32</v>
      </c>
      <c r="K280" s="8"/>
      <c r="L280" s="8" t="s">
        <v>659</v>
      </c>
      <c r="M280" s="9">
        <f t="shared" si="1"/>
        <v>73</v>
      </c>
    </row>
    <row r="281" ht="12.75" customHeight="1">
      <c r="A281" s="4">
        <f t="shared" si="2"/>
        <v>280</v>
      </c>
      <c r="B281" s="4" t="s">
        <v>675</v>
      </c>
      <c r="C281" s="5" t="s">
        <v>638</v>
      </c>
      <c r="D281" s="4">
        <v>3.28311174E8</v>
      </c>
      <c r="E281" s="4"/>
      <c r="F281" s="4" t="s">
        <v>22</v>
      </c>
      <c r="G281" s="6" t="s">
        <v>639</v>
      </c>
      <c r="H281" s="7" t="s">
        <v>474</v>
      </c>
      <c r="I281" s="4" t="s">
        <v>510</v>
      </c>
      <c r="J281" s="4" t="s">
        <v>511</v>
      </c>
      <c r="K281" s="8"/>
      <c r="L281" s="8" t="s">
        <v>512</v>
      </c>
      <c r="M281" s="9">
        <f t="shared" si="1"/>
        <v>52</v>
      </c>
    </row>
    <row r="282" ht="12.75" customHeight="1">
      <c r="A282" s="4">
        <f t="shared" si="2"/>
        <v>281</v>
      </c>
      <c r="B282" s="4" t="s">
        <v>676</v>
      </c>
      <c r="C282" s="5" t="s">
        <v>638</v>
      </c>
      <c r="D282" s="4">
        <v>3.28311179E8</v>
      </c>
      <c r="E282" s="4"/>
      <c r="F282" s="4" t="s">
        <v>22</v>
      </c>
      <c r="G282" s="6" t="s">
        <v>639</v>
      </c>
      <c r="H282" s="7" t="s">
        <v>474</v>
      </c>
      <c r="I282" s="4" t="s">
        <v>510</v>
      </c>
      <c r="J282" s="4" t="s">
        <v>511</v>
      </c>
      <c r="K282" s="8"/>
      <c r="L282" s="8" t="s">
        <v>512</v>
      </c>
      <c r="M282" s="9">
        <f t="shared" si="1"/>
        <v>52</v>
      </c>
    </row>
    <row r="283" ht="12.75" customHeight="1">
      <c r="A283" s="4">
        <f t="shared" si="2"/>
        <v>282</v>
      </c>
      <c r="B283" s="4" t="s">
        <v>677</v>
      </c>
      <c r="C283" s="5" t="s">
        <v>678</v>
      </c>
      <c r="D283" s="4">
        <v>1.2100318E8</v>
      </c>
      <c r="E283" s="4"/>
      <c r="F283" s="4" t="s">
        <v>22</v>
      </c>
      <c r="G283" s="6" t="s">
        <v>679</v>
      </c>
      <c r="H283" s="7" t="s">
        <v>474</v>
      </c>
      <c r="I283" s="4" t="s">
        <v>510</v>
      </c>
      <c r="J283" s="4" t="s">
        <v>511</v>
      </c>
      <c r="K283" s="8"/>
      <c r="L283" s="8" t="s">
        <v>512</v>
      </c>
      <c r="M283" s="9">
        <f t="shared" si="1"/>
        <v>55</v>
      </c>
    </row>
    <row r="284" ht="12.75" customHeight="1">
      <c r="A284" s="4">
        <f t="shared" si="2"/>
        <v>283</v>
      </c>
      <c r="B284" s="15" t="s">
        <v>680</v>
      </c>
      <c r="C284" s="16" t="s">
        <v>681</v>
      </c>
      <c r="D284" s="15"/>
      <c r="E284" s="15"/>
      <c r="F284" s="15" t="s">
        <v>22</v>
      </c>
      <c r="G284" s="17" t="s">
        <v>682</v>
      </c>
      <c r="H284" s="18" t="s">
        <v>474</v>
      </c>
      <c r="I284" s="15" t="s">
        <v>510</v>
      </c>
      <c r="J284" s="15" t="s">
        <v>611</v>
      </c>
      <c r="K284" s="19"/>
      <c r="L284" s="19" t="s">
        <v>512</v>
      </c>
      <c r="M284" s="20">
        <f t="shared" si="1"/>
        <v>19</v>
      </c>
    </row>
    <row r="285" ht="12.75" customHeight="1">
      <c r="A285" s="4">
        <f t="shared" si="2"/>
        <v>284</v>
      </c>
      <c r="B285" s="15" t="s">
        <v>683</v>
      </c>
      <c r="C285" s="16" t="s">
        <v>684</v>
      </c>
      <c r="D285" s="15"/>
      <c r="E285" s="15"/>
      <c r="F285" s="15" t="s">
        <v>22</v>
      </c>
      <c r="G285" s="17" t="s">
        <v>682</v>
      </c>
      <c r="H285" s="18" t="s">
        <v>474</v>
      </c>
      <c r="I285" s="15" t="s">
        <v>510</v>
      </c>
      <c r="J285" s="15" t="s">
        <v>611</v>
      </c>
      <c r="K285" s="19"/>
      <c r="L285" s="19" t="s">
        <v>512</v>
      </c>
      <c r="M285" s="20">
        <f t="shared" si="1"/>
        <v>27</v>
      </c>
    </row>
    <row r="286" ht="12.75" customHeight="1">
      <c r="A286" s="4">
        <f t="shared" si="2"/>
        <v>285</v>
      </c>
      <c r="B286" s="15" t="s">
        <v>685</v>
      </c>
      <c r="C286" s="16" t="s">
        <v>686</v>
      </c>
      <c r="D286" s="15">
        <v>3.30003184E8</v>
      </c>
      <c r="E286" s="15"/>
      <c r="F286" s="15" t="s">
        <v>22</v>
      </c>
      <c r="G286" s="17" t="s">
        <v>687</v>
      </c>
      <c r="H286" s="18" t="s">
        <v>474</v>
      </c>
      <c r="I286" s="15" t="s">
        <v>510</v>
      </c>
      <c r="J286" s="15" t="s">
        <v>611</v>
      </c>
      <c r="K286" s="19"/>
      <c r="L286" s="19" t="s">
        <v>512</v>
      </c>
      <c r="M286" s="20">
        <f t="shared" si="1"/>
        <v>33</v>
      </c>
    </row>
    <row r="287" ht="12.75" customHeight="1">
      <c r="A287" s="4">
        <f t="shared" si="2"/>
        <v>286</v>
      </c>
      <c r="B287" s="4" t="s">
        <v>688</v>
      </c>
      <c r="C287" s="5" t="s">
        <v>689</v>
      </c>
      <c r="D287" s="4" t="s">
        <v>690</v>
      </c>
      <c r="E287" s="4"/>
      <c r="F287" s="4" t="s">
        <v>22</v>
      </c>
      <c r="G287" s="21">
        <v>72.97</v>
      </c>
      <c r="H287" s="7" t="s">
        <v>691</v>
      </c>
      <c r="I287" s="7" t="s">
        <v>598</v>
      </c>
      <c r="J287" s="7" t="s">
        <v>692</v>
      </c>
      <c r="K287" s="8"/>
      <c r="L287" s="8" t="s">
        <v>693</v>
      </c>
      <c r="M287" s="9">
        <f t="shared" si="1"/>
        <v>13</v>
      </c>
    </row>
    <row r="288" ht="12.75" customHeight="1">
      <c r="A288" s="4">
        <f t="shared" si="2"/>
        <v>287</v>
      </c>
      <c r="B288" s="4" t="s">
        <v>694</v>
      </c>
      <c r="C288" s="5" t="s">
        <v>695</v>
      </c>
      <c r="D288" s="4" t="s">
        <v>696</v>
      </c>
      <c r="E288" s="4"/>
      <c r="F288" s="4" t="s">
        <v>22</v>
      </c>
      <c r="G288" s="21">
        <v>729.73</v>
      </c>
      <c r="H288" s="7" t="s">
        <v>691</v>
      </c>
      <c r="I288" s="7" t="s">
        <v>598</v>
      </c>
      <c r="J288" s="7" t="s">
        <v>692</v>
      </c>
      <c r="K288" s="8"/>
      <c r="L288" s="8" t="s">
        <v>600</v>
      </c>
      <c r="M288" s="9">
        <f t="shared" si="1"/>
        <v>50</v>
      </c>
    </row>
    <row r="289" ht="12.75" customHeight="1">
      <c r="A289" s="4">
        <f t="shared" si="2"/>
        <v>288</v>
      </c>
      <c r="B289" s="4" t="s">
        <v>697</v>
      </c>
      <c r="C289" s="5" t="s">
        <v>698</v>
      </c>
      <c r="D289" s="4" t="s">
        <v>699</v>
      </c>
      <c r="E289" s="4"/>
      <c r="F289" s="4" t="s">
        <v>22</v>
      </c>
      <c r="G289" s="21">
        <v>246.76</v>
      </c>
      <c r="H289" s="7" t="s">
        <v>691</v>
      </c>
      <c r="I289" s="7" t="s">
        <v>598</v>
      </c>
      <c r="J289" s="7" t="s">
        <v>692</v>
      </c>
      <c r="K289" s="8"/>
      <c r="L289" s="8" t="s">
        <v>700</v>
      </c>
      <c r="M289" s="9">
        <f t="shared" si="1"/>
        <v>44</v>
      </c>
    </row>
    <row r="290" ht="12.75" customHeight="1">
      <c r="A290" s="4">
        <f t="shared" si="2"/>
        <v>289</v>
      </c>
      <c r="B290" s="4" t="s">
        <v>701</v>
      </c>
      <c r="C290" s="5" t="s">
        <v>702</v>
      </c>
      <c r="D290" s="4" t="s">
        <v>703</v>
      </c>
      <c r="E290" s="4"/>
      <c r="F290" s="4" t="s">
        <v>22</v>
      </c>
      <c r="G290" s="21">
        <v>97.81</v>
      </c>
      <c r="H290" s="7" t="s">
        <v>691</v>
      </c>
      <c r="I290" s="7" t="s">
        <v>598</v>
      </c>
      <c r="J290" s="7" t="s">
        <v>704</v>
      </c>
      <c r="K290" s="8"/>
      <c r="L290" s="8" t="s">
        <v>705</v>
      </c>
      <c r="M290" s="9">
        <f t="shared" si="1"/>
        <v>32</v>
      </c>
    </row>
    <row r="291" ht="12.75" customHeight="1">
      <c r="A291" s="4">
        <f t="shared" si="2"/>
        <v>290</v>
      </c>
      <c r="B291" s="4" t="s">
        <v>706</v>
      </c>
      <c r="C291" s="5" t="s">
        <v>707</v>
      </c>
      <c r="D291" s="4"/>
      <c r="E291" s="4"/>
      <c r="F291" s="4" t="s">
        <v>22</v>
      </c>
      <c r="G291" s="21">
        <v>35.65</v>
      </c>
      <c r="H291" s="7" t="s">
        <v>708</v>
      </c>
      <c r="I291" s="7" t="s">
        <v>709</v>
      </c>
      <c r="J291" s="7" t="s">
        <v>710</v>
      </c>
      <c r="K291" s="8"/>
      <c r="L291" s="8" t="s">
        <v>33</v>
      </c>
      <c r="M291" s="9">
        <f t="shared" si="1"/>
        <v>43</v>
      </c>
    </row>
    <row r="292" ht="12.75" customHeight="1">
      <c r="A292" s="4">
        <f t="shared" si="2"/>
        <v>291</v>
      </c>
      <c r="B292" s="4" t="s">
        <v>711</v>
      </c>
      <c r="C292" s="5" t="s">
        <v>712</v>
      </c>
      <c r="D292" s="4"/>
      <c r="E292" s="4"/>
      <c r="F292" s="4" t="s">
        <v>22</v>
      </c>
      <c r="G292" s="21">
        <v>61.63</v>
      </c>
      <c r="H292" s="7" t="s">
        <v>708</v>
      </c>
      <c r="I292" s="7" t="s">
        <v>709</v>
      </c>
      <c r="J292" s="7" t="s">
        <v>710</v>
      </c>
      <c r="K292" s="8"/>
      <c r="L292" s="8" t="s">
        <v>33</v>
      </c>
      <c r="M292" s="9">
        <f t="shared" si="1"/>
        <v>43</v>
      </c>
    </row>
    <row r="293" ht="12.75" customHeight="1">
      <c r="A293" s="4">
        <f t="shared" si="2"/>
        <v>292</v>
      </c>
      <c r="B293" s="4" t="s">
        <v>713</v>
      </c>
      <c r="C293" s="5" t="s">
        <v>714</v>
      </c>
      <c r="D293" s="4"/>
      <c r="E293" s="4"/>
      <c r="F293" s="4" t="s">
        <v>22</v>
      </c>
      <c r="G293" s="21">
        <v>15.38</v>
      </c>
      <c r="H293" s="7" t="s">
        <v>708</v>
      </c>
      <c r="I293" s="7" t="s">
        <v>709</v>
      </c>
      <c r="J293" s="7" t="s">
        <v>710</v>
      </c>
      <c r="K293" s="8"/>
      <c r="L293" s="8" t="s">
        <v>33</v>
      </c>
      <c r="M293" s="9">
        <f t="shared" si="1"/>
        <v>45</v>
      </c>
    </row>
    <row r="294" ht="12.75" customHeight="1">
      <c r="A294" s="4">
        <f t="shared" si="2"/>
        <v>293</v>
      </c>
      <c r="B294" s="4" t="s">
        <v>715</v>
      </c>
      <c r="C294" s="5" t="s">
        <v>716</v>
      </c>
      <c r="D294" s="4"/>
      <c r="E294" s="4"/>
      <c r="F294" s="4" t="s">
        <v>22</v>
      </c>
      <c r="G294" s="21">
        <v>26.19</v>
      </c>
      <c r="H294" s="7" t="s">
        <v>708</v>
      </c>
      <c r="I294" s="7" t="s">
        <v>709</v>
      </c>
      <c r="J294" s="7" t="s">
        <v>710</v>
      </c>
      <c r="K294" s="8"/>
      <c r="L294" s="8" t="s">
        <v>33</v>
      </c>
      <c r="M294" s="9">
        <f t="shared" si="1"/>
        <v>45</v>
      </c>
    </row>
    <row r="295" ht="12.75" customHeight="1">
      <c r="A295" s="4">
        <f t="shared" si="2"/>
        <v>294</v>
      </c>
      <c r="B295" s="4" t="s">
        <v>717</v>
      </c>
      <c r="C295" s="5" t="s">
        <v>718</v>
      </c>
      <c r="D295" s="4"/>
      <c r="E295" s="4"/>
      <c r="F295" s="4" t="s">
        <v>22</v>
      </c>
      <c r="G295" s="21">
        <v>5.81</v>
      </c>
      <c r="H295" s="7" t="s">
        <v>708</v>
      </c>
      <c r="I295" s="7" t="s">
        <v>709</v>
      </c>
      <c r="J295" s="7" t="s">
        <v>719</v>
      </c>
      <c r="K295" s="8"/>
      <c r="L295" s="8" t="s">
        <v>33</v>
      </c>
      <c r="M295" s="9">
        <f t="shared" si="1"/>
        <v>32</v>
      </c>
    </row>
    <row r="296" ht="12.75" customHeight="1">
      <c r="A296" s="4">
        <f t="shared" si="2"/>
        <v>295</v>
      </c>
      <c r="B296" s="4" t="s">
        <v>720</v>
      </c>
      <c r="C296" s="5" t="s">
        <v>721</v>
      </c>
      <c r="D296" s="4"/>
      <c r="E296" s="4"/>
      <c r="F296" s="4" t="s">
        <v>22</v>
      </c>
      <c r="G296" s="21">
        <v>11.59</v>
      </c>
      <c r="H296" s="7" t="s">
        <v>708</v>
      </c>
      <c r="I296" s="7" t="s">
        <v>709</v>
      </c>
      <c r="J296" s="7" t="s">
        <v>165</v>
      </c>
      <c r="K296" s="8"/>
      <c r="L296" s="8" t="s">
        <v>33</v>
      </c>
      <c r="M296" s="9">
        <f t="shared" si="1"/>
        <v>28</v>
      </c>
    </row>
    <row r="297" ht="12.75" customHeight="1">
      <c r="A297" s="4">
        <f t="shared" si="2"/>
        <v>296</v>
      </c>
      <c r="B297" s="4" t="s">
        <v>722</v>
      </c>
      <c r="C297" s="5" t="s">
        <v>723</v>
      </c>
      <c r="D297" s="4"/>
      <c r="E297" s="4"/>
      <c r="F297" s="4" t="s">
        <v>22</v>
      </c>
      <c r="G297" s="21">
        <v>7.0</v>
      </c>
      <c r="H297" s="7" t="s">
        <v>708</v>
      </c>
      <c r="I297" s="7" t="s">
        <v>709</v>
      </c>
      <c r="J297" s="7" t="s">
        <v>719</v>
      </c>
      <c r="K297" s="8"/>
      <c r="L297" s="8" t="s">
        <v>33</v>
      </c>
      <c r="M297" s="9">
        <f t="shared" si="1"/>
        <v>58</v>
      </c>
    </row>
    <row r="298" ht="12.75" customHeight="1">
      <c r="A298" s="4">
        <f t="shared" si="2"/>
        <v>297</v>
      </c>
      <c r="B298" s="4" t="s">
        <v>724</v>
      </c>
      <c r="C298" s="5" t="s">
        <v>725</v>
      </c>
      <c r="D298" s="4"/>
      <c r="E298" s="4"/>
      <c r="F298" s="4" t="s">
        <v>22</v>
      </c>
      <c r="G298" s="21">
        <v>10.54</v>
      </c>
      <c r="H298" s="7" t="s">
        <v>708</v>
      </c>
      <c r="I298" s="7" t="s">
        <v>709</v>
      </c>
      <c r="J298" s="7" t="s">
        <v>719</v>
      </c>
      <c r="K298" s="8"/>
      <c r="L298" s="8" t="s">
        <v>33</v>
      </c>
      <c r="M298" s="9">
        <f t="shared" si="1"/>
        <v>28</v>
      </c>
    </row>
    <row r="299" ht="12.75" customHeight="1">
      <c r="A299" s="4">
        <f t="shared" si="2"/>
        <v>298</v>
      </c>
      <c r="B299" s="4" t="s">
        <v>726</v>
      </c>
      <c r="C299" s="5" t="s">
        <v>727</v>
      </c>
      <c r="D299" s="4"/>
      <c r="E299" s="4"/>
      <c r="F299" s="4" t="s">
        <v>22</v>
      </c>
      <c r="G299" s="21">
        <v>13.24</v>
      </c>
      <c r="H299" s="7" t="s">
        <v>708</v>
      </c>
      <c r="I299" s="7" t="s">
        <v>709</v>
      </c>
      <c r="J299" s="7" t="s">
        <v>719</v>
      </c>
      <c r="K299" s="8"/>
      <c r="L299" s="8" t="s">
        <v>33</v>
      </c>
      <c r="M299" s="9">
        <f t="shared" si="1"/>
        <v>35</v>
      </c>
    </row>
    <row r="300" ht="12.75" customHeight="1">
      <c r="A300" s="4">
        <f t="shared" si="2"/>
        <v>299</v>
      </c>
      <c r="B300" s="4" t="s">
        <v>728</v>
      </c>
      <c r="C300" s="5" t="s">
        <v>729</v>
      </c>
      <c r="D300" s="4"/>
      <c r="E300" s="4"/>
      <c r="F300" s="4" t="s">
        <v>22</v>
      </c>
      <c r="G300" s="21">
        <v>13.24</v>
      </c>
      <c r="H300" s="7" t="s">
        <v>708</v>
      </c>
      <c r="I300" s="7" t="s">
        <v>709</v>
      </c>
      <c r="J300" s="7" t="s">
        <v>719</v>
      </c>
      <c r="K300" s="8"/>
      <c r="L300" s="8" t="s">
        <v>33</v>
      </c>
      <c r="M300" s="9">
        <f t="shared" si="1"/>
        <v>38</v>
      </c>
    </row>
    <row r="301" ht="12.75" customHeight="1">
      <c r="A301" s="4">
        <f t="shared" si="2"/>
        <v>300</v>
      </c>
      <c r="B301" s="4" t="s">
        <v>730</v>
      </c>
      <c r="C301" s="5" t="s">
        <v>731</v>
      </c>
      <c r="D301" s="4"/>
      <c r="E301" s="4"/>
      <c r="F301" s="4" t="s">
        <v>22</v>
      </c>
      <c r="G301" s="21">
        <v>5.81</v>
      </c>
      <c r="H301" s="7" t="s">
        <v>708</v>
      </c>
      <c r="I301" s="7" t="s">
        <v>709</v>
      </c>
      <c r="J301" s="7" t="s">
        <v>719</v>
      </c>
      <c r="K301" s="8"/>
      <c r="L301" s="8" t="s">
        <v>33</v>
      </c>
      <c r="M301" s="9">
        <f t="shared" si="1"/>
        <v>35</v>
      </c>
    </row>
    <row r="302" ht="12.75" customHeight="1">
      <c r="A302" s="4">
        <f t="shared" si="2"/>
        <v>301</v>
      </c>
      <c r="B302" s="4" t="s">
        <v>732</v>
      </c>
      <c r="C302" s="5" t="s">
        <v>733</v>
      </c>
      <c r="D302" s="4"/>
      <c r="E302" s="4"/>
      <c r="F302" s="4" t="s">
        <v>22</v>
      </c>
      <c r="G302" s="21">
        <v>7.97</v>
      </c>
      <c r="H302" s="7" t="s">
        <v>708</v>
      </c>
      <c r="I302" s="7" t="s">
        <v>709</v>
      </c>
      <c r="J302" s="7" t="s">
        <v>719</v>
      </c>
      <c r="K302" s="8"/>
      <c r="L302" s="8" t="s">
        <v>33</v>
      </c>
      <c r="M302" s="9">
        <f t="shared" si="1"/>
        <v>32</v>
      </c>
    </row>
    <row r="303" ht="12.75" customHeight="1">
      <c r="A303" s="4">
        <f t="shared" si="2"/>
        <v>302</v>
      </c>
      <c r="B303" s="4" t="s">
        <v>734</v>
      </c>
      <c r="C303" s="5" t="s">
        <v>735</v>
      </c>
      <c r="D303" s="4"/>
      <c r="E303" s="4"/>
      <c r="F303" s="4" t="s">
        <v>22</v>
      </c>
      <c r="G303" s="21">
        <v>7.81</v>
      </c>
      <c r="H303" s="7" t="s">
        <v>708</v>
      </c>
      <c r="I303" s="7" t="s">
        <v>709</v>
      </c>
      <c r="J303" s="7" t="s">
        <v>736</v>
      </c>
      <c r="K303" s="8"/>
      <c r="L303" s="8" t="s">
        <v>33</v>
      </c>
      <c r="M303" s="9">
        <f t="shared" si="1"/>
        <v>48</v>
      </c>
    </row>
    <row r="304" ht="12.75" customHeight="1">
      <c r="A304" s="4">
        <f t="shared" si="2"/>
        <v>303</v>
      </c>
      <c r="B304" s="4" t="s">
        <v>737</v>
      </c>
      <c r="C304" s="5" t="s">
        <v>738</v>
      </c>
      <c r="D304" s="4"/>
      <c r="E304" s="4"/>
      <c r="F304" s="4" t="s">
        <v>22</v>
      </c>
      <c r="G304" s="21">
        <v>89.95</v>
      </c>
      <c r="H304" s="7" t="s">
        <v>708</v>
      </c>
      <c r="I304" s="7" t="s">
        <v>709</v>
      </c>
      <c r="J304" s="7" t="s">
        <v>736</v>
      </c>
      <c r="K304" s="8"/>
      <c r="L304" s="8" t="s">
        <v>739</v>
      </c>
      <c r="M304" s="9">
        <f t="shared" si="1"/>
        <v>17</v>
      </c>
    </row>
    <row r="305" ht="12.75" customHeight="1">
      <c r="A305" s="4">
        <f t="shared" si="2"/>
        <v>304</v>
      </c>
      <c r="B305" s="4" t="s">
        <v>740</v>
      </c>
      <c r="C305" s="5" t="s">
        <v>741</v>
      </c>
      <c r="D305" s="4"/>
      <c r="E305" s="4"/>
      <c r="F305" s="4" t="s">
        <v>22</v>
      </c>
      <c r="G305" s="21">
        <v>4.86</v>
      </c>
      <c r="H305" s="7" t="s">
        <v>708</v>
      </c>
      <c r="I305" s="7" t="s">
        <v>709</v>
      </c>
      <c r="J305" s="7" t="s">
        <v>742</v>
      </c>
      <c r="K305" s="8"/>
      <c r="L305" s="8" t="s">
        <v>33</v>
      </c>
      <c r="M305" s="9">
        <f t="shared" si="1"/>
        <v>26</v>
      </c>
    </row>
    <row r="306" ht="12.75" customHeight="1">
      <c r="A306" s="4">
        <f t="shared" si="2"/>
        <v>305</v>
      </c>
      <c r="B306" s="4" t="s">
        <v>743</v>
      </c>
      <c r="C306" s="5" t="s">
        <v>744</v>
      </c>
      <c r="D306" s="4"/>
      <c r="E306" s="4"/>
      <c r="F306" s="4" t="s">
        <v>22</v>
      </c>
      <c r="G306" s="21">
        <v>14.02</v>
      </c>
      <c r="H306" s="7" t="s">
        <v>708</v>
      </c>
      <c r="I306" s="7" t="s">
        <v>709</v>
      </c>
      <c r="J306" s="7" t="s">
        <v>742</v>
      </c>
      <c r="K306" s="8"/>
      <c r="L306" s="8" t="s">
        <v>33</v>
      </c>
      <c r="M306" s="9">
        <f t="shared" si="1"/>
        <v>33</v>
      </c>
    </row>
    <row r="307" ht="12.75" customHeight="1">
      <c r="A307" s="4">
        <f t="shared" si="2"/>
        <v>306</v>
      </c>
      <c r="B307" s="4" t="s">
        <v>745</v>
      </c>
      <c r="C307" s="5" t="s">
        <v>746</v>
      </c>
      <c r="D307" s="4"/>
      <c r="E307" s="4"/>
      <c r="F307" s="4" t="s">
        <v>22</v>
      </c>
      <c r="G307" s="21">
        <v>6.35</v>
      </c>
      <c r="H307" s="7" t="s">
        <v>708</v>
      </c>
      <c r="I307" s="7" t="s">
        <v>709</v>
      </c>
      <c r="J307" s="7" t="s">
        <v>742</v>
      </c>
      <c r="K307" s="8"/>
      <c r="L307" s="8" t="s">
        <v>507</v>
      </c>
      <c r="M307" s="9">
        <f t="shared" si="1"/>
        <v>40</v>
      </c>
    </row>
    <row r="308" ht="12.75" customHeight="1">
      <c r="A308" s="4">
        <f t="shared" si="2"/>
        <v>307</v>
      </c>
      <c r="B308" s="4" t="s">
        <v>747</v>
      </c>
      <c r="C308" s="5" t="s">
        <v>748</v>
      </c>
      <c r="D308" s="4"/>
      <c r="E308" s="4"/>
      <c r="F308" s="4" t="s">
        <v>22</v>
      </c>
      <c r="G308" s="21">
        <v>1.89</v>
      </c>
      <c r="H308" s="7" t="s">
        <v>708</v>
      </c>
      <c r="I308" s="7" t="s">
        <v>709</v>
      </c>
      <c r="J308" s="7" t="s">
        <v>736</v>
      </c>
      <c r="K308" s="8"/>
      <c r="L308" s="8" t="s">
        <v>33</v>
      </c>
      <c r="M308" s="9">
        <f t="shared" si="1"/>
        <v>46</v>
      </c>
    </row>
    <row r="309" ht="12.75" customHeight="1">
      <c r="A309" s="4">
        <f t="shared" si="2"/>
        <v>308</v>
      </c>
      <c r="B309" s="4" t="s">
        <v>749</v>
      </c>
      <c r="C309" s="5" t="s">
        <v>750</v>
      </c>
      <c r="D309" s="4"/>
      <c r="E309" s="4"/>
      <c r="F309" s="4" t="s">
        <v>22</v>
      </c>
      <c r="G309" s="21">
        <v>41.08</v>
      </c>
      <c r="H309" s="7" t="s">
        <v>708</v>
      </c>
      <c r="I309" s="7" t="s">
        <v>709</v>
      </c>
      <c r="J309" s="7" t="s">
        <v>742</v>
      </c>
      <c r="K309" s="8"/>
      <c r="L309" s="8" t="s">
        <v>33</v>
      </c>
      <c r="M309" s="9">
        <f t="shared" si="1"/>
        <v>53</v>
      </c>
    </row>
    <row r="310" ht="12.75" customHeight="1">
      <c r="A310" s="4">
        <f t="shared" si="2"/>
        <v>309</v>
      </c>
      <c r="B310" s="4" t="s">
        <v>751</v>
      </c>
      <c r="C310" s="5" t="s">
        <v>752</v>
      </c>
      <c r="D310" s="4"/>
      <c r="E310" s="4"/>
      <c r="F310" s="4" t="s">
        <v>22</v>
      </c>
      <c r="G310" s="21">
        <v>20.78</v>
      </c>
      <c r="H310" s="7" t="s">
        <v>708</v>
      </c>
      <c r="I310" s="7" t="s">
        <v>709</v>
      </c>
      <c r="J310" s="7" t="s">
        <v>742</v>
      </c>
      <c r="K310" s="8"/>
      <c r="L310" s="8" t="s">
        <v>33</v>
      </c>
      <c r="M310" s="9">
        <f t="shared" si="1"/>
        <v>55</v>
      </c>
    </row>
    <row r="311" ht="12.75" customHeight="1">
      <c r="A311" s="4">
        <f t="shared" si="2"/>
        <v>310</v>
      </c>
      <c r="B311" s="4" t="s">
        <v>753</v>
      </c>
      <c r="C311" s="5" t="s">
        <v>754</v>
      </c>
      <c r="D311" s="4"/>
      <c r="E311" s="4"/>
      <c r="F311" s="4" t="s">
        <v>22</v>
      </c>
      <c r="G311" s="21">
        <v>236.0</v>
      </c>
      <c r="H311" s="7" t="s">
        <v>708</v>
      </c>
      <c r="I311" s="7" t="s">
        <v>17</v>
      </c>
      <c r="J311" s="7" t="s">
        <v>165</v>
      </c>
      <c r="K311" s="8"/>
      <c r="L311" s="8" t="s">
        <v>33</v>
      </c>
      <c r="M311" s="9">
        <f t="shared" si="1"/>
        <v>62</v>
      </c>
    </row>
    <row r="312" ht="12.75" customHeight="1">
      <c r="A312" s="4">
        <f t="shared" si="2"/>
        <v>311</v>
      </c>
      <c r="B312" s="4" t="s">
        <v>755</v>
      </c>
      <c r="C312" s="5" t="s">
        <v>756</v>
      </c>
      <c r="D312" s="4"/>
      <c r="E312" s="4"/>
      <c r="F312" s="4" t="s">
        <v>22</v>
      </c>
      <c r="G312" s="21">
        <v>32.41</v>
      </c>
      <c r="H312" s="7" t="s">
        <v>708</v>
      </c>
      <c r="I312" s="7" t="s">
        <v>709</v>
      </c>
      <c r="J312" s="7" t="s">
        <v>742</v>
      </c>
      <c r="K312" s="8"/>
      <c r="L312" s="8" t="s">
        <v>33</v>
      </c>
      <c r="M312" s="9">
        <f t="shared" si="1"/>
        <v>15</v>
      </c>
    </row>
    <row r="313" ht="12.75" customHeight="1">
      <c r="A313" s="4">
        <f t="shared" si="2"/>
        <v>312</v>
      </c>
      <c r="B313" s="4" t="s">
        <v>757</v>
      </c>
      <c r="C313" s="5" t="s">
        <v>758</v>
      </c>
      <c r="D313" s="4"/>
      <c r="E313" s="4"/>
      <c r="F313" s="4" t="s">
        <v>22</v>
      </c>
      <c r="G313" s="21">
        <v>3.22</v>
      </c>
      <c r="H313" s="7" t="s">
        <v>708</v>
      </c>
      <c r="I313" s="7" t="s">
        <v>709</v>
      </c>
      <c r="J313" s="7" t="s">
        <v>736</v>
      </c>
      <c r="K313" s="8"/>
      <c r="L313" s="8" t="s">
        <v>33</v>
      </c>
      <c r="M313" s="9">
        <f t="shared" si="1"/>
        <v>14</v>
      </c>
    </row>
    <row r="314" ht="12.75" customHeight="1">
      <c r="A314" s="4">
        <f t="shared" si="2"/>
        <v>313</v>
      </c>
      <c r="B314" s="4" t="s">
        <v>759</v>
      </c>
      <c r="C314" s="5" t="s">
        <v>760</v>
      </c>
      <c r="D314" s="4"/>
      <c r="E314" s="4"/>
      <c r="F314" s="4" t="s">
        <v>22</v>
      </c>
      <c r="G314" s="21">
        <v>3.22</v>
      </c>
      <c r="H314" s="7" t="s">
        <v>708</v>
      </c>
      <c r="I314" s="7" t="s">
        <v>709</v>
      </c>
      <c r="J314" s="7" t="s">
        <v>736</v>
      </c>
      <c r="K314" s="8"/>
      <c r="L314" s="8" t="s">
        <v>33</v>
      </c>
      <c r="M314" s="9">
        <f t="shared" si="1"/>
        <v>15</v>
      </c>
    </row>
    <row r="315" ht="12.75" customHeight="1">
      <c r="A315" s="4">
        <f t="shared" si="2"/>
        <v>314</v>
      </c>
      <c r="B315" s="4" t="s">
        <v>761</v>
      </c>
      <c r="C315" s="5" t="s">
        <v>762</v>
      </c>
      <c r="D315" s="4"/>
      <c r="E315" s="4"/>
      <c r="F315" s="4" t="s">
        <v>22</v>
      </c>
      <c r="G315" s="21">
        <v>62.14</v>
      </c>
      <c r="H315" s="7" t="s">
        <v>708</v>
      </c>
      <c r="I315" s="7" t="s">
        <v>709</v>
      </c>
      <c r="J315" s="7" t="s">
        <v>763</v>
      </c>
      <c r="K315" s="8"/>
      <c r="L315" s="8" t="s">
        <v>507</v>
      </c>
      <c r="M315" s="9">
        <f t="shared" si="1"/>
        <v>39</v>
      </c>
    </row>
    <row r="316" ht="12.75" customHeight="1">
      <c r="A316" s="4">
        <f t="shared" si="2"/>
        <v>315</v>
      </c>
      <c r="B316" s="4" t="s">
        <v>764</v>
      </c>
      <c r="C316" s="5" t="s">
        <v>765</v>
      </c>
      <c r="D316" s="4"/>
      <c r="E316" s="4"/>
      <c r="F316" s="4" t="s">
        <v>22</v>
      </c>
      <c r="G316" s="21">
        <v>270.27</v>
      </c>
      <c r="H316" s="7" t="s">
        <v>708</v>
      </c>
      <c r="I316" s="7" t="s">
        <v>17</v>
      </c>
      <c r="J316" s="7" t="s">
        <v>763</v>
      </c>
      <c r="K316" s="8"/>
      <c r="L316" s="8" t="s">
        <v>33</v>
      </c>
      <c r="M316" s="9">
        <f t="shared" si="1"/>
        <v>39</v>
      </c>
    </row>
    <row r="317" ht="12.75" customHeight="1">
      <c r="A317" s="4">
        <f t="shared" si="2"/>
        <v>316</v>
      </c>
      <c r="B317" s="4" t="s">
        <v>766</v>
      </c>
      <c r="C317" s="5" t="s">
        <v>767</v>
      </c>
      <c r="D317" s="4"/>
      <c r="E317" s="4"/>
      <c r="F317" s="4" t="s">
        <v>22</v>
      </c>
      <c r="G317" s="21">
        <v>13.88</v>
      </c>
      <c r="H317" s="7" t="s">
        <v>708</v>
      </c>
      <c r="I317" s="7" t="s">
        <v>709</v>
      </c>
      <c r="J317" s="7" t="s">
        <v>736</v>
      </c>
      <c r="K317" s="8"/>
      <c r="L317" s="8" t="s">
        <v>33</v>
      </c>
      <c r="M317" s="9">
        <f t="shared" si="1"/>
        <v>26</v>
      </c>
    </row>
    <row r="318" ht="12.75" customHeight="1">
      <c r="A318" s="4">
        <f t="shared" si="2"/>
        <v>317</v>
      </c>
      <c r="B318" s="4" t="s">
        <v>768</v>
      </c>
      <c r="C318" s="5" t="s">
        <v>769</v>
      </c>
      <c r="D318" s="4"/>
      <c r="E318" s="4"/>
      <c r="F318" s="4" t="s">
        <v>22</v>
      </c>
      <c r="G318" s="21">
        <v>66.22</v>
      </c>
      <c r="H318" s="7" t="s">
        <v>708</v>
      </c>
      <c r="I318" s="7" t="s">
        <v>709</v>
      </c>
      <c r="J318" s="7" t="s">
        <v>742</v>
      </c>
      <c r="K318" s="8"/>
      <c r="L318" s="8" t="s">
        <v>33</v>
      </c>
      <c r="M318" s="9">
        <f t="shared" si="1"/>
        <v>52</v>
      </c>
    </row>
    <row r="319" ht="12.75" customHeight="1">
      <c r="A319" s="4">
        <f t="shared" si="2"/>
        <v>318</v>
      </c>
      <c r="B319" s="4" t="s">
        <v>770</v>
      </c>
      <c r="C319" s="5" t="s">
        <v>771</v>
      </c>
      <c r="D319" s="4"/>
      <c r="E319" s="4"/>
      <c r="F319" s="4" t="s">
        <v>22</v>
      </c>
      <c r="G319" s="21">
        <v>39.19</v>
      </c>
      <c r="H319" s="7" t="s">
        <v>708</v>
      </c>
      <c r="I319" s="7" t="s">
        <v>17</v>
      </c>
      <c r="J319" s="7" t="s">
        <v>165</v>
      </c>
      <c r="K319" s="8"/>
      <c r="L319" s="8" t="s">
        <v>33</v>
      </c>
      <c r="M319" s="9">
        <f t="shared" si="1"/>
        <v>51</v>
      </c>
    </row>
    <row r="320" ht="12.75" customHeight="1">
      <c r="A320" s="4">
        <f t="shared" si="2"/>
        <v>319</v>
      </c>
      <c r="B320" s="4" t="s">
        <v>772</v>
      </c>
      <c r="C320" s="5" t="s">
        <v>773</v>
      </c>
      <c r="D320" s="4"/>
      <c r="E320" s="4"/>
      <c r="F320" s="4" t="s">
        <v>22</v>
      </c>
      <c r="G320" s="21">
        <v>13.51</v>
      </c>
      <c r="H320" s="7" t="s">
        <v>708</v>
      </c>
      <c r="I320" s="7" t="s">
        <v>709</v>
      </c>
      <c r="J320" s="7" t="s">
        <v>742</v>
      </c>
      <c r="K320" s="8"/>
      <c r="L320" s="8" t="s">
        <v>577</v>
      </c>
      <c r="M320" s="9">
        <f t="shared" si="1"/>
        <v>66</v>
      </c>
    </row>
    <row r="321" ht="12.75" customHeight="1">
      <c r="A321" s="4">
        <f t="shared" si="2"/>
        <v>320</v>
      </c>
      <c r="B321" s="4" t="s">
        <v>774</v>
      </c>
      <c r="C321" s="5" t="s">
        <v>775</v>
      </c>
      <c r="D321" s="4"/>
      <c r="E321" s="4"/>
      <c r="F321" s="4" t="s">
        <v>22</v>
      </c>
      <c r="G321" s="21">
        <v>3.51</v>
      </c>
      <c r="H321" s="7" t="s">
        <v>708</v>
      </c>
      <c r="I321" s="7" t="s">
        <v>709</v>
      </c>
      <c r="J321" s="7" t="s">
        <v>742</v>
      </c>
      <c r="K321" s="8"/>
      <c r="L321" s="8" t="s">
        <v>33</v>
      </c>
      <c r="M321" s="9">
        <f t="shared" si="1"/>
        <v>55</v>
      </c>
    </row>
    <row r="322" ht="12.75" customHeight="1">
      <c r="A322" s="4">
        <f t="shared" si="2"/>
        <v>321</v>
      </c>
      <c r="B322" s="4" t="s">
        <v>776</v>
      </c>
      <c r="C322" s="5" t="s">
        <v>777</v>
      </c>
      <c r="D322" s="4"/>
      <c r="E322" s="4"/>
      <c r="F322" s="4" t="s">
        <v>22</v>
      </c>
      <c r="G322" s="21">
        <v>3.51</v>
      </c>
      <c r="H322" s="7" t="s">
        <v>708</v>
      </c>
      <c r="I322" s="7" t="s">
        <v>709</v>
      </c>
      <c r="J322" s="7" t="s">
        <v>742</v>
      </c>
      <c r="K322" s="8"/>
      <c r="L322" s="8" t="s">
        <v>33</v>
      </c>
      <c r="M322" s="9">
        <f t="shared" si="1"/>
        <v>55</v>
      </c>
    </row>
    <row r="323" ht="12.75" customHeight="1">
      <c r="A323" s="4">
        <f t="shared" si="2"/>
        <v>322</v>
      </c>
      <c r="B323" s="4" t="s">
        <v>778</v>
      </c>
      <c r="C323" s="5" t="s">
        <v>779</v>
      </c>
      <c r="D323" s="4"/>
      <c r="E323" s="4"/>
      <c r="F323" s="4" t="s">
        <v>22</v>
      </c>
      <c r="G323" s="21">
        <v>21.59</v>
      </c>
      <c r="H323" s="7" t="s">
        <v>708</v>
      </c>
      <c r="I323" s="7" t="s">
        <v>709</v>
      </c>
      <c r="J323" s="7" t="s">
        <v>710</v>
      </c>
      <c r="K323" s="8"/>
      <c r="L323" s="8" t="s">
        <v>33</v>
      </c>
      <c r="M323" s="9">
        <f t="shared" si="1"/>
        <v>14</v>
      </c>
    </row>
    <row r="324" ht="12.75" customHeight="1">
      <c r="A324" s="4">
        <f t="shared" si="2"/>
        <v>323</v>
      </c>
      <c r="B324" s="4" t="s">
        <v>780</v>
      </c>
      <c r="C324" s="5" t="s">
        <v>781</v>
      </c>
      <c r="D324" s="4"/>
      <c r="E324" s="4"/>
      <c r="F324" s="4" t="s">
        <v>22</v>
      </c>
      <c r="G324" s="21">
        <v>24.03</v>
      </c>
      <c r="H324" s="7" t="s">
        <v>708</v>
      </c>
      <c r="I324" s="7" t="s">
        <v>709</v>
      </c>
      <c r="J324" s="7" t="s">
        <v>710</v>
      </c>
      <c r="K324" s="8"/>
      <c r="L324" s="8" t="s">
        <v>33</v>
      </c>
      <c r="M324" s="9">
        <f t="shared" si="1"/>
        <v>14</v>
      </c>
    </row>
    <row r="325" ht="12.75" customHeight="1">
      <c r="A325" s="4">
        <f t="shared" si="2"/>
        <v>324</v>
      </c>
      <c r="B325" s="4" t="s">
        <v>782</v>
      </c>
      <c r="C325" s="5" t="s">
        <v>783</v>
      </c>
      <c r="D325" s="4"/>
      <c r="E325" s="4"/>
      <c r="F325" s="4" t="s">
        <v>22</v>
      </c>
      <c r="G325" s="21">
        <v>59.46</v>
      </c>
      <c r="H325" s="7" t="s">
        <v>708</v>
      </c>
      <c r="I325" s="7" t="s">
        <v>709</v>
      </c>
      <c r="J325" s="7" t="s">
        <v>710</v>
      </c>
      <c r="K325" s="8"/>
      <c r="L325" s="8" t="s">
        <v>33</v>
      </c>
      <c r="M325" s="9">
        <f t="shared" si="1"/>
        <v>14</v>
      </c>
    </row>
    <row r="326" ht="12.75" customHeight="1">
      <c r="A326" s="4">
        <f t="shared" si="2"/>
        <v>325</v>
      </c>
      <c r="B326" s="4" t="s">
        <v>784</v>
      </c>
      <c r="C326" s="5" t="s">
        <v>785</v>
      </c>
      <c r="D326" s="4"/>
      <c r="E326" s="4"/>
      <c r="F326" s="4" t="s">
        <v>22</v>
      </c>
      <c r="G326" s="21">
        <v>6.22</v>
      </c>
      <c r="H326" s="7" t="s">
        <v>708</v>
      </c>
      <c r="I326" s="7" t="s">
        <v>709</v>
      </c>
      <c r="J326" s="7" t="s">
        <v>742</v>
      </c>
      <c r="K326" s="8"/>
      <c r="L326" s="8" t="s">
        <v>33</v>
      </c>
      <c r="M326" s="9">
        <f t="shared" si="1"/>
        <v>32</v>
      </c>
    </row>
    <row r="327" ht="12.75" customHeight="1">
      <c r="A327" s="4">
        <f t="shared" si="2"/>
        <v>326</v>
      </c>
      <c r="B327" s="4" t="s">
        <v>786</v>
      </c>
      <c r="C327" s="5" t="s">
        <v>787</v>
      </c>
      <c r="D327" s="4"/>
      <c r="E327" s="4"/>
      <c r="F327" s="4" t="s">
        <v>22</v>
      </c>
      <c r="G327" s="21">
        <v>28.62</v>
      </c>
      <c r="H327" s="7" t="s">
        <v>708</v>
      </c>
      <c r="I327" s="7" t="s">
        <v>709</v>
      </c>
      <c r="J327" s="7" t="s">
        <v>742</v>
      </c>
      <c r="K327" s="8"/>
      <c r="L327" s="8" t="s">
        <v>33</v>
      </c>
      <c r="M327" s="9">
        <f t="shared" si="1"/>
        <v>60</v>
      </c>
    </row>
    <row r="328" ht="12.75" customHeight="1">
      <c r="A328" s="4">
        <f t="shared" si="2"/>
        <v>327</v>
      </c>
      <c r="B328" s="4" t="s">
        <v>788</v>
      </c>
      <c r="C328" s="5" t="s">
        <v>789</v>
      </c>
      <c r="D328" s="4"/>
      <c r="E328" s="4"/>
      <c r="F328" s="4" t="s">
        <v>22</v>
      </c>
      <c r="G328" s="21">
        <v>28.08</v>
      </c>
      <c r="H328" s="7" t="s">
        <v>708</v>
      </c>
      <c r="I328" s="7" t="s">
        <v>709</v>
      </c>
      <c r="J328" s="7" t="s">
        <v>742</v>
      </c>
      <c r="K328" s="8"/>
      <c r="L328" s="8" t="s">
        <v>33</v>
      </c>
      <c r="M328" s="9">
        <f t="shared" si="1"/>
        <v>51</v>
      </c>
    </row>
    <row r="329" ht="12.75" customHeight="1">
      <c r="A329" s="4">
        <f t="shared" si="2"/>
        <v>328</v>
      </c>
      <c r="B329" s="4" t="s">
        <v>790</v>
      </c>
      <c r="C329" s="5" t="s">
        <v>791</v>
      </c>
      <c r="D329" s="4"/>
      <c r="E329" s="4"/>
      <c r="F329" s="4" t="s">
        <v>22</v>
      </c>
      <c r="G329" s="21">
        <v>42.7</v>
      </c>
      <c r="H329" s="7" t="s">
        <v>708</v>
      </c>
      <c r="I329" s="7" t="s">
        <v>709</v>
      </c>
      <c r="J329" s="7" t="s">
        <v>742</v>
      </c>
      <c r="K329" s="8"/>
      <c r="L329" s="8" t="s">
        <v>33</v>
      </c>
      <c r="M329" s="9">
        <f t="shared" si="1"/>
        <v>60</v>
      </c>
    </row>
    <row r="330" ht="12.75" customHeight="1">
      <c r="A330" s="4">
        <f t="shared" si="2"/>
        <v>329</v>
      </c>
      <c r="B330" s="4" t="s">
        <v>792</v>
      </c>
      <c r="C330" s="5" t="s">
        <v>793</v>
      </c>
      <c r="D330" s="4"/>
      <c r="E330" s="4"/>
      <c r="F330" s="4" t="s">
        <v>22</v>
      </c>
      <c r="G330" s="21">
        <v>37.81</v>
      </c>
      <c r="H330" s="7" t="s">
        <v>708</v>
      </c>
      <c r="I330" s="7" t="s">
        <v>709</v>
      </c>
      <c r="J330" s="7" t="s">
        <v>742</v>
      </c>
      <c r="K330" s="8"/>
      <c r="L330" s="8" t="s">
        <v>33</v>
      </c>
      <c r="M330" s="9">
        <f t="shared" si="1"/>
        <v>51</v>
      </c>
    </row>
    <row r="331" ht="12.75" customHeight="1">
      <c r="A331" s="4">
        <f t="shared" si="2"/>
        <v>330</v>
      </c>
      <c r="B331" s="4" t="s">
        <v>794</v>
      </c>
      <c r="C331" s="5" t="s">
        <v>795</v>
      </c>
      <c r="D331" s="4"/>
      <c r="E331" s="4"/>
      <c r="F331" s="4" t="s">
        <v>22</v>
      </c>
      <c r="G331" s="21">
        <v>8.08</v>
      </c>
      <c r="H331" s="7" t="s">
        <v>708</v>
      </c>
      <c r="I331" s="7" t="s">
        <v>709</v>
      </c>
      <c r="J331" s="7" t="s">
        <v>742</v>
      </c>
      <c r="K331" s="8"/>
      <c r="L331" s="8" t="s">
        <v>33</v>
      </c>
      <c r="M331" s="9">
        <f t="shared" si="1"/>
        <v>50</v>
      </c>
    </row>
    <row r="332" ht="12.75" customHeight="1">
      <c r="A332" s="4">
        <f t="shared" si="2"/>
        <v>331</v>
      </c>
      <c r="B332" s="4" t="s">
        <v>796</v>
      </c>
      <c r="C332" s="5" t="s">
        <v>797</v>
      </c>
      <c r="D332" s="4"/>
      <c r="E332" s="4"/>
      <c r="F332" s="4" t="s">
        <v>22</v>
      </c>
      <c r="G332" s="21">
        <v>57.0</v>
      </c>
      <c r="H332" s="7" t="s">
        <v>708</v>
      </c>
      <c r="I332" s="7" t="s">
        <v>709</v>
      </c>
      <c r="J332" s="7" t="s">
        <v>742</v>
      </c>
      <c r="K332" s="8"/>
      <c r="L332" s="8" t="s">
        <v>33</v>
      </c>
      <c r="M332" s="9">
        <f t="shared" si="1"/>
        <v>51</v>
      </c>
    </row>
    <row r="333" ht="12.75" customHeight="1">
      <c r="A333" s="4">
        <f t="shared" si="2"/>
        <v>332</v>
      </c>
      <c r="B333" s="4" t="s">
        <v>798</v>
      </c>
      <c r="C333" s="5" t="s">
        <v>799</v>
      </c>
      <c r="D333" s="4"/>
      <c r="E333" s="4"/>
      <c r="F333" s="4" t="s">
        <v>22</v>
      </c>
      <c r="G333" s="21">
        <v>9.97</v>
      </c>
      <c r="H333" s="7" t="s">
        <v>708</v>
      </c>
      <c r="I333" s="7" t="s">
        <v>709</v>
      </c>
      <c r="J333" s="7" t="s">
        <v>742</v>
      </c>
      <c r="K333" s="8"/>
      <c r="L333" s="8" t="s">
        <v>33</v>
      </c>
      <c r="M333" s="9">
        <f t="shared" si="1"/>
        <v>59</v>
      </c>
    </row>
    <row r="334" ht="12.75" customHeight="1">
      <c r="A334" s="4">
        <f t="shared" si="2"/>
        <v>333</v>
      </c>
      <c r="B334" s="4" t="s">
        <v>800</v>
      </c>
      <c r="C334" s="5" t="s">
        <v>801</v>
      </c>
      <c r="D334" s="4"/>
      <c r="E334" s="4"/>
      <c r="F334" s="4" t="s">
        <v>22</v>
      </c>
      <c r="G334" s="21">
        <v>9.7</v>
      </c>
      <c r="H334" s="7" t="s">
        <v>708</v>
      </c>
      <c r="I334" s="7" t="s">
        <v>709</v>
      </c>
      <c r="J334" s="7" t="s">
        <v>742</v>
      </c>
      <c r="K334" s="8"/>
      <c r="L334" s="8" t="s">
        <v>33</v>
      </c>
      <c r="M334" s="9">
        <f t="shared" si="1"/>
        <v>50</v>
      </c>
    </row>
    <row r="335" ht="12.75" customHeight="1">
      <c r="A335" s="4">
        <f t="shared" si="2"/>
        <v>334</v>
      </c>
      <c r="B335" s="4" t="s">
        <v>802</v>
      </c>
      <c r="C335" s="5" t="s">
        <v>803</v>
      </c>
      <c r="D335" s="4"/>
      <c r="E335" s="4"/>
      <c r="F335" s="4" t="s">
        <v>22</v>
      </c>
      <c r="G335" s="21">
        <v>12.14</v>
      </c>
      <c r="H335" s="7" t="s">
        <v>708</v>
      </c>
      <c r="I335" s="7" t="s">
        <v>709</v>
      </c>
      <c r="J335" s="7" t="s">
        <v>742</v>
      </c>
      <c r="K335" s="8"/>
      <c r="L335" s="8" t="s">
        <v>33</v>
      </c>
      <c r="M335" s="9">
        <f t="shared" si="1"/>
        <v>59</v>
      </c>
    </row>
    <row r="336" ht="12.75" customHeight="1">
      <c r="A336" s="4">
        <f t="shared" si="2"/>
        <v>335</v>
      </c>
      <c r="B336" s="4" t="s">
        <v>804</v>
      </c>
      <c r="C336" s="5" t="s">
        <v>805</v>
      </c>
      <c r="D336" s="4"/>
      <c r="E336" s="4"/>
      <c r="F336" s="4" t="s">
        <v>22</v>
      </c>
      <c r="G336" s="21">
        <v>11.86</v>
      </c>
      <c r="H336" s="7" t="s">
        <v>708</v>
      </c>
      <c r="I336" s="7" t="s">
        <v>709</v>
      </c>
      <c r="J336" s="7" t="s">
        <v>742</v>
      </c>
      <c r="K336" s="8"/>
      <c r="L336" s="8" t="s">
        <v>33</v>
      </c>
      <c r="M336" s="9">
        <f t="shared" si="1"/>
        <v>50</v>
      </c>
    </row>
    <row r="337" ht="12.75" customHeight="1">
      <c r="A337" s="4">
        <f t="shared" si="2"/>
        <v>336</v>
      </c>
      <c r="B337" s="4" t="s">
        <v>806</v>
      </c>
      <c r="C337" s="5" t="s">
        <v>807</v>
      </c>
      <c r="D337" s="4"/>
      <c r="E337" s="4"/>
      <c r="F337" s="4" t="s">
        <v>22</v>
      </c>
      <c r="G337" s="21">
        <v>20.24</v>
      </c>
      <c r="H337" s="7" t="s">
        <v>708</v>
      </c>
      <c r="I337" s="7" t="s">
        <v>709</v>
      </c>
      <c r="J337" s="7" t="s">
        <v>742</v>
      </c>
      <c r="K337" s="8"/>
      <c r="L337" s="8" t="s">
        <v>33</v>
      </c>
      <c r="M337" s="9">
        <f t="shared" si="1"/>
        <v>50</v>
      </c>
    </row>
    <row r="338" ht="12.75" customHeight="1">
      <c r="A338" s="4">
        <f t="shared" si="2"/>
        <v>337</v>
      </c>
      <c r="B338" s="4" t="s">
        <v>808</v>
      </c>
      <c r="C338" s="5" t="s">
        <v>809</v>
      </c>
      <c r="D338" s="4"/>
      <c r="E338" s="4"/>
      <c r="F338" s="4" t="s">
        <v>22</v>
      </c>
      <c r="G338" s="21">
        <v>25.38</v>
      </c>
      <c r="H338" s="7" t="s">
        <v>708</v>
      </c>
      <c r="I338" s="7" t="s">
        <v>709</v>
      </c>
      <c r="J338" s="7" t="s">
        <v>742</v>
      </c>
      <c r="K338" s="8"/>
      <c r="L338" s="8" t="s">
        <v>33</v>
      </c>
      <c r="M338" s="9">
        <f t="shared" si="1"/>
        <v>59</v>
      </c>
    </row>
    <row r="339" ht="12.75" customHeight="1">
      <c r="A339" s="4">
        <f t="shared" si="2"/>
        <v>338</v>
      </c>
      <c r="B339" s="4" t="s">
        <v>810</v>
      </c>
      <c r="C339" s="5" t="s">
        <v>811</v>
      </c>
      <c r="D339" s="4"/>
      <c r="E339" s="4"/>
      <c r="F339" s="4" t="s">
        <v>22</v>
      </c>
      <c r="G339" s="21">
        <v>24.3</v>
      </c>
      <c r="H339" s="7" t="s">
        <v>708</v>
      </c>
      <c r="I339" s="7" t="s">
        <v>709</v>
      </c>
      <c r="J339" s="7" t="s">
        <v>742</v>
      </c>
      <c r="K339" s="8"/>
      <c r="L339" s="8" t="s">
        <v>33</v>
      </c>
      <c r="M339" s="9">
        <f t="shared" si="1"/>
        <v>50</v>
      </c>
    </row>
    <row r="340" ht="12.75" customHeight="1">
      <c r="A340" s="4">
        <f t="shared" si="2"/>
        <v>339</v>
      </c>
      <c r="B340" s="4" t="s">
        <v>812</v>
      </c>
      <c r="C340" s="5" t="s">
        <v>813</v>
      </c>
      <c r="D340" s="4"/>
      <c r="E340" s="4"/>
      <c r="F340" s="4" t="s">
        <v>22</v>
      </c>
      <c r="G340" s="21">
        <v>5.65</v>
      </c>
      <c r="H340" s="7" t="s">
        <v>708</v>
      </c>
      <c r="I340" s="7" t="s">
        <v>709</v>
      </c>
      <c r="J340" s="7" t="s">
        <v>742</v>
      </c>
      <c r="K340" s="8"/>
      <c r="L340" s="8" t="s">
        <v>33</v>
      </c>
      <c r="M340" s="9">
        <f t="shared" si="1"/>
        <v>42</v>
      </c>
    </row>
    <row r="341" ht="12.75" customHeight="1">
      <c r="A341" s="4">
        <f t="shared" si="2"/>
        <v>340</v>
      </c>
      <c r="B341" s="4" t="s">
        <v>814</v>
      </c>
      <c r="C341" s="5" t="s">
        <v>815</v>
      </c>
      <c r="D341" s="4"/>
      <c r="E341" s="4"/>
      <c r="F341" s="4" t="s">
        <v>22</v>
      </c>
      <c r="G341" s="21">
        <v>41.89</v>
      </c>
      <c r="H341" s="7" t="s">
        <v>708</v>
      </c>
      <c r="I341" s="7" t="s">
        <v>709</v>
      </c>
      <c r="J341" s="7" t="s">
        <v>742</v>
      </c>
      <c r="K341" s="8"/>
      <c r="L341" s="8" t="s">
        <v>586</v>
      </c>
      <c r="M341" s="9">
        <f t="shared" si="1"/>
        <v>49</v>
      </c>
    </row>
    <row r="342" ht="12.75" customHeight="1">
      <c r="A342" s="4">
        <f t="shared" si="2"/>
        <v>341</v>
      </c>
      <c r="B342" s="4" t="s">
        <v>816</v>
      </c>
      <c r="C342" s="5" t="s">
        <v>817</v>
      </c>
      <c r="D342" s="4"/>
      <c r="E342" s="4"/>
      <c r="F342" s="4" t="s">
        <v>22</v>
      </c>
      <c r="G342" s="21">
        <v>486.49</v>
      </c>
      <c r="H342" s="7" t="s">
        <v>708</v>
      </c>
      <c r="I342" s="7" t="s">
        <v>709</v>
      </c>
      <c r="J342" s="7" t="s">
        <v>742</v>
      </c>
      <c r="K342" s="8"/>
      <c r="L342" s="8" t="s">
        <v>818</v>
      </c>
      <c r="M342" s="9">
        <f t="shared" si="1"/>
        <v>36</v>
      </c>
    </row>
    <row r="343" ht="12.75" customHeight="1">
      <c r="A343" s="4">
        <f t="shared" si="2"/>
        <v>342</v>
      </c>
      <c r="B343" s="4" t="s">
        <v>819</v>
      </c>
      <c r="C343" s="5" t="s">
        <v>820</v>
      </c>
      <c r="D343" s="4"/>
      <c r="E343" s="4"/>
      <c r="F343" s="4" t="s">
        <v>22</v>
      </c>
      <c r="G343" s="21">
        <v>83.51</v>
      </c>
      <c r="H343" s="7" t="s">
        <v>708</v>
      </c>
      <c r="I343" s="7" t="s">
        <v>709</v>
      </c>
      <c r="J343" s="7" t="s">
        <v>821</v>
      </c>
      <c r="K343" s="8"/>
      <c r="L343" s="8" t="s">
        <v>636</v>
      </c>
      <c r="M343" s="9">
        <f t="shared" si="1"/>
        <v>62</v>
      </c>
    </row>
    <row r="344" ht="12.75" customHeight="1">
      <c r="A344" s="4">
        <f t="shared" si="2"/>
        <v>343</v>
      </c>
      <c r="B344" s="4" t="s">
        <v>822</v>
      </c>
      <c r="C344" s="5" t="s">
        <v>823</v>
      </c>
      <c r="D344" s="4"/>
      <c r="E344" s="4"/>
      <c r="F344" s="4" t="s">
        <v>22</v>
      </c>
      <c r="G344" s="21">
        <v>166.76</v>
      </c>
      <c r="H344" s="7" t="s">
        <v>708</v>
      </c>
      <c r="I344" s="7" t="s">
        <v>709</v>
      </c>
      <c r="J344" s="7" t="s">
        <v>742</v>
      </c>
      <c r="K344" s="8"/>
      <c r="L344" s="8" t="s">
        <v>824</v>
      </c>
      <c r="M344" s="9">
        <f t="shared" si="1"/>
        <v>21</v>
      </c>
    </row>
    <row r="345" ht="12.75" customHeight="1">
      <c r="A345" s="4">
        <f t="shared" si="2"/>
        <v>344</v>
      </c>
      <c r="B345" s="4" t="s">
        <v>825</v>
      </c>
      <c r="C345" s="5" t="s">
        <v>826</v>
      </c>
      <c r="D345" s="4"/>
      <c r="E345" s="4"/>
      <c r="F345" s="4" t="s">
        <v>22</v>
      </c>
      <c r="G345" s="21">
        <v>29.46</v>
      </c>
      <c r="H345" s="7" t="s">
        <v>708</v>
      </c>
      <c r="I345" s="7" t="s">
        <v>709</v>
      </c>
      <c r="J345" s="7" t="s">
        <v>742</v>
      </c>
      <c r="K345" s="8"/>
      <c r="L345" s="8" t="s">
        <v>827</v>
      </c>
      <c r="M345" s="9">
        <f t="shared" si="1"/>
        <v>30</v>
      </c>
    </row>
    <row r="346" ht="12.75" customHeight="1">
      <c r="A346" s="4">
        <f t="shared" si="2"/>
        <v>345</v>
      </c>
      <c r="B346" s="4" t="s">
        <v>828</v>
      </c>
      <c r="C346" s="5" t="s">
        <v>829</v>
      </c>
      <c r="D346" s="4"/>
      <c r="E346" s="4"/>
      <c r="F346" s="4" t="s">
        <v>22</v>
      </c>
      <c r="G346" s="21">
        <v>17.0</v>
      </c>
      <c r="H346" s="7" t="s">
        <v>708</v>
      </c>
      <c r="I346" s="7" t="s">
        <v>709</v>
      </c>
      <c r="J346" s="7" t="s">
        <v>830</v>
      </c>
      <c r="K346" s="8"/>
      <c r="L346" s="8" t="s">
        <v>577</v>
      </c>
      <c r="M346" s="9">
        <f t="shared" si="1"/>
        <v>18</v>
      </c>
    </row>
    <row r="347" ht="12.75" customHeight="1">
      <c r="A347" s="4">
        <f t="shared" si="2"/>
        <v>346</v>
      </c>
      <c r="B347" s="4" t="s">
        <v>831</v>
      </c>
      <c r="C347" s="5" t="s">
        <v>832</v>
      </c>
      <c r="D347" s="4"/>
      <c r="E347" s="4"/>
      <c r="F347" s="4" t="s">
        <v>22</v>
      </c>
      <c r="G347" s="21">
        <v>44.84</v>
      </c>
      <c r="H347" s="7" t="s">
        <v>708</v>
      </c>
      <c r="I347" s="7" t="s">
        <v>709</v>
      </c>
      <c r="J347" s="7" t="s">
        <v>710</v>
      </c>
      <c r="K347" s="8"/>
      <c r="L347" s="8" t="s">
        <v>33</v>
      </c>
      <c r="M347" s="9">
        <f t="shared" si="1"/>
        <v>50</v>
      </c>
    </row>
    <row r="348" ht="12.75" customHeight="1">
      <c r="A348" s="4">
        <f t="shared" si="2"/>
        <v>347</v>
      </c>
      <c r="B348" s="4" t="s">
        <v>833</v>
      </c>
      <c r="C348" s="5" t="s">
        <v>834</v>
      </c>
      <c r="D348" s="4"/>
      <c r="E348" s="4"/>
      <c r="F348" s="4" t="s">
        <v>22</v>
      </c>
      <c r="G348" s="21">
        <v>58.3</v>
      </c>
      <c r="H348" s="7" t="s">
        <v>708</v>
      </c>
      <c r="I348" s="7" t="s">
        <v>709</v>
      </c>
      <c r="J348" s="7" t="s">
        <v>710</v>
      </c>
      <c r="K348" s="8"/>
      <c r="L348" s="8" t="s">
        <v>33</v>
      </c>
      <c r="M348" s="9">
        <f t="shared" si="1"/>
        <v>50</v>
      </c>
    </row>
    <row r="349" ht="12.75" customHeight="1">
      <c r="A349" s="4">
        <f t="shared" si="2"/>
        <v>348</v>
      </c>
      <c r="B349" s="4" t="s">
        <v>835</v>
      </c>
      <c r="C349" s="5" t="s">
        <v>836</v>
      </c>
      <c r="D349" s="4"/>
      <c r="E349" s="4"/>
      <c r="F349" s="4" t="s">
        <v>22</v>
      </c>
      <c r="G349" s="21">
        <v>20.78</v>
      </c>
      <c r="H349" s="7" t="s">
        <v>708</v>
      </c>
      <c r="I349" s="7" t="s">
        <v>709</v>
      </c>
      <c r="J349" s="7" t="s">
        <v>710</v>
      </c>
      <c r="K349" s="8"/>
      <c r="L349" s="8" t="s">
        <v>33</v>
      </c>
      <c r="M349" s="9">
        <f t="shared" si="1"/>
        <v>56</v>
      </c>
    </row>
    <row r="350" ht="12.75" customHeight="1">
      <c r="A350" s="4">
        <f t="shared" si="2"/>
        <v>349</v>
      </c>
      <c r="B350" s="4" t="s">
        <v>837</v>
      </c>
      <c r="C350" s="5" t="s">
        <v>838</v>
      </c>
      <c r="D350" s="4"/>
      <c r="E350" s="4"/>
      <c r="F350" s="4" t="s">
        <v>22</v>
      </c>
      <c r="G350" s="21">
        <v>23.45</v>
      </c>
      <c r="H350" s="7" t="s">
        <v>708</v>
      </c>
      <c r="I350" s="7" t="s">
        <v>709</v>
      </c>
      <c r="J350" s="7" t="s">
        <v>710</v>
      </c>
      <c r="K350" s="8"/>
      <c r="L350" s="8" t="s">
        <v>33</v>
      </c>
      <c r="M350" s="9">
        <f t="shared" si="1"/>
        <v>55</v>
      </c>
    </row>
    <row r="351" ht="12.75" customHeight="1">
      <c r="A351" s="4">
        <f t="shared" si="2"/>
        <v>350</v>
      </c>
      <c r="B351" s="4" t="s">
        <v>839</v>
      </c>
      <c r="C351" s="5" t="s">
        <v>840</v>
      </c>
      <c r="D351" s="4"/>
      <c r="E351" s="4"/>
      <c r="F351" s="4" t="s">
        <v>22</v>
      </c>
      <c r="G351" s="21">
        <v>21.1</v>
      </c>
      <c r="H351" s="7" t="s">
        <v>708</v>
      </c>
      <c r="I351" s="7" t="s">
        <v>709</v>
      </c>
      <c r="J351" s="7" t="s">
        <v>710</v>
      </c>
      <c r="K351" s="8"/>
      <c r="L351" s="8" t="s">
        <v>33</v>
      </c>
      <c r="M351" s="9">
        <f t="shared" si="1"/>
        <v>55</v>
      </c>
    </row>
    <row r="352" ht="12.75" customHeight="1">
      <c r="A352" s="4">
        <f t="shared" si="2"/>
        <v>351</v>
      </c>
      <c r="B352" s="4" t="s">
        <v>841</v>
      </c>
      <c r="C352" s="5" t="s">
        <v>842</v>
      </c>
      <c r="D352" s="4"/>
      <c r="E352" s="4"/>
      <c r="F352" s="4" t="s">
        <v>22</v>
      </c>
      <c r="G352" s="21">
        <v>22.14</v>
      </c>
      <c r="H352" s="7" t="s">
        <v>708</v>
      </c>
      <c r="I352" s="7" t="s">
        <v>709</v>
      </c>
      <c r="J352" s="7" t="s">
        <v>710</v>
      </c>
      <c r="K352" s="8"/>
      <c r="L352" s="8" t="s">
        <v>33</v>
      </c>
      <c r="M352" s="9">
        <f t="shared" si="1"/>
        <v>56</v>
      </c>
    </row>
    <row r="353" ht="12.75" customHeight="1">
      <c r="A353" s="4">
        <f t="shared" si="2"/>
        <v>352</v>
      </c>
      <c r="B353" s="4" t="s">
        <v>843</v>
      </c>
      <c r="C353" s="5" t="s">
        <v>844</v>
      </c>
      <c r="D353" s="4"/>
      <c r="E353" s="4"/>
      <c r="F353" s="4" t="s">
        <v>22</v>
      </c>
      <c r="G353" s="21">
        <v>20.78</v>
      </c>
      <c r="H353" s="7" t="s">
        <v>708</v>
      </c>
      <c r="I353" s="7" t="s">
        <v>709</v>
      </c>
      <c r="J353" s="7" t="s">
        <v>710</v>
      </c>
      <c r="K353" s="8"/>
      <c r="L353" s="8" t="s">
        <v>33</v>
      </c>
      <c r="M353" s="9">
        <f t="shared" si="1"/>
        <v>51</v>
      </c>
    </row>
    <row r="354" ht="12.75" customHeight="1">
      <c r="A354" s="4">
        <f t="shared" si="2"/>
        <v>353</v>
      </c>
      <c r="B354" s="4" t="s">
        <v>845</v>
      </c>
      <c r="C354" s="5" t="s">
        <v>846</v>
      </c>
      <c r="D354" s="4"/>
      <c r="E354" s="4"/>
      <c r="F354" s="4" t="s">
        <v>22</v>
      </c>
      <c r="G354" s="21">
        <v>11.32</v>
      </c>
      <c r="H354" s="7" t="s">
        <v>708</v>
      </c>
      <c r="I354" s="7" t="s">
        <v>709</v>
      </c>
      <c r="J354" s="7" t="s">
        <v>710</v>
      </c>
      <c r="K354" s="8"/>
      <c r="L354" s="8" t="s">
        <v>33</v>
      </c>
      <c r="M354" s="9">
        <f t="shared" si="1"/>
        <v>54</v>
      </c>
    </row>
    <row r="355" ht="12.75" customHeight="1">
      <c r="A355" s="4">
        <f t="shared" si="2"/>
        <v>354</v>
      </c>
      <c r="B355" s="4" t="s">
        <v>847</v>
      </c>
      <c r="C355" s="5" t="s">
        <v>848</v>
      </c>
      <c r="D355" s="4"/>
      <c r="E355" s="4"/>
      <c r="F355" s="4" t="s">
        <v>22</v>
      </c>
      <c r="G355" s="21">
        <v>11.32</v>
      </c>
      <c r="H355" s="7" t="s">
        <v>708</v>
      </c>
      <c r="I355" s="7" t="s">
        <v>709</v>
      </c>
      <c r="J355" s="7" t="s">
        <v>710</v>
      </c>
      <c r="K355" s="8"/>
      <c r="L355" s="8" t="s">
        <v>33</v>
      </c>
      <c r="M355" s="9">
        <f t="shared" si="1"/>
        <v>54</v>
      </c>
    </row>
    <row r="356" ht="12.75" customHeight="1">
      <c r="A356" s="4">
        <f t="shared" si="2"/>
        <v>355</v>
      </c>
      <c r="B356" s="4" t="s">
        <v>849</v>
      </c>
      <c r="C356" s="5" t="s">
        <v>850</v>
      </c>
      <c r="D356" s="4"/>
      <c r="E356" s="4"/>
      <c r="F356" s="4" t="s">
        <v>22</v>
      </c>
      <c r="G356" s="21">
        <v>17.0</v>
      </c>
      <c r="H356" s="7" t="s">
        <v>708</v>
      </c>
      <c r="I356" s="7" t="s">
        <v>709</v>
      </c>
      <c r="J356" s="7" t="s">
        <v>710</v>
      </c>
      <c r="K356" s="8"/>
      <c r="L356" s="8" t="s">
        <v>33</v>
      </c>
      <c r="M356" s="9">
        <f t="shared" si="1"/>
        <v>55</v>
      </c>
    </row>
    <row r="357" ht="12.75" customHeight="1">
      <c r="A357" s="4">
        <f t="shared" si="2"/>
        <v>356</v>
      </c>
      <c r="B357" s="4" t="s">
        <v>851</v>
      </c>
      <c r="C357" s="5" t="s">
        <v>852</v>
      </c>
      <c r="D357" s="4"/>
      <c r="E357" s="4"/>
      <c r="F357" s="4" t="s">
        <v>22</v>
      </c>
      <c r="G357" s="21">
        <v>11.32</v>
      </c>
      <c r="H357" s="7" t="s">
        <v>708</v>
      </c>
      <c r="I357" s="7" t="s">
        <v>709</v>
      </c>
      <c r="J357" s="7" t="s">
        <v>710</v>
      </c>
      <c r="K357" s="8"/>
      <c r="L357" s="8" t="s">
        <v>33</v>
      </c>
      <c r="M357" s="9">
        <f t="shared" si="1"/>
        <v>54</v>
      </c>
    </row>
    <row r="358" ht="12.75" customHeight="1">
      <c r="A358" s="4">
        <f t="shared" si="2"/>
        <v>357</v>
      </c>
      <c r="B358" s="4" t="s">
        <v>853</v>
      </c>
      <c r="C358" s="5" t="s">
        <v>854</v>
      </c>
      <c r="D358" s="4"/>
      <c r="E358" s="4"/>
      <c r="F358" s="4" t="s">
        <v>22</v>
      </c>
      <c r="G358" s="21">
        <v>11.32</v>
      </c>
      <c r="H358" s="7" t="s">
        <v>708</v>
      </c>
      <c r="I358" s="7" t="s">
        <v>709</v>
      </c>
      <c r="J358" s="7" t="s">
        <v>710</v>
      </c>
      <c r="K358" s="8"/>
      <c r="L358" s="8" t="s">
        <v>33</v>
      </c>
      <c r="M358" s="9">
        <f t="shared" si="1"/>
        <v>54</v>
      </c>
    </row>
    <row r="359" ht="12.75" customHeight="1">
      <c r="A359" s="4">
        <f t="shared" si="2"/>
        <v>358</v>
      </c>
      <c r="B359" s="4" t="s">
        <v>855</v>
      </c>
      <c r="C359" s="5" t="s">
        <v>856</v>
      </c>
      <c r="D359" s="4"/>
      <c r="E359" s="4"/>
      <c r="F359" s="4" t="s">
        <v>22</v>
      </c>
      <c r="G359" s="21">
        <v>18.08</v>
      </c>
      <c r="H359" s="7" t="s">
        <v>708</v>
      </c>
      <c r="I359" s="7" t="s">
        <v>709</v>
      </c>
      <c r="J359" s="7" t="s">
        <v>710</v>
      </c>
      <c r="K359" s="8"/>
      <c r="L359" s="8" t="s">
        <v>33</v>
      </c>
      <c r="M359" s="9">
        <f t="shared" si="1"/>
        <v>55</v>
      </c>
    </row>
    <row r="360" ht="12.75" customHeight="1">
      <c r="A360" s="4">
        <f t="shared" si="2"/>
        <v>359</v>
      </c>
      <c r="B360" s="4" t="s">
        <v>857</v>
      </c>
      <c r="C360" s="5" t="s">
        <v>858</v>
      </c>
      <c r="D360" s="4"/>
      <c r="E360" s="4"/>
      <c r="F360" s="4" t="s">
        <v>22</v>
      </c>
      <c r="G360" s="21">
        <v>11.32</v>
      </c>
      <c r="H360" s="7" t="s">
        <v>708</v>
      </c>
      <c r="I360" s="7" t="s">
        <v>709</v>
      </c>
      <c r="J360" s="7" t="s">
        <v>710</v>
      </c>
      <c r="K360" s="8"/>
      <c r="L360" s="8" t="s">
        <v>33</v>
      </c>
      <c r="M360" s="9">
        <f t="shared" si="1"/>
        <v>54</v>
      </c>
    </row>
    <row r="361" ht="12.75" customHeight="1">
      <c r="A361" s="4">
        <f t="shared" si="2"/>
        <v>360</v>
      </c>
      <c r="B361" s="4" t="s">
        <v>859</v>
      </c>
      <c r="C361" s="5" t="s">
        <v>860</v>
      </c>
      <c r="D361" s="4"/>
      <c r="E361" s="4"/>
      <c r="F361" s="4" t="s">
        <v>22</v>
      </c>
      <c r="G361" s="21">
        <v>11.32</v>
      </c>
      <c r="H361" s="7" t="s">
        <v>708</v>
      </c>
      <c r="I361" s="7" t="s">
        <v>709</v>
      </c>
      <c r="J361" s="7" t="s">
        <v>710</v>
      </c>
      <c r="K361" s="8"/>
      <c r="L361" s="8" t="s">
        <v>33</v>
      </c>
      <c r="M361" s="9">
        <f t="shared" si="1"/>
        <v>54</v>
      </c>
    </row>
    <row r="362" ht="12.75" customHeight="1">
      <c r="A362" s="4">
        <f t="shared" si="2"/>
        <v>361</v>
      </c>
      <c r="B362" s="4" t="s">
        <v>861</v>
      </c>
      <c r="C362" s="5" t="s">
        <v>862</v>
      </c>
      <c r="D362" s="4"/>
      <c r="E362" s="4"/>
      <c r="F362" s="4" t="s">
        <v>22</v>
      </c>
      <c r="G362" s="21">
        <v>20.78</v>
      </c>
      <c r="H362" s="7" t="s">
        <v>708</v>
      </c>
      <c r="I362" s="7" t="s">
        <v>709</v>
      </c>
      <c r="J362" s="7" t="s">
        <v>710</v>
      </c>
      <c r="K362" s="8"/>
      <c r="L362" s="8" t="s">
        <v>33</v>
      </c>
      <c r="M362" s="9">
        <f t="shared" si="1"/>
        <v>55</v>
      </c>
    </row>
    <row r="363" ht="12.75" customHeight="1">
      <c r="A363" s="4">
        <f t="shared" si="2"/>
        <v>362</v>
      </c>
      <c r="B363" s="4" t="s">
        <v>863</v>
      </c>
      <c r="C363" s="5" t="s">
        <v>864</v>
      </c>
      <c r="D363" s="4"/>
      <c r="E363" s="4"/>
      <c r="F363" s="4" t="s">
        <v>22</v>
      </c>
      <c r="G363" s="21">
        <v>11.32</v>
      </c>
      <c r="H363" s="7" t="s">
        <v>708</v>
      </c>
      <c r="I363" s="7" t="s">
        <v>709</v>
      </c>
      <c r="J363" s="7" t="s">
        <v>710</v>
      </c>
      <c r="K363" s="8"/>
      <c r="L363" s="8" t="s">
        <v>33</v>
      </c>
      <c r="M363" s="9">
        <f t="shared" si="1"/>
        <v>54</v>
      </c>
    </row>
    <row r="364" ht="12.75" customHeight="1">
      <c r="A364" s="4">
        <f t="shared" si="2"/>
        <v>363</v>
      </c>
      <c r="B364" s="4" t="s">
        <v>865</v>
      </c>
      <c r="C364" s="5" t="s">
        <v>866</v>
      </c>
      <c r="D364" s="4"/>
      <c r="E364" s="4"/>
      <c r="F364" s="4" t="s">
        <v>22</v>
      </c>
      <c r="G364" s="21">
        <v>11.32</v>
      </c>
      <c r="H364" s="7" t="s">
        <v>708</v>
      </c>
      <c r="I364" s="7" t="s">
        <v>709</v>
      </c>
      <c r="J364" s="7" t="s">
        <v>710</v>
      </c>
      <c r="K364" s="8"/>
      <c r="L364" s="8" t="s">
        <v>33</v>
      </c>
      <c r="M364" s="9">
        <f t="shared" si="1"/>
        <v>54</v>
      </c>
    </row>
    <row r="365" ht="12.75" customHeight="1">
      <c r="A365" s="4">
        <f t="shared" si="2"/>
        <v>364</v>
      </c>
      <c r="B365" s="4" t="s">
        <v>867</v>
      </c>
      <c r="C365" s="5" t="s">
        <v>868</v>
      </c>
      <c r="D365" s="4"/>
      <c r="E365" s="4"/>
      <c r="F365" s="4" t="s">
        <v>22</v>
      </c>
      <c r="G365" s="21">
        <v>11.32</v>
      </c>
      <c r="H365" s="7" t="s">
        <v>708</v>
      </c>
      <c r="I365" s="7" t="s">
        <v>709</v>
      </c>
      <c r="J365" s="7" t="s">
        <v>710</v>
      </c>
      <c r="K365" s="8"/>
      <c r="L365" s="8" t="s">
        <v>33</v>
      </c>
      <c r="M365" s="9">
        <f t="shared" si="1"/>
        <v>54</v>
      </c>
    </row>
    <row r="366" ht="12.75" customHeight="1">
      <c r="A366" s="4">
        <f t="shared" si="2"/>
        <v>365</v>
      </c>
      <c r="B366" s="4" t="s">
        <v>869</v>
      </c>
      <c r="C366" s="5" t="s">
        <v>870</v>
      </c>
      <c r="D366" s="4"/>
      <c r="E366" s="4"/>
      <c r="F366" s="4" t="s">
        <v>22</v>
      </c>
      <c r="G366" s="21">
        <v>11.32</v>
      </c>
      <c r="H366" s="7" t="s">
        <v>708</v>
      </c>
      <c r="I366" s="7" t="s">
        <v>709</v>
      </c>
      <c r="J366" s="7" t="s">
        <v>710</v>
      </c>
      <c r="K366" s="8"/>
      <c r="L366" s="8" t="s">
        <v>33</v>
      </c>
      <c r="M366" s="9">
        <f t="shared" si="1"/>
        <v>54</v>
      </c>
    </row>
    <row r="367" ht="12.75" customHeight="1">
      <c r="A367" s="4">
        <f t="shared" si="2"/>
        <v>366</v>
      </c>
      <c r="B367" s="4" t="s">
        <v>871</v>
      </c>
      <c r="C367" s="5" t="s">
        <v>872</v>
      </c>
      <c r="D367" s="4"/>
      <c r="E367" s="4"/>
      <c r="F367" s="4" t="s">
        <v>22</v>
      </c>
      <c r="G367" s="21">
        <v>11.32</v>
      </c>
      <c r="H367" s="7" t="s">
        <v>708</v>
      </c>
      <c r="I367" s="7" t="s">
        <v>709</v>
      </c>
      <c r="J367" s="7" t="s">
        <v>710</v>
      </c>
      <c r="K367" s="8"/>
      <c r="L367" s="8" t="s">
        <v>33</v>
      </c>
      <c r="M367" s="9">
        <f t="shared" si="1"/>
        <v>54</v>
      </c>
    </row>
    <row r="368" ht="12.75" customHeight="1">
      <c r="A368" s="4">
        <f t="shared" si="2"/>
        <v>367</v>
      </c>
      <c r="B368" s="4" t="s">
        <v>873</v>
      </c>
      <c r="C368" s="5" t="s">
        <v>874</v>
      </c>
      <c r="D368" s="4"/>
      <c r="E368" s="4"/>
      <c r="F368" s="4" t="s">
        <v>22</v>
      </c>
      <c r="G368" s="21">
        <v>11.59</v>
      </c>
      <c r="H368" s="7" t="s">
        <v>708</v>
      </c>
      <c r="I368" s="7" t="s">
        <v>709</v>
      </c>
      <c r="J368" s="7" t="s">
        <v>710</v>
      </c>
      <c r="K368" s="8"/>
      <c r="L368" s="8" t="s">
        <v>33</v>
      </c>
      <c r="M368" s="9">
        <f t="shared" si="1"/>
        <v>54</v>
      </c>
    </row>
    <row r="369" ht="12.75" customHeight="1">
      <c r="A369" s="4">
        <f t="shared" si="2"/>
        <v>368</v>
      </c>
      <c r="B369" s="4" t="s">
        <v>875</v>
      </c>
      <c r="C369" s="5" t="s">
        <v>876</v>
      </c>
      <c r="D369" s="4"/>
      <c r="E369" s="4"/>
      <c r="F369" s="4" t="s">
        <v>22</v>
      </c>
      <c r="G369" s="21">
        <v>22.68</v>
      </c>
      <c r="H369" s="7" t="s">
        <v>708</v>
      </c>
      <c r="I369" s="7" t="s">
        <v>709</v>
      </c>
      <c r="J369" s="7" t="s">
        <v>710</v>
      </c>
      <c r="K369" s="8"/>
      <c r="L369" s="8" t="s">
        <v>33</v>
      </c>
      <c r="M369" s="9">
        <f t="shared" si="1"/>
        <v>54</v>
      </c>
    </row>
    <row r="370" ht="12.75" customHeight="1">
      <c r="A370" s="4">
        <f t="shared" si="2"/>
        <v>369</v>
      </c>
      <c r="B370" s="4" t="s">
        <v>877</v>
      </c>
      <c r="C370" s="5" t="s">
        <v>878</v>
      </c>
      <c r="D370" s="4"/>
      <c r="E370" s="4"/>
      <c r="F370" s="4" t="s">
        <v>22</v>
      </c>
      <c r="G370" s="21">
        <v>23.49</v>
      </c>
      <c r="H370" s="7" t="s">
        <v>708</v>
      </c>
      <c r="I370" s="7" t="s">
        <v>709</v>
      </c>
      <c r="J370" s="7" t="s">
        <v>710</v>
      </c>
      <c r="K370" s="8"/>
      <c r="L370" s="8" t="s">
        <v>33</v>
      </c>
      <c r="M370" s="9">
        <f t="shared" si="1"/>
        <v>54</v>
      </c>
    </row>
    <row r="371" ht="12.75" customHeight="1">
      <c r="A371" s="4">
        <f t="shared" si="2"/>
        <v>370</v>
      </c>
      <c r="B371" s="4" t="s">
        <v>879</v>
      </c>
      <c r="C371" s="5" t="s">
        <v>880</v>
      </c>
      <c r="D371" s="4"/>
      <c r="E371" s="4"/>
      <c r="F371" s="4" t="s">
        <v>22</v>
      </c>
      <c r="G371" s="21">
        <v>13.76</v>
      </c>
      <c r="H371" s="7" t="s">
        <v>708</v>
      </c>
      <c r="I371" s="7" t="s">
        <v>709</v>
      </c>
      <c r="J371" s="7" t="s">
        <v>710</v>
      </c>
      <c r="K371" s="8"/>
      <c r="L371" s="8" t="s">
        <v>33</v>
      </c>
      <c r="M371" s="9">
        <f t="shared" si="1"/>
        <v>54</v>
      </c>
    </row>
    <row r="372" ht="12.75" customHeight="1">
      <c r="A372" s="4">
        <f t="shared" si="2"/>
        <v>371</v>
      </c>
      <c r="B372" s="4" t="s">
        <v>881</v>
      </c>
      <c r="C372" s="5" t="s">
        <v>882</v>
      </c>
      <c r="D372" s="4"/>
      <c r="E372" s="4"/>
      <c r="F372" s="4" t="s">
        <v>22</v>
      </c>
      <c r="G372" s="21">
        <v>15.65</v>
      </c>
      <c r="H372" s="7" t="s">
        <v>708</v>
      </c>
      <c r="I372" s="7" t="s">
        <v>709</v>
      </c>
      <c r="J372" s="7" t="s">
        <v>710</v>
      </c>
      <c r="K372" s="8"/>
      <c r="L372" s="8" t="s">
        <v>33</v>
      </c>
      <c r="M372" s="9">
        <f t="shared" si="1"/>
        <v>54</v>
      </c>
    </row>
    <row r="373" ht="12.75" customHeight="1">
      <c r="A373" s="4">
        <f t="shared" si="2"/>
        <v>372</v>
      </c>
      <c r="B373" s="4" t="s">
        <v>883</v>
      </c>
      <c r="C373" s="5" t="s">
        <v>884</v>
      </c>
      <c r="D373" s="4"/>
      <c r="E373" s="4"/>
      <c r="F373" s="4" t="s">
        <v>22</v>
      </c>
      <c r="G373" s="21">
        <v>17.0</v>
      </c>
      <c r="H373" s="7" t="s">
        <v>708</v>
      </c>
      <c r="I373" s="7" t="s">
        <v>709</v>
      </c>
      <c r="J373" s="7" t="s">
        <v>710</v>
      </c>
      <c r="K373" s="8"/>
      <c r="L373" s="8" t="s">
        <v>33</v>
      </c>
      <c r="M373" s="9">
        <f t="shared" si="1"/>
        <v>53</v>
      </c>
    </row>
    <row r="374" ht="12.75" customHeight="1">
      <c r="A374" s="4">
        <f t="shared" si="2"/>
        <v>373</v>
      </c>
      <c r="B374" s="4" t="s">
        <v>885</v>
      </c>
      <c r="C374" s="5" t="s">
        <v>886</v>
      </c>
      <c r="D374" s="4"/>
      <c r="E374" s="4"/>
      <c r="F374" s="4" t="s">
        <v>22</v>
      </c>
      <c r="G374" s="21">
        <v>14.84</v>
      </c>
      <c r="H374" s="7" t="s">
        <v>708</v>
      </c>
      <c r="I374" s="7" t="s">
        <v>709</v>
      </c>
      <c r="J374" s="7" t="s">
        <v>710</v>
      </c>
      <c r="K374" s="8"/>
      <c r="L374" s="8" t="s">
        <v>33</v>
      </c>
      <c r="M374" s="9">
        <f t="shared" si="1"/>
        <v>53</v>
      </c>
    </row>
    <row r="375" ht="12.75" customHeight="1">
      <c r="A375" s="4">
        <f t="shared" si="2"/>
        <v>374</v>
      </c>
      <c r="B375" s="4" t="s">
        <v>887</v>
      </c>
      <c r="C375" s="5" t="s">
        <v>888</v>
      </c>
      <c r="D375" s="4"/>
      <c r="E375" s="4"/>
      <c r="F375" s="4" t="s">
        <v>22</v>
      </c>
      <c r="G375" s="21">
        <v>9.7</v>
      </c>
      <c r="H375" s="7" t="s">
        <v>708</v>
      </c>
      <c r="I375" s="7" t="s">
        <v>709</v>
      </c>
      <c r="J375" s="7" t="s">
        <v>710</v>
      </c>
      <c r="K375" s="8"/>
      <c r="L375" s="8" t="s">
        <v>33</v>
      </c>
      <c r="M375" s="9">
        <f t="shared" si="1"/>
        <v>54</v>
      </c>
    </row>
    <row r="376" ht="12.75" customHeight="1">
      <c r="A376" s="4">
        <f t="shared" si="2"/>
        <v>375</v>
      </c>
      <c r="B376" s="4" t="s">
        <v>889</v>
      </c>
      <c r="C376" s="5" t="s">
        <v>890</v>
      </c>
      <c r="D376" s="4"/>
      <c r="E376" s="4"/>
      <c r="F376" s="4" t="s">
        <v>22</v>
      </c>
      <c r="G376" s="21">
        <v>11.32</v>
      </c>
      <c r="H376" s="7" t="s">
        <v>708</v>
      </c>
      <c r="I376" s="7" t="s">
        <v>709</v>
      </c>
      <c r="J376" s="7" t="s">
        <v>710</v>
      </c>
      <c r="K376" s="8"/>
      <c r="L376" s="8" t="s">
        <v>33</v>
      </c>
      <c r="M376" s="9">
        <f t="shared" si="1"/>
        <v>54</v>
      </c>
    </row>
    <row r="377" ht="12.75" customHeight="1">
      <c r="A377" s="4">
        <f t="shared" si="2"/>
        <v>376</v>
      </c>
      <c r="B377" s="4" t="s">
        <v>891</v>
      </c>
      <c r="C377" s="5" t="s">
        <v>892</v>
      </c>
      <c r="D377" s="4"/>
      <c r="E377" s="4"/>
      <c r="F377" s="4" t="s">
        <v>22</v>
      </c>
      <c r="G377" s="21">
        <v>28.08</v>
      </c>
      <c r="H377" s="7" t="s">
        <v>708</v>
      </c>
      <c r="I377" s="7" t="s">
        <v>709</v>
      </c>
      <c r="J377" s="7" t="s">
        <v>710</v>
      </c>
      <c r="K377" s="8"/>
      <c r="L377" s="8" t="s">
        <v>33</v>
      </c>
      <c r="M377" s="9">
        <f t="shared" si="1"/>
        <v>54</v>
      </c>
    </row>
    <row r="378" ht="12.75" customHeight="1">
      <c r="A378" s="4">
        <f t="shared" si="2"/>
        <v>377</v>
      </c>
      <c r="B378" s="4" t="s">
        <v>893</v>
      </c>
      <c r="C378" s="5" t="s">
        <v>894</v>
      </c>
      <c r="D378" s="4"/>
      <c r="E378" s="4"/>
      <c r="F378" s="4" t="s">
        <v>22</v>
      </c>
      <c r="G378" s="21">
        <v>28.08</v>
      </c>
      <c r="H378" s="7" t="s">
        <v>708</v>
      </c>
      <c r="I378" s="7" t="s">
        <v>709</v>
      </c>
      <c r="J378" s="7" t="s">
        <v>710</v>
      </c>
      <c r="K378" s="8"/>
      <c r="L378" s="8" t="s">
        <v>33</v>
      </c>
      <c r="M378" s="9">
        <f t="shared" si="1"/>
        <v>54</v>
      </c>
    </row>
    <row r="379" ht="12.75" customHeight="1">
      <c r="A379" s="4">
        <f t="shared" si="2"/>
        <v>378</v>
      </c>
      <c r="B379" s="4" t="s">
        <v>895</v>
      </c>
      <c r="C379" s="5" t="s">
        <v>896</v>
      </c>
      <c r="D379" s="4"/>
      <c r="E379" s="4"/>
      <c r="F379" s="4" t="s">
        <v>22</v>
      </c>
      <c r="G379" s="21">
        <v>17.0</v>
      </c>
      <c r="H379" s="7" t="s">
        <v>708</v>
      </c>
      <c r="I379" s="7" t="s">
        <v>709</v>
      </c>
      <c r="J379" s="7" t="s">
        <v>710</v>
      </c>
      <c r="K379" s="8"/>
      <c r="L379" s="8" t="s">
        <v>33</v>
      </c>
      <c r="M379" s="9">
        <f t="shared" si="1"/>
        <v>53</v>
      </c>
    </row>
    <row r="380" ht="12.75" customHeight="1">
      <c r="A380" s="4">
        <f t="shared" si="2"/>
        <v>379</v>
      </c>
      <c r="B380" s="4" t="s">
        <v>897</v>
      </c>
      <c r="C380" s="5" t="s">
        <v>898</v>
      </c>
      <c r="D380" s="4"/>
      <c r="E380" s="4"/>
      <c r="F380" s="4" t="s">
        <v>22</v>
      </c>
      <c r="G380" s="21">
        <v>14.84</v>
      </c>
      <c r="H380" s="7" t="s">
        <v>708</v>
      </c>
      <c r="I380" s="7" t="s">
        <v>709</v>
      </c>
      <c r="J380" s="7" t="s">
        <v>710</v>
      </c>
      <c r="K380" s="8"/>
      <c r="L380" s="8" t="s">
        <v>33</v>
      </c>
      <c r="M380" s="9">
        <f t="shared" si="1"/>
        <v>54</v>
      </c>
    </row>
    <row r="381" ht="12.75" customHeight="1">
      <c r="A381" s="4">
        <f t="shared" si="2"/>
        <v>380</v>
      </c>
      <c r="B381" s="4" t="s">
        <v>899</v>
      </c>
      <c r="C381" s="5" t="s">
        <v>900</v>
      </c>
      <c r="D381" s="4"/>
      <c r="E381" s="4"/>
      <c r="F381" s="4" t="s">
        <v>22</v>
      </c>
      <c r="G381" s="21">
        <v>19.97</v>
      </c>
      <c r="H381" s="7" t="s">
        <v>708</v>
      </c>
      <c r="I381" s="7" t="s">
        <v>709</v>
      </c>
      <c r="J381" s="7" t="s">
        <v>710</v>
      </c>
      <c r="K381" s="8"/>
      <c r="L381" s="8" t="s">
        <v>33</v>
      </c>
      <c r="M381" s="9">
        <f t="shared" si="1"/>
        <v>53</v>
      </c>
    </row>
    <row r="382" ht="12.75" customHeight="1">
      <c r="A382" s="4">
        <f t="shared" si="2"/>
        <v>381</v>
      </c>
      <c r="B382" s="4" t="s">
        <v>901</v>
      </c>
      <c r="C382" s="5" t="s">
        <v>902</v>
      </c>
      <c r="D382" s="4"/>
      <c r="E382" s="4"/>
      <c r="F382" s="4" t="s">
        <v>22</v>
      </c>
      <c r="G382" s="21">
        <v>11.32</v>
      </c>
      <c r="H382" s="7" t="s">
        <v>708</v>
      </c>
      <c r="I382" s="7" t="s">
        <v>709</v>
      </c>
      <c r="J382" s="7" t="s">
        <v>710</v>
      </c>
      <c r="K382" s="8"/>
      <c r="L382" s="8" t="s">
        <v>33</v>
      </c>
      <c r="M382" s="9">
        <f t="shared" si="1"/>
        <v>53</v>
      </c>
    </row>
    <row r="383" ht="12.75" customHeight="1">
      <c r="A383" s="4">
        <f t="shared" si="2"/>
        <v>382</v>
      </c>
      <c r="B383" s="4" t="s">
        <v>903</v>
      </c>
      <c r="C383" s="5" t="s">
        <v>904</v>
      </c>
      <c r="D383" s="4"/>
      <c r="E383" s="4"/>
      <c r="F383" s="4" t="s">
        <v>22</v>
      </c>
      <c r="G383" s="21">
        <v>11.32</v>
      </c>
      <c r="H383" s="7" t="s">
        <v>708</v>
      </c>
      <c r="I383" s="7" t="s">
        <v>709</v>
      </c>
      <c r="J383" s="7" t="s">
        <v>710</v>
      </c>
      <c r="K383" s="8"/>
      <c r="L383" s="8" t="s">
        <v>33</v>
      </c>
      <c r="M383" s="9">
        <f t="shared" si="1"/>
        <v>53</v>
      </c>
    </row>
    <row r="384" ht="12.75" customHeight="1">
      <c r="A384" s="4">
        <f t="shared" si="2"/>
        <v>383</v>
      </c>
      <c r="B384" s="4" t="s">
        <v>905</v>
      </c>
      <c r="C384" s="5" t="s">
        <v>906</v>
      </c>
      <c r="D384" s="4"/>
      <c r="E384" s="4"/>
      <c r="F384" s="4" t="s">
        <v>22</v>
      </c>
      <c r="G384" s="21">
        <v>14.84</v>
      </c>
      <c r="H384" s="7" t="s">
        <v>708</v>
      </c>
      <c r="I384" s="7" t="s">
        <v>709</v>
      </c>
      <c r="J384" s="7" t="s">
        <v>710</v>
      </c>
      <c r="K384" s="8"/>
      <c r="L384" s="8" t="s">
        <v>33</v>
      </c>
      <c r="M384" s="9">
        <f t="shared" si="1"/>
        <v>54</v>
      </c>
    </row>
    <row r="385" ht="12.75" customHeight="1">
      <c r="A385" s="4">
        <f t="shared" si="2"/>
        <v>384</v>
      </c>
      <c r="B385" s="4" t="s">
        <v>907</v>
      </c>
      <c r="C385" s="5" t="s">
        <v>908</v>
      </c>
      <c r="D385" s="4"/>
      <c r="E385" s="4"/>
      <c r="F385" s="4" t="s">
        <v>22</v>
      </c>
      <c r="G385" s="21">
        <v>32.36</v>
      </c>
      <c r="H385" s="7" t="s">
        <v>708</v>
      </c>
      <c r="I385" s="7" t="s">
        <v>709</v>
      </c>
      <c r="J385" s="7" t="s">
        <v>710</v>
      </c>
      <c r="K385" s="8"/>
      <c r="L385" s="8" t="s">
        <v>33</v>
      </c>
      <c r="M385" s="9">
        <f t="shared" si="1"/>
        <v>56</v>
      </c>
    </row>
    <row r="386" ht="12.75" customHeight="1">
      <c r="A386" s="4">
        <f t="shared" si="2"/>
        <v>385</v>
      </c>
      <c r="B386" s="4" t="s">
        <v>909</v>
      </c>
      <c r="C386" s="5" t="s">
        <v>910</v>
      </c>
      <c r="D386" s="4"/>
      <c r="E386" s="4"/>
      <c r="F386" s="4" t="s">
        <v>22</v>
      </c>
      <c r="G386" s="21">
        <v>45.38</v>
      </c>
      <c r="H386" s="7" t="s">
        <v>708</v>
      </c>
      <c r="I386" s="7" t="s">
        <v>709</v>
      </c>
      <c r="J386" s="7" t="s">
        <v>710</v>
      </c>
      <c r="K386" s="8"/>
      <c r="L386" s="8" t="s">
        <v>33</v>
      </c>
      <c r="M386" s="9">
        <f t="shared" si="1"/>
        <v>55</v>
      </c>
    </row>
    <row r="387" ht="12.75" customHeight="1">
      <c r="A387" s="4">
        <f t="shared" si="2"/>
        <v>386</v>
      </c>
      <c r="B387" s="4" t="s">
        <v>911</v>
      </c>
      <c r="C387" s="5" t="s">
        <v>912</v>
      </c>
      <c r="D387" s="4"/>
      <c r="E387" s="4"/>
      <c r="F387" s="4" t="s">
        <v>22</v>
      </c>
      <c r="G387" s="21">
        <v>35.38</v>
      </c>
      <c r="H387" s="7" t="s">
        <v>708</v>
      </c>
      <c r="I387" s="7" t="s">
        <v>709</v>
      </c>
      <c r="J387" s="7" t="s">
        <v>710</v>
      </c>
      <c r="K387" s="8"/>
      <c r="L387" s="8" t="s">
        <v>33</v>
      </c>
      <c r="M387" s="9">
        <f t="shared" si="1"/>
        <v>55</v>
      </c>
    </row>
    <row r="388" ht="12.75" customHeight="1">
      <c r="A388" s="4">
        <f t="shared" si="2"/>
        <v>387</v>
      </c>
      <c r="B388" s="4" t="s">
        <v>913</v>
      </c>
      <c r="C388" s="5" t="s">
        <v>914</v>
      </c>
      <c r="D388" s="4"/>
      <c r="E388" s="4"/>
      <c r="F388" s="4" t="s">
        <v>22</v>
      </c>
      <c r="G388" s="21">
        <v>35.11</v>
      </c>
      <c r="H388" s="7" t="s">
        <v>708</v>
      </c>
      <c r="I388" s="7" t="s">
        <v>709</v>
      </c>
      <c r="J388" s="7" t="s">
        <v>710</v>
      </c>
      <c r="K388" s="8"/>
      <c r="L388" s="8" t="s">
        <v>33</v>
      </c>
      <c r="M388" s="9">
        <f t="shared" si="1"/>
        <v>55</v>
      </c>
    </row>
    <row r="389" ht="12.75" customHeight="1">
      <c r="A389" s="4">
        <f t="shared" si="2"/>
        <v>388</v>
      </c>
      <c r="B389" s="4" t="s">
        <v>915</v>
      </c>
      <c r="C389" s="5" t="s">
        <v>916</v>
      </c>
      <c r="D389" s="4"/>
      <c r="E389" s="4"/>
      <c r="F389" s="4" t="s">
        <v>22</v>
      </c>
      <c r="G389" s="21">
        <v>34.3</v>
      </c>
      <c r="H389" s="7" t="s">
        <v>708</v>
      </c>
      <c r="I389" s="7" t="s">
        <v>709</v>
      </c>
      <c r="J389" s="7" t="s">
        <v>710</v>
      </c>
      <c r="K389" s="8"/>
      <c r="L389" s="8" t="s">
        <v>33</v>
      </c>
      <c r="M389" s="9">
        <f t="shared" si="1"/>
        <v>57</v>
      </c>
    </row>
    <row r="390" ht="12.75" customHeight="1">
      <c r="A390" s="4">
        <f t="shared" si="2"/>
        <v>389</v>
      </c>
      <c r="B390" s="4" t="s">
        <v>917</v>
      </c>
      <c r="C390" s="5" t="s">
        <v>918</v>
      </c>
      <c r="D390" s="4"/>
      <c r="E390" s="4"/>
      <c r="F390" s="4" t="s">
        <v>22</v>
      </c>
      <c r="G390" s="21">
        <v>47.65</v>
      </c>
      <c r="H390" s="7" t="s">
        <v>708</v>
      </c>
      <c r="I390" s="7" t="s">
        <v>709</v>
      </c>
      <c r="J390" s="7" t="s">
        <v>710</v>
      </c>
      <c r="K390" s="8"/>
      <c r="L390" s="8" t="s">
        <v>33</v>
      </c>
      <c r="M390" s="9">
        <f t="shared" si="1"/>
        <v>57</v>
      </c>
    </row>
    <row r="391" ht="12.75" customHeight="1">
      <c r="A391" s="4">
        <f t="shared" si="2"/>
        <v>390</v>
      </c>
      <c r="B391" s="4" t="s">
        <v>919</v>
      </c>
      <c r="C391" s="5" t="s">
        <v>920</v>
      </c>
      <c r="D391" s="4"/>
      <c r="E391" s="4"/>
      <c r="F391" s="4" t="s">
        <v>22</v>
      </c>
      <c r="G391" s="21">
        <v>53.2</v>
      </c>
      <c r="H391" s="7" t="s">
        <v>708</v>
      </c>
      <c r="I391" s="7" t="s">
        <v>709</v>
      </c>
      <c r="J391" s="7" t="s">
        <v>710</v>
      </c>
      <c r="K391" s="8"/>
      <c r="L391" s="8" t="s">
        <v>33</v>
      </c>
      <c r="M391" s="9">
        <f t="shared" si="1"/>
        <v>57</v>
      </c>
    </row>
    <row r="392" ht="12.75" customHeight="1">
      <c r="A392" s="4">
        <f t="shared" si="2"/>
        <v>391</v>
      </c>
      <c r="B392" s="4" t="s">
        <v>921</v>
      </c>
      <c r="C392" s="5" t="s">
        <v>922</v>
      </c>
      <c r="D392" s="4"/>
      <c r="E392" s="4"/>
      <c r="F392" s="4" t="s">
        <v>22</v>
      </c>
      <c r="G392" s="21">
        <v>35.38</v>
      </c>
      <c r="H392" s="7" t="s">
        <v>708</v>
      </c>
      <c r="I392" s="7" t="s">
        <v>709</v>
      </c>
      <c r="J392" s="7" t="s">
        <v>710</v>
      </c>
      <c r="K392" s="8"/>
      <c r="L392" s="8" t="s">
        <v>33</v>
      </c>
      <c r="M392" s="9">
        <f t="shared" si="1"/>
        <v>56</v>
      </c>
    </row>
    <row r="393" ht="12.75" customHeight="1">
      <c r="A393" s="4">
        <f t="shared" si="2"/>
        <v>392</v>
      </c>
      <c r="B393" s="4" t="s">
        <v>923</v>
      </c>
      <c r="C393" s="5" t="s">
        <v>924</v>
      </c>
      <c r="D393" s="4"/>
      <c r="E393" s="4"/>
      <c r="F393" s="4" t="s">
        <v>22</v>
      </c>
      <c r="G393" s="21">
        <v>43.22</v>
      </c>
      <c r="H393" s="7" t="s">
        <v>708</v>
      </c>
      <c r="I393" s="7" t="s">
        <v>709</v>
      </c>
      <c r="J393" s="7" t="s">
        <v>710</v>
      </c>
      <c r="K393" s="8"/>
      <c r="L393" s="8" t="s">
        <v>33</v>
      </c>
      <c r="M393" s="9">
        <f t="shared" si="1"/>
        <v>55</v>
      </c>
    </row>
    <row r="394" ht="12.75" customHeight="1">
      <c r="A394" s="4">
        <f t="shared" si="2"/>
        <v>393</v>
      </c>
      <c r="B394" s="4" t="s">
        <v>925</v>
      </c>
      <c r="C394" s="5" t="s">
        <v>926</v>
      </c>
      <c r="D394" s="4"/>
      <c r="E394" s="4"/>
      <c r="F394" s="4" t="s">
        <v>22</v>
      </c>
      <c r="G394" s="21">
        <v>39.16</v>
      </c>
      <c r="H394" s="7" t="s">
        <v>708</v>
      </c>
      <c r="I394" s="7" t="s">
        <v>709</v>
      </c>
      <c r="J394" s="7" t="s">
        <v>710</v>
      </c>
      <c r="K394" s="8"/>
      <c r="L394" s="8" t="s">
        <v>33</v>
      </c>
      <c r="M394" s="9">
        <f t="shared" si="1"/>
        <v>55</v>
      </c>
    </row>
    <row r="395" ht="12.75" customHeight="1">
      <c r="A395" s="4">
        <f t="shared" si="2"/>
        <v>394</v>
      </c>
      <c r="B395" s="4" t="s">
        <v>927</v>
      </c>
      <c r="C395" s="5" t="s">
        <v>928</v>
      </c>
      <c r="D395" s="4"/>
      <c r="E395" s="4"/>
      <c r="F395" s="4" t="s">
        <v>22</v>
      </c>
      <c r="G395" s="21">
        <v>39.16</v>
      </c>
      <c r="H395" s="7" t="s">
        <v>708</v>
      </c>
      <c r="I395" s="7" t="s">
        <v>709</v>
      </c>
      <c r="J395" s="7" t="s">
        <v>710</v>
      </c>
      <c r="K395" s="8"/>
      <c r="L395" s="8" t="s">
        <v>33</v>
      </c>
      <c r="M395" s="9">
        <f t="shared" si="1"/>
        <v>56</v>
      </c>
    </row>
    <row r="396" ht="12.75" customHeight="1">
      <c r="A396" s="4">
        <f t="shared" si="2"/>
        <v>395</v>
      </c>
      <c r="B396" s="4" t="s">
        <v>929</v>
      </c>
      <c r="C396" s="5" t="s">
        <v>930</v>
      </c>
      <c r="D396" s="4"/>
      <c r="E396" s="4"/>
      <c r="F396" s="4" t="s">
        <v>22</v>
      </c>
      <c r="G396" s="21">
        <v>35.36</v>
      </c>
      <c r="H396" s="7" t="s">
        <v>708</v>
      </c>
      <c r="I396" s="7" t="s">
        <v>709</v>
      </c>
      <c r="J396" s="7" t="s">
        <v>710</v>
      </c>
      <c r="K396" s="8"/>
      <c r="L396" s="8" t="s">
        <v>33</v>
      </c>
      <c r="M396" s="9">
        <f t="shared" si="1"/>
        <v>55</v>
      </c>
    </row>
    <row r="397" ht="12.75" customHeight="1">
      <c r="A397" s="4">
        <f t="shared" si="2"/>
        <v>396</v>
      </c>
      <c r="B397" s="4" t="s">
        <v>931</v>
      </c>
      <c r="C397" s="5" t="s">
        <v>932</v>
      </c>
      <c r="D397" s="4"/>
      <c r="E397" s="4"/>
      <c r="F397" s="4" t="s">
        <v>22</v>
      </c>
      <c r="G397" s="21">
        <v>44.03</v>
      </c>
      <c r="H397" s="7" t="s">
        <v>708</v>
      </c>
      <c r="I397" s="7" t="s">
        <v>709</v>
      </c>
      <c r="J397" s="7" t="s">
        <v>710</v>
      </c>
      <c r="K397" s="8"/>
      <c r="L397" s="8" t="s">
        <v>33</v>
      </c>
      <c r="M397" s="9">
        <f t="shared" si="1"/>
        <v>56</v>
      </c>
    </row>
    <row r="398" ht="12.75" customHeight="1">
      <c r="A398" s="4">
        <f t="shared" si="2"/>
        <v>397</v>
      </c>
      <c r="B398" s="4" t="s">
        <v>933</v>
      </c>
      <c r="C398" s="5" t="s">
        <v>934</v>
      </c>
      <c r="D398" s="4"/>
      <c r="E398" s="4"/>
      <c r="F398" s="4" t="s">
        <v>22</v>
      </c>
      <c r="G398" s="21">
        <v>48.6</v>
      </c>
      <c r="H398" s="7" t="s">
        <v>708</v>
      </c>
      <c r="I398" s="7" t="s">
        <v>709</v>
      </c>
      <c r="J398" s="7" t="s">
        <v>710</v>
      </c>
      <c r="K398" s="8"/>
      <c r="L398" s="8" t="s">
        <v>33</v>
      </c>
      <c r="M398" s="9">
        <f t="shared" si="1"/>
        <v>55</v>
      </c>
    </row>
    <row r="399" ht="12.75" customHeight="1">
      <c r="A399" s="4">
        <f t="shared" si="2"/>
        <v>398</v>
      </c>
      <c r="B399" s="4" t="s">
        <v>935</v>
      </c>
      <c r="C399" s="5" t="s">
        <v>936</v>
      </c>
      <c r="D399" s="4"/>
      <c r="E399" s="4"/>
      <c r="F399" s="4" t="s">
        <v>22</v>
      </c>
      <c r="G399" s="21">
        <v>33.45</v>
      </c>
      <c r="H399" s="7" t="s">
        <v>708</v>
      </c>
      <c r="I399" s="7" t="s">
        <v>709</v>
      </c>
      <c r="J399" s="7" t="s">
        <v>710</v>
      </c>
      <c r="K399" s="8"/>
      <c r="L399" s="8" t="s">
        <v>33</v>
      </c>
      <c r="M399" s="9">
        <f t="shared" si="1"/>
        <v>56</v>
      </c>
    </row>
    <row r="400" ht="12.75" customHeight="1">
      <c r="A400" s="4">
        <f t="shared" si="2"/>
        <v>399</v>
      </c>
      <c r="B400" s="4" t="s">
        <v>937</v>
      </c>
      <c r="C400" s="5" t="s">
        <v>938</v>
      </c>
      <c r="D400" s="4"/>
      <c r="E400" s="4"/>
      <c r="F400" s="4" t="s">
        <v>22</v>
      </c>
      <c r="G400" s="21">
        <v>33.22</v>
      </c>
      <c r="H400" s="7" t="s">
        <v>708</v>
      </c>
      <c r="I400" s="7" t="s">
        <v>709</v>
      </c>
      <c r="J400" s="7" t="s">
        <v>710</v>
      </c>
      <c r="K400" s="8"/>
      <c r="L400" s="8" t="s">
        <v>33</v>
      </c>
      <c r="M400" s="9">
        <f t="shared" si="1"/>
        <v>51</v>
      </c>
    </row>
    <row r="401" ht="12.75" customHeight="1">
      <c r="A401" s="4">
        <f t="shared" si="2"/>
        <v>400</v>
      </c>
      <c r="B401" s="4" t="s">
        <v>939</v>
      </c>
      <c r="C401" s="5" t="s">
        <v>940</v>
      </c>
      <c r="D401" s="4"/>
      <c r="E401" s="4"/>
      <c r="F401" s="4" t="s">
        <v>22</v>
      </c>
      <c r="G401" s="21">
        <v>32.68</v>
      </c>
      <c r="H401" s="7" t="s">
        <v>708</v>
      </c>
      <c r="I401" s="7" t="s">
        <v>709</v>
      </c>
      <c r="J401" s="7" t="s">
        <v>710</v>
      </c>
      <c r="K401" s="8"/>
      <c r="L401" s="8" t="s">
        <v>33</v>
      </c>
      <c r="M401" s="9">
        <f t="shared" si="1"/>
        <v>55</v>
      </c>
    </row>
    <row r="402" ht="12.75" customHeight="1">
      <c r="A402" s="4">
        <f t="shared" si="2"/>
        <v>401</v>
      </c>
      <c r="B402" s="4" t="s">
        <v>941</v>
      </c>
      <c r="C402" s="5" t="s">
        <v>942</v>
      </c>
      <c r="D402" s="4"/>
      <c r="E402" s="4"/>
      <c r="F402" s="4" t="s">
        <v>22</v>
      </c>
      <c r="G402" s="21">
        <v>33.22</v>
      </c>
      <c r="H402" s="7" t="s">
        <v>708</v>
      </c>
      <c r="I402" s="7" t="s">
        <v>709</v>
      </c>
      <c r="J402" s="7" t="s">
        <v>710</v>
      </c>
      <c r="K402" s="8"/>
      <c r="L402" s="8" t="s">
        <v>33</v>
      </c>
      <c r="M402" s="9">
        <f t="shared" si="1"/>
        <v>55</v>
      </c>
    </row>
    <row r="403" ht="12.75" customHeight="1">
      <c r="A403" s="4">
        <f t="shared" si="2"/>
        <v>402</v>
      </c>
      <c r="B403" s="4" t="s">
        <v>943</v>
      </c>
      <c r="C403" s="5" t="s">
        <v>944</v>
      </c>
      <c r="D403" s="4"/>
      <c r="E403" s="4"/>
      <c r="F403" s="4" t="s">
        <v>22</v>
      </c>
      <c r="G403" s="21">
        <v>21.05</v>
      </c>
      <c r="H403" s="7" t="s">
        <v>708</v>
      </c>
      <c r="I403" s="7" t="s">
        <v>709</v>
      </c>
      <c r="J403" s="7" t="s">
        <v>710</v>
      </c>
      <c r="K403" s="8"/>
      <c r="L403" s="8" t="s">
        <v>33</v>
      </c>
      <c r="M403" s="9">
        <f t="shared" si="1"/>
        <v>54</v>
      </c>
    </row>
    <row r="404" ht="12.75" customHeight="1">
      <c r="A404" s="4">
        <f t="shared" si="2"/>
        <v>403</v>
      </c>
      <c r="B404" s="4" t="s">
        <v>945</v>
      </c>
      <c r="C404" s="5" t="s">
        <v>946</v>
      </c>
      <c r="D404" s="4"/>
      <c r="E404" s="4"/>
      <c r="F404" s="4" t="s">
        <v>22</v>
      </c>
      <c r="G404" s="21">
        <v>21.86</v>
      </c>
      <c r="H404" s="7" t="s">
        <v>708</v>
      </c>
      <c r="I404" s="7" t="s">
        <v>709</v>
      </c>
      <c r="J404" s="7" t="s">
        <v>710</v>
      </c>
      <c r="K404" s="8"/>
      <c r="L404" s="8" t="s">
        <v>33</v>
      </c>
      <c r="M404" s="9">
        <f t="shared" si="1"/>
        <v>54</v>
      </c>
    </row>
    <row r="405" ht="12.75" customHeight="1">
      <c r="A405" s="4">
        <f t="shared" si="2"/>
        <v>404</v>
      </c>
      <c r="B405" s="4" t="s">
        <v>947</v>
      </c>
      <c r="C405" s="5" t="s">
        <v>948</v>
      </c>
      <c r="D405" s="4"/>
      <c r="E405" s="4"/>
      <c r="F405" s="4" t="s">
        <v>22</v>
      </c>
      <c r="G405" s="21">
        <v>21.86</v>
      </c>
      <c r="H405" s="7" t="s">
        <v>708</v>
      </c>
      <c r="I405" s="7" t="s">
        <v>709</v>
      </c>
      <c r="J405" s="7" t="s">
        <v>710</v>
      </c>
      <c r="K405" s="8"/>
      <c r="L405" s="8" t="s">
        <v>33</v>
      </c>
      <c r="M405" s="9">
        <f t="shared" si="1"/>
        <v>54</v>
      </c>
    </row>
    <row r="406" ht="12.75" customHeight="1">
      <c r="A406" s="4">
        <f t="shared" si="2"/>
        <v>405</v>
      </c>
      <c r="B406" s="4" t="s">
        <v>949</v>
      </c>
      <c r="C406" s="5" t="s">
        <v>950</v>
      </c>
      <c r="D406" s="4"/>
      <c r="E406" s="4"/>
      <c r="F406" s="4" t="s">
        <v>22</v>
      </c>
      <c r="G406" s="21">
        <v>64.57</v>
      </c>
      <c r="H406" s="7" t="s">
        <v>708</v>
      </c>
      <c r="I406" s="7" t="s">
        <v>709</v>
      </c>
      <c r="J406" s="7" t="s">
        <v>710</v>
      </c>
      <c r="K406" s="8"/>
      <c r="L406" s="8" t="s">
        <v>33</v>
      </c>
      <c r="M406" s="9">
        <f t="shared" si="1"/>
        <v>55</v>
      </c>
    </row>
    <row r="407" ht="12.75" customHeight="1">
      <c r="A407" s="4">
        <f t="shared" si="2"/>
        <v>406</v>
      </c>
      <c r="B407" s="4" t="s">
        <v>951</v>
      </c>
      <c r="C407" s="5" t="s">
        <v>952</v>
      </c>
      <c r="D407" s="4"/>
      <c r="E407" s="4"/>
      <c r="F407" s="4" t="s">
        <v>22</v>
      </c>
      <c r="G407" s="21">
        <v>61.25</v>
      </c>
      <c r="H407" s="7" t="s">
        <v>708</v>
      </c>
      <c r="I407" s="7" t="s">
        <v>709</v>
      </c>
      <c r="J407" s="7" t="s">
        <v>710</v>
      </c>
      <c r="K407" s="8"/>
      <c r="L407" s="8" t="s">
        <v>33</v>
      </c>
      <c r="M407" s="9">
        <f t="shared" si="1"/>
        <v>51</v>
      </c>
    </row>
    <row r="408" ht="12.75" customHeight="1">
      <c r="A408" s="4">
        <f t="shared" si="2"/>
        <v>407</v>
      </c>
      <c r="B408" s="4" t="s">
        <v>953</v>
      </c>
      <c r="C408" s="5" t="s">
        <v>954</v>
      </c>
      <c r="D408" s="4"/>
      <c r="E408" s="4"/>
      <c r="F408" s="4" t="s">
        <v>22</v>
      </c>
      <c r="G408" s="21">
        <v>21.86</v>
      </c>
      <c r="H408" s="7" t="s">
        <v>708</v>
      </c>
      <c r="I408" s="7" t="s">
        <v>709</v>
      </c>
      <c r="J408" s="7" t="s">
        <v>710</v>
      </c>
      <c r="K408" s="8"/>
      <c r="L408" s="8" t="s">
        <v>33</v>
      </c>
      <c r="M408" s="9">
        <f t="shared" si="1"/>
        <v>54</v>
      </c>
    </row>
    <row r="409" ht="12.75" customHeight="1">
      <c r="A409" s="4">
        <f t="shared" si="2"/>
        <v>408</v>
      </c>
      <c r="B409" s="4" t="s">
        <v>955</v>
      </c>
      <c r="C409" s="5" t="s">
        <v>956</v>
      </c>
      <c r="D409" s="4"/>
      <c r="E409" s="4"/>
      <c r="F409" s="4" t="s">
        <v>22</v>
      </c>
      <c r="G409" s="21">
        <v>21.86</v>
      </c>
      <c r="H409" s="7" t="s">
        <v>708</v>
      </c>
      <c r="I409" s="7" t="s">
        <v>709</v>
      </c>
      <c r="J409" s="7" t="s">
        <v>710</v>
      </c>
      <c r="K409" s="8"/>
      <c r="L409" s="8" t="s">
        <v>33</v>
      </c>
      <c r="M409" s="9">
        <f t="shared" si="1"/>
        <v>54</v>
      </c>
    </row>
    <row r="410" ht="12.75" customHeight="1">
      <c r="A410" s="4">
        <f t="shared" si="2"/>
        <v>409</v>
      </c>
      <c r="B410" s="4" t="s">
        <v>957</v>
      </c>
      <c r="C410" s="5" t="s">
        <v>958</v>
      </c>
      <c r="D410" s="4"/>
      <c r="E410" s="4"/>
      <c r="F410" s="4" t="s">
        <v>22</v>
      </c>
      <c r="G410" s="21">
        <v>21.86</v>
      </c>
      <c r="H410" s="7" t="s">
        <v>708</v>
      </c>
      <c r="I410" s="7" t="s">
        <v>709</v>
      </c>
      <c r="J410" s="7" t="s">
        <v>710</v>
      </c>
      <c r="K410" s="8"/>
      <c r="L410" s="8" t="s">
        <v>33</v>
      </c>
      <c r="M410" s="9">
        <f t="shared" si="1"/>
        <v>54</v>
      </c>
    </row>
    <row r="411" ht="12.75" customHeight="1">
      <c r="A411" s="4">
        <f t="shared" si="2"/>
        <v>410</v>
      </c>
      <c r="B411" s="4" t="s">
        <v>959</v>
      </c>
      <c r="C411" s="5" t="s">
        <v>960</v>
      </c>
      <c r="D411" s="4"/>
      <c r="E411" s="4"/>
      <c r="F411" s="4" t="s">
        <v>22</v>
      </c>
      <c r="G411" s="21">
        <v>21.86</v>
      </c>
      <c r="H411" s="7" t="s">
        <v>708</v>
      </c>
      <c r="I411" s="7" t="s">
        <v>709</v>
      </c>
      <c r="J411" s="7" t="s">
        <v>710</v>
      </c>
      <c r="K411" s="8"/>
      <c r="L411" s="8" t="s">
        <v>33</v>
      </c>
      <c r="M411" s="9">
        <f t="shared" si="1"/>
        <v>54</v>
      </c>
    </row>
    <row r="412" ht="12.75" customHeight="1">
      <c r="A412" s="4">
        <f t="shared" si="2"/>
        <v>411</v>
      </c>
      <c r="B412" s="4" t="s">
        <v>961</v>
      </c>
      <c r="C412" s="5" t="s">
        <v>962</v>
      </c>
      <c r="D412" s="4"/>
      <c r="E412" s="4"/>
      <c r="F412" s="4" t="s">
        <v>22</v>
      </c>
      <c r="G412" s="21">
        <v>21.86</v>
      </c>
      <c r="H412" s="7" t="s">
        <v>708</v>
      </c>
      <c r="I412" s="7" t="s">
        <v>709</v>
      </c>
      <c r="J412" s="7" t="s">
        <v>710</v>
      </c>
      <c r="K412" s="8"/>
      <c r="L412" s="8" t="s">
        <v>33</v>
      </c>
      <c r="M412" s="9">
        <f t="shared" si="1"/>
        <v>54</v>
      </c>
    </row>
    <row r="413" ht="12.75" customHeight="1">
      <c r="A413" s="4">
        <f t="shared" si="2"/>
        <v>412</v>
      </c>
      <c r="B413" s="4" t="s">
        <v>963</v>
      </c>
      <c r="C413" s="5" t="s">
        <v>964</v>
      </c>
      <c r="D413" s="4"/>
      <c r="E413" s="4"/>
      <c r="F413" s="4" t="s">
        <v>22</v>
      </c>
      <c r="G413" s="21">
        <v>21.86</v>
      </c>
      <c r="H413" s="7" t="s">
        <v>708</v>
      </c>
      <c r="I413" s="7" t="s">
        <v>709</v>
      </c>
      <c r="J413" s="7" t="s">
        <v>710</v>
      </c>
      <c r="K413" s="8"/>
      <c r="L413" s="8" t="s">
        <v>33</v>
      </c>
      <c r="M413" s="9">
        <f t="shared" si="1"/>
        <v>54</v>
      </c>
    </row>
    <row r="414" ht="12.75" customHeight="1">
      <c r="A414" s="4">
        <f t="shared" si="2"/>
        <v>413</v>
      </c>
      <c r="B414" s="4" t="s">
        <v>965</v>
      </c>
      <c r="C414" s="5" t="s">
        <v>966</v>
      </c>
      <c r="D414" s="4"/>
      <c r="E414" s="4"/>
      <c r="F414" s="4" t="s">
        <v>22</v>
      </c>
      <c r="G414" s="21">
        <v>22.41</v>
      </c>
      <c r="H414" s="7" t="s">
        <v>708</v>
      </c>
      <c r="I414" s="7" t="s">
        <v>709</v>
      </c>
      <c r="J414" s="7" t="s">
        <v>710</v>
      </c>
      <c r="K414" s="8"/>
      <c r="L414" s="8" t="s">
        <v>33</v>
      </c>
      <c r="M414" s="9">
        <f t="shared" si="1"/>
        <v>54</v>
      </c>
    </row>
    <row r="415" ht="12.75" customHeight="1">
      <c r="A415" s="4">
        <f t="shared" si="2"/>
        <v>414</v>
      </c>
      <c r="B415" s="4" t="s">
        <v>967</v>
      </c>
      <c r="C415" s="5" t="s">
        <v>968</v>
      </c>
      <c r="D415" s="4"/>
      <c r="E415" s="4"/>
      <c r="F415" s="4" t="s">
        <v>22</v>
      </c>
      <c r="G415" s="21">
        <v>21.86</v>
      </c>
      <c r="H415" s="7" t="s">
        <v>708</v>
      </c>
      <c r="I415" s="7" t="s">
        <v>709</v>
      </c>
      <c r="J415" s="7" t="s">
        <v>710</v>
      </c>
      <c r="K415" s="8"/>
      <c r="L415" s="8" t="s">
        <v>33</v>
      </c>
      <c r="M415" s="9">
        <f t="shared" si="1"/>
        <v>53</v>
      </c>
    </row>
    <row r="416" ht="12.75" customHeight="1">
      <c r="A416" s="4">
        <f t="shared" si="2"/>
        <v>415</v>
      </c>
      <c r="B416" s="4" t="s">
        <v>969</v>
      </c>
      <c r="C416" s="5" t="s">
        <v>970</v>
      </c>
      <c r="D416" s="4"/>
      <c r="E416" s="4"/>
      <c r="F416" s="4" t="s">
        <v>22</v>
      </c>
      <c r="G416" s="21">
        <v>22.41</v>
      </c>
      <c r="H416" s="7" t="s">
        <v>708</v>
      </c>
      <c r="I416" s="7" t="s">
        <v>709</v>
      </c>
      <c r="J416" s="7" t="s">
        <v>710</v>
      </c>
      <c r="K416" s="8"/>
      <c r="L416" s="8" t="s">
        <v>33</v>
      </c>
      <c r="M416" s="9">
        <f t="shared" si="1"/>
        <v>54</v>
      </c>
    </row>
    <row r="417" ht="12.75" customHeight="1">
      <c r="A417" s="4">
        <f t="shared" si="2"/>
        <v>416</v>
      </c>
      <c r="B417" s="4" t="s">
        <v>971</v>
      </c>
      <c r="C417" s="5" t="s">
        <v>972</v>
      </c>
      <c r="D417" s="4"/>
      <c r="E417" s="4"/>
      <c r="F417" s="4" t="s">
        <v>22</v>
      </c>
      <c r="G417" s="21">
        <v>23.22</v>
      </c>
      <c r="H417" s="7" t="s">
        <v>708</v>
      </c>
      <c r="I417" s="7" t="s">
        <v>709</v>
      </c>
      <c r="J417" s="7" t="s">
        <v>710</v>
      </c>
      <c r="K417" s="8"/>
      <c r="L417" s="8" t="s">
        <v>33</v>
      </c>
      <c r="M417" s="9">
        <f t="shared" si="1"/>
        <v>54</v>
      </c>
    </row>
    <row r="418" ht="12.75" customHeight="1">
      <c r="A418" s="4">
        <f t="shared" si="2"/>
        <v>417</v>
      </c>
      <c r="B418" s="4" t="s">
        <v>973</v>
      </c>
      <c r="C418" s="5" t="s">
        <v>974</v>
      </c>
      <c r="D418" s="4"/>
      <c r="E418" s="4"/>
      <c r="F418" s="4" t="s">
        <v>22</v>
      </c>
      <c r="G418" s="21">
        <v>24.84</v>
      </c>
      <c r="H418" s="7" t="s">
        <v>708</v>
      </c>
      <c r="I418" s="7" t="s">
        <v>709</v>
      </c>
      <c r="J418" s="7" t="s">
        <v>710</v>
      </c>
      <c r="K418" s="8"/>
      <c r="L418" s="8" t="s">
        <v>33</v>
      </c>
      <c r="M418" s="9">
        <f t="shared" si="1"/>
        <v>54</v>
      </c>
    </row>
    <row r="419" ht="12.75" customHeight="1">
      <c r="A419" s="4">
        <f t="shared" si="2"/>
        <v>418</v>
      </c>
      <c r="B419" s="4" t="s">
        <v>975</v>
      </c>
      <c r="C419" s="5" t="s">
        <v>976</v>
      </c>
      <c r="D419" s="4"/>
      <c r="E419" s="4"/>
      <c r="F419" s="4" t="s">
        <v>22</v>
      </c>
      <c r="G419" s="21">
        <v>24.84</v>
      </c>
      <c r="H419" s="7" t="s">
        <v>708</v>
      </c>
      <c r="I419" s="7" t="s">
        <v>709</v>
      </c>
      <c r="J419" s="7" t="s">
        <v>710</v>
      </c>
      <c r="K419" s="8"/>
      <c r="L419" s="8" t="s">
        <v>33</v>
      </c>
      <c r="M419" s="9">
        <f t="shared" si="1"/>
        <v>54</v>
      </c>
    </row>
    <row r="420" ht="12.75" customHeight="1">
      <c r="A420" s="4">
        <f t="shared" si="2"/>
        <v>419</v>
      </c>
      <c r="B420" s="4" t="s">
        <v>977</v>
      </c>
      <c r="C420" s="5" t="s">
        <v>978</v>
      </c>
      <c r="D420" s="4"/>
      <c r="E420" s="4"/>
      <c r="F420" s="4" t="s">
        <v>22</v>
      </c>
      <c r="G420" s="21">
        <v>26.46</v>
      </c>
      <c r="H420" s="7" t="s">
        <v>708</v>
      </c>
      <c r="I420" s="7" t="s">
        <v>709</v>
      </c>
      <c r="J420" s="7" t="s">
        <v>710</v>
      </c>
      <c r="K420" s="8"/>
      <c r="L420" s="8" t="s">
        <v>33</v>
      </c>
      <c r="M420" s="9">
        <f t="shared" si="1"/>
        <v>54</v>
      </c>
    </row>
    <row r="421" ht="12.75" customHeight="1">
      <c r="A421" s="4">
        <f t="shared" si="2"/>
        <v>420</v>
      </c>
      <c r="B421" s="4" t="s">
        <v>979</v>
      </c>
      <c r="C421" s="5" t="s">
        <v>980</v>
      </c>
      <c r="D421" s="4"/>
      <c r="E421" s="4"/>
      <c r="F421" s="4" t="s">
        <v>22</v>
      </c>
      <c r="G421" s="21">
        <v>27.54</v>
      </c>
      <c r="H421" s="7" t="s">
        <v>708</v>
      </c>
      <c r="I421" s="7" t="s">
        <v>709</v>
      </c>
      <c r="J421" s="7" t="s">
        <v>710</v>
      </c>
      <c r="K421" s="8"/>
      <c r="L421" s="8" t="s">
        <v>33</v>
      </c>
      <c r="M421" s="9">
        <f t="shared" si="1"/>
        <v>54</v>
      </c>
    </row>
    <row r="422" ht="12.75" customHeight="1">
      <c r="A422" s="4">
        <f t="shared" si="2"/>
        <v>421</v>
      </c>
      <c r="B422" s="4" t="s">
        <v>981</v>
      </c>
      <c r="C422" s="5" t="s">
        <v>982</v>
      </c>
      <c r="D422" s="4"/>
      <c r="E422" s="4"/>
      <c r="F422" s="4" t="s">
        <v>22</v>
      </c>
      <c r="G422" s="21">
        <v>31.05</v>
      </c>
      <c r="H422" s="7" t="s">
        <v>708</v>
      </c>
      <c r="I422" s="7" t="s">
        <v>709</v>
      </c>
      <c r="J422" s="7" t="s">
        <v>710</v>
      </c>
      <c r="K422" s="8"/>
      <c r="L422" s="8" t="s">
        <v>33</v>
      </c>
      <c r="M422" s="9">
        <f t="shared" si="1"/>
        <v>54</v>
      </c>
    </row>
    <row r="423" ht="12.75" customHeight="1">
      <c r="A423" s="4">
        <f t="shared" si="2"/>
        <v>422</v>
      </c>
      <c r="B423" s="4" t="s">
        <v>983</v>
      </c>
      <c r="C423" s="5" t="s">
        <v>984</v>
      </c>
      <c r="D423" s="4"/>
      <c r="E423" s="4"/>
      <c r="F423" s="4" t="s">
        <v>22</v>
      </c>
      <c r="G423" s="21">
        <v>43.22</v>
      </c>
      <c r="H423" s="7" t="s">
        <v>708</v>
      </c>
      <c r="I423" s="7" t="s">
        <v>709</v>
      </c>
      <c r="J423" s="7" t="s">
        <v>710</v>
      </c>
      <c r="K423" s="8"/>
      <c r="L423" s="8" t="s">
        <v>33</v>
      </c>
      <c r="M423" s="9">
        <f t="shared" si="1"/>
        <v>54</v>
      </c>
    </row>
    <row r="424" ht="12.75" customHeight="1">
      <c r="A424" s="4">
        <f t="shared" si="2"/>
        <v>423</v>
      </c>
      <c r="B424" s="4" t="s">
        <v>985</v>
      </c>
      <c r="C424" s="5" t="s">
        <v>986</v>
      </c>
      <c r="D424" s="4"/>
      <c r="E424" s="4"/>
      <c r="F424" s="4" t="s">
        <v>22</v>
      </c>
      <c r="G424" s="21">
        <v>52.95</v>
      </c>
      <c r="H424" s="7" t="s">
        <v>708</v>
      </c>
      <c r="I424" s="7" t="s">
        <v>709</v>
      </c>
      <c r="J424" s="7" t="s">
        <v>710</v>
      </c>
      <c r="K424" s="8"/>
      <c r="L424" s="8" t="s">
        <v>33</v>
      </c>
      <c r="M424" s="9">
        <f t="shared" si="1"/>
        <v>54</v>
      </c>
    </row>
    <row r="425" ht="12.75" customHeight="1">
      <c r="A425" s="4">
        <f t="shared" si="2"/>
        <v>424</v>
      </c>
      <c r="B425" s="4" t="s">
        <v>987</v>
      </c>
      <c r="C425" s="5" t="s">
        <v>988</v>
      </c>
      <c r="D425" s="4"/>
      <c r="E425" s="4"/>
      <c r="F425" s="4" t="s">
        <v>22</v>
      </c>
      <c r="G425" s="21">
        <v>33.22</v>
      </c>
      <c r="H425" s="7" t="s">
        <v>708</v>
      </c>
      <c r="I425" s="7" t="s">
        <v>709</v>
      </c>
      <c r="J425" s="7" t="s">
        <v>710</v>
      </c>
      <c r="K425" s="8"/>
      <c r="L425" s="8" t="s">
        <v>33</v>
      </c>
      <c r="M425" s="9">
        <f t="shared" si="1"/>
        <v>53</v>
      </c>
    </row>
    <row r="426" ht="12.75" customHeight="1">
      <c r="A426" s="4">
        <f t="shared" si="2"/>
        <v>425</v>
      </c>
      <c r="B426" s="4" t="s">
        <v>989</v>
      </c>
      <c r="C426" s="5" t="s">
        <v>990</v>
      </c>
      <c r="D426" s="4"/>
      <c r="E426" s="4"/>
      <c r="F426" s="4" t="s">
        <v>22</v>
      </c>
      <c r="G426" s="21">
        <v>25.11</v>
      </c>
      <c r="H426" s="7" t="s">
        <v>708</v>
      </c>
      <c r="I426" s="7" t="s">
        <v>709</v>
      </c>
      <c r="J426" s="7" t="s">
        <v>710</v>
      </c>
      <c r="K426" s="8"/>
      <c r="L426" s="8" t="s">
        <v>33</v>
      </c>
      <c r="M426" s="9">
        <f t="shared" si="1"/>
        <v>53</v>
      </c>
    </row>
    <row r="427" ht="12.75" customHeight="1">
      <c r="A427" s="4">
        <f t="shared" si="2"/>
        <v>426</v>
      </c>
      <c r="B427" s="4" t="s">
        <v>991</v>
      </c>
      <c r="C427" s="5" t="s">
        <v>992</v>
      </c>
      <c r="D427" s="4"/>
      <c r="E427" s="4"/>
      <c r="F427" s="4" t="s">
        <v>22</v>
      </c>
      <c r="G427" s="21">
        <v>25.11</v>
      </c>
      <c r="H427" s="7" t="s">
        <v>708</v>
      </c>
      <c r="I427" s="7" t="s">
        <v>709</v>
      </c>
      <c r="J427" s="7" t="s">
        <v>710</v>
      </c>
      <c r="K427" s="8"/>
      <c r="L427" s="8" t="s">
        <v>33</v>
      </c>
      <c r="M427" s="9">
        <f t="shared" si="1"/>
        <v>53</v>
      </c>
    </row>
    <row r="428" ht="12.75" customHeight="1">
      <c r="A428" s="4">
        <f t="shared" si="2"/>
        <v>427</v>
      </c>
      <c r="B428" s="4" t="s">
        <v>993</v>
      </c>
      <c r="C428" s="5" t="s">
        <v>994</v>
      </c>
      <c r="D428" s="4"/>
      <c r="E428" s="4"/>
      <c r="F428" s="4" t="s">
        <v>22</v>
      </c>
      <c r="G428" s="21">
        <v>25.65</v>
      </c>
      <c r="H428" s="7" t="s">
        <v>708</v>
      </c>
      <c r="I428" s="7" t="s">
        <v>709</v>
      </c>
      <c r="J428" s="7" t="s">
        <v>710</v>
      </c>
      <c r="K428" s="8"/>
      <c r="L428" s="8" t="s">
        <v>33</v>
      </c>
      <c r="M428" s="9">
        <f t="shared" si="1"/>
        <v>53</v>
      </c>
    </row>
    <row r="429" ht="12.75" customHeight="1">
      <c r="A429" s="4">
        <f t="shared" si="2"/>
        <v>428</v>
      </c>
      <c r="B429" s="4" t="s">
        <v>995</v>
      </c>
      <c r="C429" s="5" t="s">
        <v>996</v>
      </c>
      <c r="D429" s="4"/>
      <c r="E429" s="4"/>
      <c r="F429" s="4" t="s">
        <v>22</v>
      </c>
      <c r="G429" s="21">
        <v>25.65</v>
      </c>
      <c r="H429" s="7" t="s">
        <v>708</v>
      </c>
      <c r="I429" s="7" t="s">
        <v>709</v>
      </c>
      <c r="J429" s="7" t="s">
        <v>710</v>
      </c>
      <c r="K429" s="8"/>
      <c r="L429" s="8" t="s">
        <v>33</v>
      </c>
      <c r="M429" s="9">
        <f t="shared" si="1"/>
        <v>53</v>
      </c>
    </row>
    <row r="430" ht="12.75" customHeight="1">
      <c r="A430" s="4">
        <f t="shared" si="2"/>
        <v>429</v>
      </c>
      <c r="B430" s="4" t="s">
        <v>997</v>
      </c>
      <c r="C430" s="5" t="s">
        <v>998</v>
      </c>
      <c r="D430" s="4"/>
      <c r="E430" s="4"/>
      <c r="F430" s="4" t="s">
        <v>22</v>
      </c>
      <c r="G430" s="21">
        <v>39.97</v>
      </c>
      <c r="H430" s="7" t="s">
        <v>708</v>
      </c>
      <c r="I430" s="7" t="s">
        <v>709</v>
      </c>
      <c r="J430" s="7" t="s">
        <v>710</v>
      </c>
      <c r="K430" s="8"/>
      <c r="L430" s="8" t="s">
        <v>33</v>
      </c>
      <c r="M430" s="9">
        <f t="shared" si="1"/>
        <v>53</v>
      </c>
    </row>
    <row r="431" ht="12.75" customHeight="1">
      <c r="A431" s="4">
        <f t="shared" si="2"/>
        <v>430</v>
      </c>
      <c r="B431" s="4" t="s">
        <v>999</v>
      </c>
      <c r="C431" s="5" t="s">
        <v>1000</v>
      </c>
      <c r="D431" s="4"/>
      <c r="E431" s="4"/>
      <c r="F431" s="4" t="s">
        <v>22</v>
      </c>
      <c r="G431" s="21">
        <v>25.11</v>
      </c>
      <c r="H431" s="7" t="s">
        <v>708</v>
      </c>
      <c r="I431" s="7" t="s">
        <v>709</v>
      </c>
      <c r="J431" s="7" t="s">
        <v>710</v>
      </c>
      <c r="K431" s="8"/>
      <c r="L431" s="8" t="s">
        <v>33</v>
      </c>
      <c r="M431" s="9">
        <f t="shared" si="1"/>
        <v>52</v>
      </c>
    </row>
    <row r="432" ht="12.75" customHeight="1">
      <c r="A432" s="4">
        <f t="shared" si="2"/>
        <v>431</v>
      </c>
      <c r="B432" s="4" t="s">
        <v>1001</v>
      </c>
      <c r="C432" s="5" t="s">
        <v>1002</v>
      </c>
      <c r="D432" s="4"/>
      <c r="E432" s="4"/>
      <c r="F432" s="4" t="s">
        <v>22</v>
      </c>
      <c r="G432" s="21">
        <v>25.11</v>
      </c>
      <c r="H432" s="7" t="s">
        <v>708</v>
      </c>
      <c r="I432" s="7" t="s">
        <v>709</v>
      </c>
      <c r="J432" s="7" t="s">
        <v>710</v>
      </c>
      <c r="K432" s="8"/>
      <c r="L432" s="8" t="s">
        <v>33</v>
      </c>
      <c r="M432" s="9">
        <f t="shared" si="1"/>
        <v>52</v>
      </c>
    </row>
    <row r="433" ht="12.75" customHeight="1">
      <c r="A433" s="4">
        <f t="shared" si="2"/>
        <v>432</v>
      </c>
      <c r="B433" s="4" t="s">
        <v>1003</v>
      </c>
      <c r="C433" s="5" t="s">
        <v>1004</v>
      </c>
      <c r="D433" s="4"/>
      <c r="E433" s="4"/>
      <c r="F433" s="4" t="s">
        <v>22</v>
      </c>
      <c r="G433" s="21">
        <v>40.51</v>
      </c>
      <c r="H433" s="7" t="s">
        <v>708</v>
      </c>
      <c r="I433" s="7" t="s">
        <v>709</v>
      </c>
      <c r="J433" s="7" t="s">
        <v>710</v>
      </c>
      <c r="K433" s="8"/>
      <c r="L433" s="8" t="s">
        <v>33</v>
      </c>
      <c r="M433" s="9">
        <f t="shared" si="1"/>
        <v>53</v>
      </c>
    </row>
    <row r="434" ht="12.75" customHeight="1">
      <c r="A434" s="4">
        <f t="shared" si="2"/>
        <v>433</v>
      </c>
      <c r="B434" s="4" t="s">
        <v>1005</v>
      </c>
      <c r="C434" s="5" t="s">
        <v>1006</v>
      </c>
      <c r="D434" s="4"/>
      <c r="E434" s="4"/>
      <c r="F434" s="4" t="s">
        <v>22</v>
      </c>
      <c r="G434" s="21">
        <v>40.51</v>
      </c>
      <c r="H434" s="7" t="s">
        <v>708</v>
      </c>
      <c r="I434" s="7" t="s">
        <v>709</v>
      </c>
      <c r="J434" s="7" t="s">
        <v>710</v>
      </c>
      <c r="K434" s="8"/>
      <c r="L434" s="8" t="s">
        <v>33</v>
      </c>
      <c r="M434" s="9">
        <f t="shared" si="1"/>
        <v>53</v>
      </c>
    </row>
    <row r="435" ht="12.75" customHeight="1">
      <c r="A435" s="4">
        <f t="shared" si="2"/>
        <v>434</v>
      </c>
      <c r="B435" s="4" t="s">
        <v>1007</v>
      </c>
      <c r="C435" s="5" t="s">
        <v>1008</v>
      </c>
      <c r="D435" s="4"/>
      <c r="E435" s="4"/>
      <c r="F435" s="4" t="s">
        <v>22</v>
      </c>
      <c r="G435" s="21">
        <v>43.22</v>
      </c>
      <c r="H435" s="7" t="s">
        <v>708</v>
      </c>
      <c r="I435" s="7" t="s">
        <v>709</v>
      </c>
      <c r="J435" s="7" t="s">
        <v>710</v>
      </c>
      <c r="K435" s="8"/>
      <c r="L435" s="8" t="s">
        <v>33</v>
      </c>
      <c r="M435" s="9">
        <f t="shared" si="1"/>
        <v>53</v>
      </c>
    </row>
    <row r="436" ht="12.75" customHeight="1">
      <c r="A436" s="4">
        <f t="shared" si="2"/>
        <v>435</v>
      </c>
      <c r="B436" s="4" t="s">
        <v>1009</v>
      </c>
      <c r="C436" s="5" t="s">
        <v>1010</v>
      </c>
      <c r="D436" s="4"/>
      <c r="E436" s="4"/>
      <c r="F436" s="4" t="s">
        <v>22</v>
      </c>
      <c r="G436" s="21">
        <v>20.24</v>
      </c>
      <c r="H436" s="7" t="s">
        <v>708</v>
      </c>
      <c r="I436" s="7" t="s">
        <v>709</v>
      </c>
      <c r="J436" s="7" t="s">
        <v>710</v>
      </c>
      <c r="K436" s="8"/>
      <c r="L436" s="8" t="s">
        <v>33</v>
      </c>
      <c r="M436" s="9">
        <f t="shared" si="1"/>
        <v>58</v>
      </c>
    </row>
    <row r="437" ht="12.75" customHeight="1">
      <c r="A437" s="4">
        <f t="shared" si="2"/>
        <v>436</v>
      </c>
      <c r="B437" s="4" t="s">
        <v>1011</v>
      </c>
      <c r="C437" s="5" t="s">
        <v>1012</v>
      </c>
      <c r="D437" s="4"/>
      <c r="E437" s="4"/>
      <c r="F437" s="4" t="s">
        <v>22</v>
      </c>
      <c r="G437" s="21">
        <v>29.25</v>
      </c>
      <c r="H437" s="7" t="s">
        <v>708</v>
      </c>
      <c r="I437" s="7" t="s">
        <v>709</v>
      </c>
      <c r="J437" s="7" t="s">
        <v>710</v>
      </c>
      <c r="K437" s="8"/>
      <c r="L437" s="8" t="s">
        <v>33</v>
      </c>
      <c r="M437" s="9">
        <f t="shared" si="1"/>
        <v>57</v>
      </c>
    </row>
    <row r="438" ht="12.75" customHeight="1">
      <c r="A438" s="4">
        <f t="shared" si="2"/>
        <v>437</v>
      </c>
      <c r="B438" s="4" t="s">
        <v>1013</v>
      </c>
      <c r="C438" s="5" t="s">
        <v>1014</v>
      </c>
      <c r="D438" s="4"/>
      <c r="E438" s="4"/>
      <c r="F438" s="4" t="s">
        <v>22</v>
      </c>
      <c r="G438" s="21">
        <v>24.03</v>
      </c>
      <c r="H438" s="7" t="s">
        <v>708</v>
      </c>
      <c r="I438" s="7" t="s">
        <v>709</v>
      </c>
      <c r="J438" s="7" t="s">
        <v>710</v>
      </c>
      <c r="K438" s="8"/>
      <c r="L438" s="8" t="s">
        <v>33</v>
      </c>
      <c r="M438" s="9">
        <f t="shared" si="1"/>
        <v>57</v>
      </c>
    </row>
    <row r="439" ht="12.75" customHeight="1">
      <c r="A439" s="4">
        <f t="shared" si="2"/>
        <v>438</v>
      </c>
      <c r="B439" s="4" t="s">
        <v>1015</v>
      </c>
      <c r="C439" s="5" t="s">
        <v>1016</v>
      </c>
      <c r="D439" s="4"/>
      <c r="E439" s="4"/>
      <c r="F439" s="4" t="s">
        <v>22</v>
      </c>
      <c r="G439" s="21">
        <v>22.14</v>
      </c>
      <c r="H439" s="7" t="s">
        <v>708</v>
      </c>
      <c r="I439" s="7" t="s">
        <v>709</v>
      </c>
      <c r="J439" s="7" t="s">
        <v>710</v>
      </c>
      <c r="K439" s="8"/>
      <c r="L439" s="8" t="s">
        <v>33</v>
      </c>
      <c r="M439" s="9">
        <f t="shared" si="1"/>
        <v>57</v>
      </c>
    </row>
    <row r="440" ht="12.75" customHeight="1">
      <c r="A440" s="4">
        <f t="shared" si="2"/>
        <v>439</v>
      </c>
      <c r="B440" s="4" t="s">
        <v>1017</v>
      </c>
      <c r="C440" s="5" t="s">
        <v>1018</v>
      </c>
      <c r="D440" s="4"/>
      <c r="E440" s="4"/>
      <c r="F440" s="4" t="s">
        <v>22</v>
      </c>
      <c r="G440" s="21">
        <v>26.46</v>
      </c>
      <c r="H440" s="7" t="s">
        <v>708</v>
      </c>
      <c r="I440" s="7" t="s">
        <v>709</v>
      </c>
      <c r="J440" s="7" t="s">
        <v>710</v>
      </c>
      <c r="K440" s="8"/>
      <c r="L440" s="8" t="s">
        <v>33</v>
      </c>
      <c r="M440" s="9">
        <f t="shared" si="1"/>
        <v>57</v>
      </c>
    </row>
    <row r="441" ht="12.75" customHeight="1">
      <c r="A441" s="4">
        <f t="shared" si="2"/>
        <v>440</v>
      </c>
      <c r="B441" s="4" t="s">
        <v>1019</v>
      </c>
      <c r="C441" s="5" t="s">
        <v>1020</v>
      </c>
      <c r="D441" s="4"/>
      <c r="E441" s="4"/>
      <c r="F441" s="4" t="s">
        <v>22</v>
      </c>
      <c r="G441" s="21">
        <v>25.11</v>
      </c>
      <c r="H441" s="7" t="s">
        <v>708</v>
      </c>
      <c r="I441" s="7" t="s">
        <v>709</v>
      </c>
      <c r="J441" s="7" t="s">
        <v>710</v>
      </c>
      <c r="K441" s="8"/>
      <c r="L441" s="8" t="s">
        <v>33</v>
      </c>
      <c r="M441" s="9">
        <f t="shared" si="1"/>
        <v>58</v>
      </c>
    </row>
    <row r="442" ht="12.75" customHeight="1">
      <c r="A442" s="4">
        <f t="shared" si="2"/>
        <v>441</v>
      </c>
      <c r="B442" s="4" t="s">
        <v>1021</v>
      </c>
      <c r="C442" s="5" t="s">
        <v>1022</v>
      </c>
      <c r="D442" s="4"/>
      <c r="E442" s="4"/>
      <c r="F442" s="4" t="s">
        <v>22</v>
      </c>
      <c r="G442" s="21">
        <v>27.54</v>
      </c>
      <c r="H442" s="7" t="s">
        <v>708</v>
      </c>
      <c r="I442" s="7" t="s">
        <v>709</v>
      </c>
      <c r="J442" s="7" t="s">
        <v>710</v>
      </c>
      <c r="K442" s="8"/>
      <c r="L442" s="8" t="s">
        <v>33</v>
      </c>
      <c r="M442" s="9">
        <f t="shared" si="1"/>
        <v>58</v>
      </c>
    </row>
    <row r="443" ht="12.75" customHeight="1">
      <c r="A443" s="4">
        <f t="shared" si="2"/>
        <v>442</v>
      </c>
      <c r="B443" s="4" t="s">
        <v>1023</v>
      </c>
      <c r="C443" s="5" t="s">
        <v>1024</v>
      </c>
      <c r="D443" s="4"/>
      <c r="E443" s="4"/>
      <c r="F443" s="4" t="s">
        <v>22</v>
      </c>
      <c r="G443" s="21">
        <v>19.45</v>
      </c>
      <c r="H443" s="7" t="s">
        <v>708</v>
      </c>
      <c r="I443" s="7" t="s">
        <v>709</v>
      </c>
      <c r="J443" s="7" t="s">
        <v>710</v>
      </c>
      <c r="K443" s="8"/>
      <c r="L443" s="8" t="s">
        <v>33</v>
      </c>
      <c r="M443" s="9">
        <f t="shared" si="1"/>
        <v>53</v>
      </c>
    </row>
    <row r="444" ht="12.75" customHeight="1">
      <c r="A444" s="4">
        <f t="shared" si="2"/>
        <v>443</v>
      </c>
      <c r="B444" s="4" t="s">
        <v>1025</v>
      </c>
      <c r="C444" s="5" t="s">
        <v>1026</v>
      </c>
      <c r="D444" s="4"/>
      <c r="E444" s="4"/>
      <c r="F444" s="4" t="s">
        <v>22</v>
      </c>
      <c r="G444" s="21">
        <v>13.76</v>
      </c>
      <c r="H444" s="7" t="s">
        <v>708</v>
      </c>
      <c r="I444" s="7" t="s">
        <v>709</v>
      </c>
      <c r="J444" s="7" t="s">
        <v>710</v>
      </c>
      <c r="K444" s="8"/>
      <c r="L444" s="8" t="s">
        <v>33</v>
      </c>
      <c r="M444" s="9">
        <f t="shared" si="1"/>
        <v>55</v>
      </c>
    </row>
    <row r="445" ht="12.75" customHeight="1">
      <c r="A445" s="4">
        <f t="shared" si="2"/>
        <v>444</v>
      </c>
      <c r="B445" s="4" t="s">
        <v>1027</v>
      </c>
      <c r="C445" s="5" t="s">
        <v>1028</v>
      </c>
      <c r="D445" s="4"/>
      <c r="E445" s="4"/>
      <c r="F445" s="4" t="s">
        <v>22</v>
      </c>
      <c r="G445" s="21">
        <v>19.97</v>
      </c>
      <c r="H445" s="7" t="s">
        <v>708</v>
      </c>
      <c r="I445" s="7" t="s">
        <v>709</v>
      </c>
      <c r="J445" s="7" t="s">
        <v>710</v>
      </c>
      <c r="K445" s="8"/>
      <c r="L445" s="8" t="s">
        <v>33</v>
      </c>
      <c r="M445" s="9">
        <f t="shared" si="1"/>
        <v>56</v>
      </c>
    </row>
    <row r="446" ht="12.75" customHeight="1">
      <c r="A446" s="4">
        <f t="shared" si="2"/>
        <v>445</v>
      </c>
      <c r="B446" s="4" t="s">
        <v>1029</v>
      </c>
      <c r="C446" s="5" t="s">
        <v>1030</v>
      </c>
      <c r="D446" s="4"/>
      <c r="E446" s="4"/>
      <c r="F446" s="4" t="s">
        <v>22</v>
      </c>
      <c r="G446" s="21">
        <v>21.32</v>
      </c>
      <c r="H446" s="7" t="s">
        <v>708</v>
      </c>
      <c r="I446" s="7" t="s">
        <v>709</v>
      </c>
      <c r="J446" s="7" t="s">
        <v>710</v>
      </c>
      <c r="K446" s="8"/>
      <c r="L446" s="8" t="s">
        <v>33</v>
      </c>
      <c r="M446" s="9">
        <f t="shared" si="1"/>
        <v>56</v>
      </c>
    </row>
    <row r="447" ht="12.75" customHeight="1">
      <c r="A447" s="4">
        <f t="shared" si="2"/>
        <v>446</v>
      </c>
      <c r="B447" s="4" t="s">
        <v>1031</v>
      </c>
      <c r="C447" s="5" t="s">
        <v>1032</v>
      </c>
      <c r="D447" s="4"/>
      <c r="E447" s="4"/>
      <c r="F447" s="4" t="s">
        <v>22</v>
      </c>
      <c r="G447" s="21">
        <v>12.2</v>
      </c>
      <c r="H447" s="7" t="s">
        <v>708</v>
      </c>
      <c r="I447" s="7" t="s">
        <v>709</v>
      </c>
      <c r="J447" s="7" t="s">
        <v>710</v>
      </c>
      <c r="K447" s="8"/>
      <c r="L447" s="8" t="s">
        <v>33</v>
      </c>
      <c r="M447" s="9">
        <f t="shared" si="1"/>
        <v>57</v>
      </c>
    </row>
    <row r="448" ht="12.75" customHeight="1">
      <c r="A448" s="4">
        <f t="shared" si="2"/>
        <v>447</v>
      </c>
      <c r="B448" s="4" t="s">
        <v>1033</v>
      </c>
      <c r="C448" s="5" t="s">
        <v>1034</v>
      </c>
      <c r="D448" s="4"/>
      <c r="E448" s="4"/>
      <c r="F448" s="4" t="s">
        <v>22</v>
      </c>
      <c r="G448" s="21">
        <v>21.32</v>
      </c>
      <c r="H448" s="7" t="s">
        <v>708</v>
      </c>
      <c r="I448" s="7" t="s">
        <v>709</v>
      </c>
      <c r="J448" s="7" t="s">
        <v>710</v>
      </c>
      <c r="K448" s="8"/>
      <c r="L448" s="8" t="s">
        <v>33</v>
      </c>
      <c r="M448" s="9">
        <f t="shared" si="1"/>
        <v>56</v>
      </c>
    </row>
    <row r="449" ht="12.75" customHeight="1">
      <c r="A449" s="4">
        <f t="shared" si="2"/>
        <v>448</v>
      </c>
      <c r="B449" s="4" t="s">
        <v>1035</v>
      </c>
      <c r="C449" s="5" t="s">
        <v>1036</v>
      </c>
      <c r="D449" s="4"/>
      <c r="E449" s="4"/>
      <c r="F449" s="4" t="s">
        <v>22</v>
      </c>
      <c r="G449" s="21">
        <v>21.32</v>
      </c>
      <c r="H449" s="7" t="s">
        <v>708</v>
      </c>
      <c r="I449" s="7" t="s">
        <v>709</v>
      </c>
      <c r="J449" s="7" t="s">
        <v>710</v>
      </c>
      <c r="K449" s="8"/>
      <c r="L449" s="8" t="s">
        <v>33</v>
      </c>
      <c r="M449" s="9">
        <f t="shared" si="1"/>
        <v>56</v>
      </c>
    </row>
    <row r="450" ht="12.75" customHeight="1">
      <c r="A450" s="4">
        <f t="shared" si="2"/>
        <v>449</v>
      </c>
      <c r="B450" s="4" t="s">
        <v>1037</v>
      </c>
      <c r="C450" s="5" t="s">
        <v>1038</v>
      </c>
      <c r="D450" s="4"/>
      <c r="E450" s="4"/>
      <c r="F450" s="4" t="s">
        <v>22</v>
      </c>
      <c r="G450" s="21">
        <v>15.2</v>
      </c>
      <c r="H450" s="7" t="s">
        <v>708</v>
      </c>
      <c r="I450" s="7" t="s">
        <v>709</v>
      </c>
      <c r="J450" s="7" t="s">
        <v>710</v>
      </c>
      <c r="K450" s="8"/>
      <c r="L450" s="8" t="s">
        <v>33</v>
      </c>
      <c r="M450" s="9">
        <f t="shared" si="1"/>
        <v>57</v>
      </c>
    </row>
    <row r="451" ht="12.75" customHeight="1">
      <c r="A451" s="4">
        <f t="shared" si="2"/>
        <v>450</v>
      </c>
      <c r="B451" s="4" t="s">
        <v>1039</v>
      </c>
      <c r="C451" s="5" t="s">
        <v>1040</v>
      </c>
      <c r="D451" s="4"/>
      <c r="E451" s="4"/>
      <c r="F451" s="4" t="s">
        <v>22</v>
      </c>
      <c r="G451" s="21">
        <v>21.32</v>
      </c>
      <c r="H451" s="7" t="s">
        <v>708</v>
      </c>
      <c r="I451" s="7" t="s">
        <v>709</v>
      </c>
      <c r="J451" s="7" t="s">
        <v>710</v>
      </c>
      <c r="K451" s="8"/>
      <c r="L451" s="8" t="s">
        <v>33</v>
      </c>
      <c r="M451" s="9">
        <f t="shared" si="1"/>
        <v>56</v>
      </c>
    </row>
    <row r="452" ht="12.75" customHeight="1">
      <c r="A452" s="4">
        <f t="shared" si="2"/>
        <v>451</v>
      </c>
      <c r="B452" s="4" t="s">
        <v>1041</v>
      </c>
      <c r="C452" s="5" t="s">
        <v>1042</v>
      </c>
      <c r="D452" s="4"/>
      <c r="E452" s="4"/>
      <c r="F452" s="4" t="s">
        <v>22</v>
      </c>
      <c r="G452" s="21">
        <v>21.32</v>
      </c>
      <c r="H452" s="7" t="s">
        <v>708</v>
      </c>
      <c r="I452" s="7" t="s">
        <v>709</v>
      </c>
      <c r="J452" s="7" t="s">
        <v>710</v>
      </c>
      <c r="K452" s="8"/>
      <c r="L452" s="8" t="s">
        <v>33</v>
      </c>
      <c r="M452" s="9">
        <f t="shared" si="1"/>
        <v>56</v>
      </c>
    </row>
    <row r="453" ht="12.75" customHeight="1">
      <c r="A453" s="4">
        <f t="shared" si="2"/>
        <v>452</v>
      </c>
      <c r="B453" s="4" t="s">
        <v>1043</v>
      </c>
      <c r="C453" s="5" t="s">
        <v>1044</v>
      </c>
      <c r="D453" s="4"/>
      <c r="E453" s="4"/>
      <c r="F453" s="4" t="s">
        <v>22</v>
      </c>
      <c r="G453" s="21">
        <v>17.85</v>
      </c>
      <c r="H453" s="7" t="s">
        <v>708</v>
      </c>
      <c r="I453" s="7" t="s">
        <v>709</v>
      </c>
      <c r="J453" s="7" t="s">
        <v>710</v>
      </c>
      <c r="K453" s="8"/>
      <c r="L453" s="8" t="s">
        <v>33</v>
      </c>
      <c r="M453" s="9">
        <f t="shared" si="1"/>
        <v>57</v>
      </c>
    </row>
    <row r="454" ht="12.75" customHeight="1">
      <c r="A454" s="4">
        <f t="shared" si="2"/>
        <v>453</v>
      </c>
      <c r="B454" s="4" t="s">
        <v>1045</v>
      </c>
      <c r="C454" s="5" t="s">
        <v>1046</v>
      </c>
      <c r="D454" s="4"/>
      <c r="E454" s="4"/>
      <c r="F454" s="4" t="s">
        <v>22</v>
      </c>
      <c r="G454" s="21">
        <v>21.32</v>
      </c>
      <c r="H454" s="7" t="s">
        <v>708</v>
      </c>
      <c r="I454" s="7" t="s">
        <v>709</v>
      </c>
      <c r="J454" s="7" t="s">
        <v>710</v>
      </c>
      <c r="K454" s="8"/>
      <c r="L454" s="8" t="s">
        <v>33</v>
      </c>
      <c r="M454" s="9">
        <f t="shared" si="1"/>
        <v>56</v>
      </c>
    </row>
    <row r="455" ht="12.75" customHeight="1">
      <c r="A455" s="4">
        <f t="shared" si="2"/>
        <v>454</v>
      </c>
      <c r="B455" s="4" t="s">
        <v>1047</v>
      </c>
      <c r="C455" s="5" t="s">
        <v>1048</v>
      </c>
      <c r="D455" s="4"/>
      <c r="E455" s="4"/>
      <c r="F455" s="4" t="s">
        <v>22</v>
      </c>
      <c r="G455" s="21">
        <v>21.32</v>
      </c>
      <c r="H455" s="7" t="s">
        <v>708</v>
      </c>
      <c r="I455" s="7" t="s">
        <v>709</v>
      </c>
      <c r="J455" s="7" t="s">
        <v>710</v>
      </c>
      <c r="K455" s="8"/>
      <c r="L455" s="8" t="s">
        <v>33</v>
      </c>
      <c r="M455" s="9">
        <f t="shared" si="1"/>
        <v>56</v>
      </c>
    </row>
    <row r="456" ht="12.75" customHeight="1">
      <c r="A456" s="4">
        <f t="shared" si="2"/>
        <v>455</v>
      </c>
      <c r="B456" s="4" t="s">
        <v>1049</v>
      </c>
      <c r="C456" s="5" t="s">
        <v>1050</v>
      </c>
      <c r="D456" s="4"/>
      <c r="E456" s="4"/>
      <c r="F456" s="4" t="s">
        <v>22</v>
      </c>
      <c r="G456" s="21">
        <v>21.86</v>
      </c>
      <c r="H456" s="7" t="s">
        <v>708</v>
      </c>
      <c r="I456" s="7" t="s">
        <v>709</v>
      </c>
      <c r="J456" s="7" t="s">
        <v>710</v>
      </c>
      <c r="K456" s="8"/>
      <c r="L456" s="8" t="s">
        <v>33</v>
      </c>
      <c r="M456" s="9">
        <f t="shared" si="1"/>
        <v>56</v>
      </c>
    </row>
    <row r="457" ht="12.75" customHeight="1">
      <c r="A457" s="4">
        <f t="shared" si="2"/>
        <v>456</v>
      </c>
      <c r="B457" s="4" t="s">
        <v>1051</v>
      </c>
      <c r="C457" s="5" t="s">
        <v>1052</v>
      </c>
      <c r="D457" s="4"/>
      <c r="E457" s="4"/>
      <c r="F457" s="4" t="s">
        <v>22</v>
      </c>
      <c r="G457" s="21">
        <v>21.86</v>
      </c>
      <c r="H457" s="7" t="s">
        <v>708</v>
      </c>
      <c r="I457" s="7" t="s">
        <v>709</v>
      </c>
      <c r="J457" s="7" t="s">
        <v>710</v>
      </c>
      <c r="K457" s="8"/>
      <c r="L457" s="8" t="s">
        <v>33</v>
      </c>
      <c r="M457" s="9">
        <f t="shared" si="1"/>
        <v>56</v>
      </c>
    </row>
    <row r="458" ht="12.75" customHeight="1">
      <c r="A458" s="4">
        <f t="shared" si="2"/>
        <v>457</v>
      </c>
      <c r="B458" s="4" t="s">
        <v>1053</v>
      </c>
      <c r="C458" s="5" t="s">
        <v>1054</v>
      </c>
      <c r="D458" s="4"/>
      <c r="E458" s="4"/>
      <c r="F458" s="4" t="s">
        <v>22</v>
      </c>
      <c r="G458" s="21">
        <v>22.14</v>
      </c>
      <c r="H458" s="7" t="s">
        <v>708</v>
      </c>
      <c r="I458" s="7" t="s">
        <v>709</v>
      </c>
      <c r="J458" s="7" t="s">
        <v>710</v>
      </c>
      <c r="K458" s="8"/>
      <c r="L458" s="8" t="s">
        <v>33</v>
      </c>
      <c r="M458" s="9">
        <f t="shared" si="1"/>
        <v>56</v>
      </c>
    </row>
    <row r="459" ht="12.75" customHeight="1">
      <c r="A459" s="4">
        <f t="shared" si="2"/>
        <v>458</v>
      </c>
      <c r="B459" s="4" t="s">
        <v>1055</v>
      </c>
      <c r="C459" s="5" t="s">
        <v>1056</v>
      </c>
      <c r="D459" s="4"/>
      <c r="E459" s="4"/>
      <c r="F459" s="4" t="s">
        <v>22</v>
      </c>
      <c r="G459" s="21">
        <v>22.14</v>
      </c>
      <c r="H459" s="7" t="s">
        <v>708</v>
      </c>
      <c r="I459" s="7" t="s">
        <v>709</v>
      </c>
      <c r="J459" s="7" t="s">
        <v>710</v>
      </c>
      <c r="K459" s="8"/>
      <c r="L459" s="8" t="s">
        <v>33</v>
      </c>
      <c r="M459" s="9">
        <f t="shared" si="1"/>
        <v>56</v>
      </c>
    </row>
    <row r="460" ht="12.75" customHeight="1">
      <c r="A460" s="4">
        <f t="shared" si="2"/>
        <v>459</v>
      </c>
      <c r="B460" s="4" t="s">
        <v>1057</v>
      </c>
      <c r="C460" s="5" t="s">
        <v>1058</v>
      </c>
      <c r="D460" s="4"/>
      <c r="E460" s="4"/>
      <c r="F460" s="4" t="s">
        <v>22</v>
      </c>
      <c r="G460" s="21">
        <v>26.73</v>
      </c>
      <c r="H460" s="7" t="s">
        <v>708</v>
      </c>
      <c r="I460" s="7" t="s">
        <v>709</v>
      </c>
      <c r="J460" s="7" t="s">
        <v>710</v>
      </c>
      <c r="K460" s="8"/>
      <c r="L460" s="8" t="s">
        <v>33</v>
      </c>
      <c r="M460" s="9">
        <f t="shared" si="1"/>
        <v>56</v>
      </c>
    </row>
    <row r="461" ht="12.75" customHeight="1">
      <c r="A461" s="4">
        <f t="shared" si="2"/>
        <v>460</v>
      </c>
      <c r="B461" s="4" t="s">
        <v>1059</v>
      </c>
      <c r="C461" s="5" t="s">
        <v>1060</v>
      </c>
      <c r="D461" s="4"/>
      <c r="E461" s="4"/>
      <c r="F461" s="4" t="s">
        <v>22</v>
      </c>
      <c r="G461" s="21">
        <v>15.38</v>
      </c>
      <c r="H461" s="7" t="s">
        <v>708</v>
      </c>
      <c r="I461" s="7" t="s">
        <v>709</v>
      </c>
      <c r="J461" s="7" t="s">
        <v>710</v>
      </c>
      <c r="K461" s="8"/>
      <c r="L461" s="8" t="s">
        <v>33</v>
      </c>
      <c r="M461" s="9">
        <f t="shared" si="1"/>
        <v>55</v>
      </c>
    </row>
    <row r="462" ht="12.75" customHeight="1">
      <c r="A462" s="4">
        <f t="shared" si="2"/>
        <v>461</v>
      </c>
      <c r="B462" s="4" t="s">
        <v>1061</v>
      </c>
      <c r="C462" s="5" t="s">
        <v>1062</v>
      </c>
      <c r="D462" s="4"/>
      <c r="E462" s="4"/>
      <c r="F462" s="4" t="s">
        <v>22</v>
      </c>
      <c r="G462" s="21">
        <v>13.76</v>
      </c>
      <c r="H462" s="7" t="s">
        <v>708</v>
      </c>
      <c r="I462" s="7" t="s">
        <v>709</v>
      </c>
      <c r="J462" s="7" t="s">
        <v>710</v>
      </c>
      <c r="K462" s="8"/>
      <c r="L462" s="8" t="s">
        <v>33</v>
      </c>
      <c r="M462" s="9">
        <f t="shared" si="1"/>
        <v>55</v>
      </c>
    </row>
    <row r="463" ht="12.75" customHeight="1">
      <c r="A463" s="4">
        <f t="shared" si="2"/>
        <v>462</v>
      </c>
      <c r="B463" s="4" t="s">
        <v>1063</v>
      </c>
      <c r="C463" s="5" t="s">
        <v>1064</v>
      </c>
      <c r="D463" s="4"/>
      <c r="E463" s="4"/>
      <c r="F463" s="4" t="s">
        <v>22</v>
      </c>
      <c r="G463" s="21">
        <v>28.62</v>
      </c>
      <c r="H463" s="7" t="s">
        <v>708</v>
      </c>
      <c r="I463" s="7" t="s">
        <v>709</v>
      </c>
      <c r="J463" s="7" t="s">
        <v>710</v>
      </c>
      <c r="K463" s="8"/>
      <c r="L463" s="8" t="s">
        <v>33</v>
      </c>
      <c r="M463" s="9">
        <f t="shared" si="1"/>
        <v>56</v>
      </c>
    </row>
    <row r="464" ht="12.75" customHeight="1">
      <c r="A464" s="4">
        <f t="shared" si="2"/>
        <v>463</v>
      </c>
      <c r="B464" s="4" t="s">
        <v>1065</v>
      </c>
      <c r="C464" s="5" t="s">
        <v>1066</v>
      </c>
      <c r="D464" s="4"/>
      <c r="E464" s="4"/>
      <c r="F464" s="4" t="s">
        <v>22</v>
      </c>
      <c r="G464" s="21">
        <v>15.38</v>
      </c>
      <c r="H464" s="7" t="s">
        <v>708</v>
      </c>
      <c r="I464" s="7" t="s">
        <v>709</v>
      </c>
      <c r="J464" s="7" t="s">
        <v>710</v>
      </c>
      <c r="K464" s="8"/>
      <c r="L464" s="8" t="s">
        <v>33</v>
      </c>
      <c r="M464" s="9">
        <f t="shared" si="1"/>
        <v>55</v>
      </c>
    </row>
    <row r="465" ht="12.75" customHeight="1">
      <c r="A465" s="4">
        <f t="shared" si="2"/>
        <v>464</v>
      </c>
      <c r="B465" s="4" t="s">
        <v>1067</v>
      </c>
      <c r="C465" s="5" t="s">
        <v>1068</v>
      </c>
      <c r="D465" s="4"/>
      <c r="E465" s="4"/>
      <c r="F465" s="4" t="s">
        <v>22</v>
      </c>
      <c r="G465" s="21">
        <v>22.14</v>
      </c>
      <c r="H465" s="7" t="s">
        <v>708</v>
      </c>
      <c r="I465" s="7" t="s">
        <v>709</v>
      </c>
      <c r="J465" s="7" t="s">
        <v>710</v>
      </c>
      <c r="K465" s="8"/>
      <c r="L465" s="8" t="s">
        <v>33</v>
      </c>
      <c r="M465" s="9">
        <f t="shared" si="1"/>
        <v>56</v>
      </c>
    </row>
    <row r="466" ht="12.75" customHeight="1">
      <c r="A466" s="4">
        <f t="shared" si="2"/>
        <v>465</v>
      </c>
      <c r="B466" s="4" t="s">
        <v>1069</v>
      </c>
      <c r="C466" s="5" t="s">
        <v>1070</v>
      </c>
      <c r="D466" s="4"/>
      <c r="E466" s="4"/>
      <c r="F466" s="4" t="s">
        <v>22</v>
      </c>
      <c r="G466" s="21">
        <v>16.73</v>
      </c>
      <c r="H466" s="7" t="s">
        <v>708</v>
      </c>
      <c r="I466" s="7" t="s">
        <v>709</v>
      </c>
      <c r="J466" s="7" t="s">
        <v>710</v>
      </c>
      <c r="K466" s="8"/>
      <c r="L466" s="8" t="s">
        <v>33</v>
      </c>
      <c r="M466" s="9">
        <f t="shared" si="1"/>
        <v>55</v>
      </c>
    </row>
    <row r="467" ht="12.75" customHeight="1">
      <c r="A467" s="4">
        <f t="shared" si="2"/>
        <v>466</v>
      </c>
      <c r="B467" s="4" t="s">
        <v>1071</v>
      </c>
      <c r="C467" s="5" t="s">
        <v>1072</v>
      </c>
      <c r="D467" s="4"/>
      <c r="E467" s="4"/>
      <c r="F467" s="4" t="s">
        <v>22</v>
      </c>
      <c r="G467" s="21">
        <v>13.76</v>
      </c>
      <c r="H467" s="7" t="s">
        <v>708</v>
      </c>
      <c r="I467" s="7" t="s">
        <v>709</v>
      </c>
      <c r="J467" s="7" t="s">
        <v>710</v>
      </c>
      <c r="K467" s="8"/>
      <c r="L467" s="8" t="s">
        <v>33</v>
      </c>
      <c r="M467" s="9">
        <f t="shared" si="1"/>
        <v>56</v>
      </c>
    </row>
    <row r="468" ht="12.75" customHeight="1">
      <c r="A468" s="4">
        <f t="shared" si="2"/>
        <v>467</v>
      </c>
      <c r="B468" s="4" t="s">
        <v>1073</v>
      </c>
      <c r="C468" s="5" t="s">
        <v>1074</v>
      </c>
      <c r="D468" s="4"/>
      <c r="E468" s="4"/>
      <c r="F468" s="4" t="s">
        <v>22</v>
      </c>
      <c r="G468" s="21">
        <v>45.2</v>
      </c>
      <c r="H468" s="7" t="s">
        <v>708</v>
      </c>
      <c r="I468" s="7" t="s">
        <v>709</v>
      </c>
      <c r="J468" s="7" t="s">
        <v>710</v>
      </c>
      <c r="K468" s="8"/>
      <c r="L468" s="8" t="s">
        <v>33</v>
      </c>
      <c r="M468" s="9">
        <f t="shared" si="1"/>
        <v>58</v>
      </c>
    </row>
    <row r="469" ht="12.75" customHeight="1">
      <c r="A469" s="4">
        <f t="shared" si="2"/>
        <v>468</v>
      </c>
      <c r="B469" s="4" t="s">
        <v>1075</v>
      </c>
      <c r="C469" s="5" t="s">
        <v>1076</v>
      </c>
      <c r="D469" s="4"/>
      <c r="E469" s="4"/>
      <c r="F469" s="4" t="s">
        <v>22</v>
      </c>
      <c r="G469" s="21">
        <v>51.32</v>
      </c>
      <c r="H469" s="7" t="s">
        <v>708</v>
      </c>
      <c r="I469" s="7" t="s">
        <v>709</v>
      </c>
      <c r="J469" s="7" t="s">
        <v>710</v>
      </c>
      <c r="K469" s="8"/>
      <c r="L469" s="8" t="s">
        <v>33</v>
      </c>
      <c r="M469" s="9">
        <f t="shared" si="1"/>
        <v>57</v>
      </c>
    </row>
    <row r="470" ht="12.75" customHeight="1">
      <c r="A470" s="4">
        <f t="shared" si="2"/>
        <v>469</v>
      </c>
      <c r="B470" s="4" t="s">
        <v>1077</v>
      </c>
      <c r="C470" s="5" t="s">
        <v>1078</v>
      </c>
      <c r="D470" s="4"/>
      <c r="E470" s="4"/>
      <c r="F470" s="4" t="s">
        <v>22</v>
      </c>
      <c r="G470" s="21">
        <v>51.32</v>
      </c>
      <c r="H470" s="7" t="s">
        <v>708</v>
      </c>
      <c r="I470" s="7" t="s">
        <v>709</v>
      </c>
      <c r="J470" s="7" t="s">
        <v>710</v>
      </c>
      <c r="K470" s="8"/>
      <c r="L470" s="8" t="s">
        <v>33</v>
      </c>
      <c r="M470" s="9">
        <f t="shared" si="1"/>
        <v>57</v>
      </c>
    </row>
    <row r="471" ht="12.75" customHeight="1">
      <c r="A471" s="4">
        <f t="shared" si="2"/>
        <v>470</v>
      </c>
      <c r="B471" s="4" t="s">
        <v>1079</v>
      </c>
      <c r="C471" s="5" t="s">
        <v>1080</v>
      </c>
      <c r="D471" s="4"/>
      <c r="E471" s="4"/>
      <c r="F471" s="4" t="s">
        <v>22</v>
      </c>
      <c r="G471" s="21">
        <v>47.27</v>
      </c>
      <c r="H471" s="7" t="s">
        <v>708</v>
      </c>
      <c r="I471" s="7" t="s">
        <v>709</v>
      </c>
      <c r="J471" s="7" t="s">
        <v>710</v>
      </c>
      <c r="K471" s="8"/>
      <c r="L471" s="8" t="s">
        <v>33</v>
      </c>
      <c r="M471" s="9">
        <f t="shared" si="1"/>
        <v>57</v>
      </c>
    </row>
    <row r="472" ht="12.75" customHeight="1">
      <c r="A472" s="4">
        <f t="shared" si="2"/>
        <v>471</v>
      </c>
      <c r="B472" s="4" t="s">
        <v>1081</v>
      </c>
      <c r="C472" s="5" t="s">
        <v>1082</v>
      </c>
      <c r="D472" s="4"/>
      <c r="E472" s="4"/>
      <c r="F472" s="4" t="s">
        <v>22</v>
      </c>
      <c r="G472" s="21">
        <v>51.32</v>
      </c>
      <c r="H472" s="7" t="s">
        <v>708</v>
      </c>
      <c r="I472" s="7" t="s">
        <v>709</v>
      </c>
      <c r="J472" s="7" t="s">
        <v>710</v>
      </c>
      <c r="K472" s="8"/>
      <c r="L472" s="8" t="s">
        <v>33</v>
      </c>
      <c r="M472" s="9">
        <f t="shared" si="1"/>
        <v>59</v>
      </c>
    </row>
    <row r="473" ht="12.75" customHeight="1">
      <c r="A473" s="4">
        <f t="shared" si="2"/>
        <v>472</v>
      </c>
      <c r="B473" s="4" t="s">
        <v>1083</v>
      </c>
      <c r="C473" s="5" t="s">
        <v>1084</v>
      </c>
      <c r="D473" s="4"/>
      <c r="E473" s="4"/>
      <c r="F473" s="4" t="s">
        <v>22</v>
      </c>
      <c r="G473" s="21">
        <v>53.65</v>
      </c>
      <c r="H473" s="7" t="s">
        <v>708</v>
      </c>
      <c r="I473" s="7" t="s">
        <v>709</v>
      </c>
      <c r="J473" s="7" t="s">
        <v>710</v>
      </c>
      <c r="K473" s="8"/>
      <c r="L473" s="8" t="s">
        <v>33</v>
      </c>
      <c r="M473" s="9">
        <f t="shared" si="1"/>
        <v>59</v>
      </c>
    </row>
    <row r="474" ht="12.75" customHeight="1">
      <c r="A474" s="4">
        <f t="shared" si="2"/>
        <v>473</v>
      </c>
      <c r="B474" s="4" t="s">
        <v>1085</v>
      </c>
      <c r="C474" s="5" t="s">
        <v>1086</v>
      </c>
      <c r="D474" s="4"/>
      <c r="E474" s="4"/>
      <c r="F474" s="4" t="s">
        <v>22</v>
      </c>
      <c r="G474" s="21">
        <v>53.65</v>
      </c>
      <c r="H474" s="7" t="s">
        <v>708</v>
      </c>
      <c r="I474" s="7" t="s">
        <v>709</v>
      </c>
      <c r="J474" s="7" t="s">
        <v>710</v>
      </c>
      <c r="K474" s="8"/>
      <c r="L474" s="8" t="s">
        <v>33</v>
      </c>
      <c r="M474" s="9">
        <f t="shared" si="1"/>
        <v>59</v>
      </c>
    </row>
    <row r="475" ht="12.75" customHeight="1">
      <c r="A475" s="4">
        <f t="shared" si="2"/>
        <v>474</v>
      </c>
      <c r="B475" s="4" t="s">
        <v>1087</v>
      </c>
      <c r="C475" s="5" t="s">
        <v>1088</v>
      </c>
      <c r="D475" s="4"/>
      <c r="E475" s="4"/>
      <c r="F475" s="4" t="s">
        <v>22</v>
      </c>
      <c r="G475" s="21">
        <v>48.56</v>
      </c>
      <c r="H475" s="7" t="s">
        <v>708</v>
      </c>
      <c r="I475" s="7" t="s">
        <v>709</v>
      </c>
      <c r="J475" s="7" t="s">
        <v>710</v>
      </c>
      <c r="K475" s="8"/>
      <c r="L475" s="8" t="s">
        <v>33</v>
      </c>
      <c r="M475" s="9">
        <f t="shared" si="1"/>
        <v>58</v>
      </c>
    </row>
    <row r="476" ht="12.75" customHeight="1">
      <c r="A476" s="4">
        <f t="shared" si="2"/>
        <v>475</v>
      </c>
      <c r="B476" s="4" t="s">
        <v>1089</v>
      </c>
      <c r="C476" s="5" t="s">
        <v>1090</v>
      </c>
      <c r="D476" s="4"/>
      <c r="E476" s="4"/>
      <c r="F476" s="4" t="s">
        <v>22</v>
      </c>
      <c r="G476" s="21">
        <v>51.32</v>
      </c>
      <c r="H476" s="7" t="s">
        <v>708</v>
      </c>
      <c r="I476" s="7" t="s">
        <v>709</v>
      </c>
      <c r="J476" s="7" t="s">
        <v>710</v>
      </c>
      <c r="K476" s="8"/>
      <c r="L476" s="8" t="s">
        <v>33</v>
      </c>
      <c r="M476" s="9">
        <f t="shared" si="1"/>
        <v>57</v>
      </c>
    </row>
    <row r="477" ht="12.75" customHeight="1">
      <c r="A477" s="4">
        <f t="shared" si="2"/>
        <v>476</v>
      </c>
      <c r="B477" s="4" t="s">
        <v>1091</v>
      </c>
      <c r="C477" s="5" t="s">
        <v>1092</v>
      </c>
      <c r="D477" s="4"/>
      <c r="E477" s="4"/>
      <c r="F477" s="4" t="s">
        <v>22</v>
      </c>
      <c r="G477" s="21">
        <v>51.32</v>
      </c>
      <c r="H477" s="7" t="s">
        <v>708</v>
      </c>
      <c r="I477" s="7" t="s">
        <v>709</v>
      </c>
      <c r="J477" s="7" t="s">
        <v>710</v>
      </c>
      <c r="K477" s="8"/>
      <c r="L477" s="8" t="s">
        <v>33</v>
      </c>
      <c r="M477" s="9">
        <f t="shared" si="1"/>
        <v>57</v>
      </c>
    </row>
    <row r="478" ht="12.75" customHeight="1">
      <c r="A478" s="4">
        <f t="shared" si="2"/>
        <v>477</v>
      </c>
      <c r="B478" s="4" t="s">
        <v>1093</v>
      </c>
      <c r="C478" s="5" t="s">
        <v>1094</v>
      </c>
      <c r="D478" s="4"/>
      <c r="E478" s="4"/>
      <c r="F478" s="4" t="s">
        <v>22</v>
      </c>
      <c r="G478" s="21">
        <v>47.27</v>
      </c>
      <c r="H478" s="7" t="s">
        <v>708</v>
      </c>
      <c r="I478" s="7" t="s">
        <v>709</v>
      </c>
      <c r="J478" s="7" t="s">
        <v>710</v>
      </c>
      <c r="K478" s="8"/>
      <c r="L478" s="8" t="s">
        <v>33</v>
      </c>
      <c r="M478" s="9">
        <f t="shared" si="1"/>
        <v>58</v>
      </c>
    </row>
    <row r="479" ht="12.75" customHeight="1">
      <c r="A479" s="4">
        <f t="shared" si="2"/>
        <v>478</v>
      </c>
      <c r="B479" s="4" t="s">
        <v>1095</v>
      </c>
      <c r="C479" s="5" t="s">
        <v>1096</v>
      </c>
      <c r="D479" s="4"/>
      <c r="E479" s="4"/>
      <c r="F479" s="4" t="s">
        <v>22</v>
      </c>
      <c r="G479" s="21">
        <v>51.32</v>
      </c>
      <c r="H479" s="7" t="s">
        <v>708</v>
      </c>
      <c r="I479" s="7" t="s">
        <v>709</v>
      </c>
      <c r="J479" s="7" t="s">
        <v>710</v>
      </c>
      <c r="K479" s="8"/>
      <c r="L479" s="8" t="s">
        <v>33</v>
      </c>
      <c r="M479" s="9">
        <f t="shared" si="1"/>
        <v>57</v>
      </c>
    </row>
    <row r="480" ht="12.75" customHeight="1">
      <c r="A480" s="4">
        <f t="shared" si="2"/>
        <v>479</v>
      </c>
      <c r="B480" s="4" t="s">
        <v>1097</v>
      </c>
      <c r="C480" s="5" t="s">
        <v>1098</v>
      </c>
      <c r="D480" s="4"/>
      <c r="E480" s="4"/>
      <c r="F480" s="4" t="s">
        <v>22</v>
      </c>
      <c r="G480" s="21">
        <v>51.32</v>
      </c>
      <c r="H480" s="7" t="s">
        <v>708</v>
      </c>
      <c r="I480" s="7" t="s">
        <v>709</v>
      </c>
      <c r="J480" s="7" t="s">
        <v>710</v>
      </c>
      <c r="K480" s="8"/>
      <c r="L480" s="8" t="s">
        <v>33</v>
      </c>
      <c r="M480" s="9">
        <f t="shared" si="1"/>
        <v>58</v>
      </c>
    </row>
    <row r="481" ht="12.75" customHeight="1">
      <c r="A481" s="4">
        <f t="shared" si="2"/>
        <v>480</v>
      </c>
      <c r="B481" s="4" t="s">
        <v>1099</v>
      </c>
      <c r="C481" s="5" t="s">
        <v>1100</v>
      </c>
      <c r="D481" s="4"/>
      <c r="E481" s="4"/>
      <c r="F481" s="4" t="s">
        <v>22</v>
      </c>
      <c r="G481" s="21">
        <v>53.65</v>
      </c>
      <c r="H481" s="7" t="s">
        <v>708</v>
      </c>
      <c r="I481" s="7" t="s">
        <v>709</v>
      </c>
      <c r="J481" s="7" t="s">
        <v>710</v>
      </c>
      <c r="K481" s="8"/>
      <c r="L481" s="8" t="s">
        <v>33</v>
      </c>
      <c r="M481" s="9">
        <f t="shared" si="1"/>
        <v>57</v>
      </c>
    </row>
    <row r="482" ht="12.75" customHeight="1">
      <c r="A482" s="4">
        <f t="shared" si="2"/>
        <v>481</v>
      </c>
      <c r="B482" s="4" t="s">
        <v>1101</v>
      </c>
      <c r="C482" s="5" t="s">
        <v>1102</v>
      </c>
      <c r="D482" s="4"/>
      <c r="E482" s="4"/>
      <c r="F482" s="4" t="s">
        <v>22</v>
      </c>
      <c r="G482" s="21">
        <v>51.32</v>
      </c>
      <c r="H482" s="7" t="s">
        <v>708</v>
      </c>
      <c r="I482" s="7" t="s">
        <v>709</v>
      </c>
      <c r="J482" s="7" t="s">
        <v>710</v>
      </c>
      <c r="K482" s="8"/>
      <c r="L482" s="8" t="s">
        <v>33</v>
      </c>
      <c r="M482" s="9">
        <f t="shared" si="1"/>
        <v>58</v>
      </c>
    </row>
    <row r="483" ht="12.75" customHeight="1">
      <c r="A483" s="4">
        <f t="shared" si="2"/>
        <v>482</v>
      </c>
      <c r="B483" s="4" t="s">
        <v>1103</v>
      </c>
      <c r="C483" s="5" t="s">
        <v>1104</v>
      </c>
      <c r="D483" s="4"/>
      <c r="E483" s="4"/>
      <c r="F483" s="4" t="s">
        <v>22</v>
      </c>
      <c r="G483" s="21">
        <v>35.11</v>
      </c>
      <c r="H483" s="7" t="s">
        <v>708</v>
      </c>
      <c r="I483" s="7" t="s">
        <v>709</v>
      </c>
      <c r="J483" s="7" t="s">
        <v>710</v>
      </c>
      <c r="K483" s="8"/>
      <c r="L483" s="8" t="s">
        <v>33</v>
      </c>
      <c r="M483" s="9">
        <f t="shared" si="1"/>
        <v>53</v>
      </c>
    </row>
    <row r="484" ht="12.75" customHeight="1">
      <c r="A484" s="4">
        <f t="shared" si="2"/>
        <v>483</v>
      </c>
      <c r="B484" s="4" t="s">
        <v>1105</v>
      </c>
      <c r="C484" s="5" t="s">
        <v>1106</v>
      </c>
      <c r="D484" s="4"/>
      <c r="E484" s="4"/>
      <c r="F484" s="4" t="s">
        <v>22</v>
      </c>
      <c r="G484" s="21">
        <v>34.57</v>
      </c>
      <c r="H484" s="7" t="s">
        <v>708</v>
      </c>
      <c r="I484" s="7" t="s">
        <v>709</v>
      </c>
      <c r="J484" s="7" t="s">
        <v>710</v>
      </c>
      <c r="K484" s="8"/>
      <c r="L484" s="8" t="s">
        <v>33</v>
      </c>
      <c r="M484" s="9">
        <f t="shared" si="1"/>
        <v>57</v>
      </c>
    </row>
    <row r="485" ht="12.75" customHeight="1">
      <c r="A485" s="4">
        <f t="shared" si="2"/>
        <v>484</v>
      </c>
      <c r="B485" s="4" t="s">
        <v>1107</v>
      </c>
      <c r="C485" s="5" t="s">
        <v>1108</v>
      </c>
      <c r="D485" s="4"/>
      <c r="E485" s="4"/>
      <c r="F485" s="4" t="s">
        <v>22</v>
      </c>
      <c r="G485" s="21">
        <v>35.36</v>
      </c>
      <c r="H485" s="7" t="s">
        <v>708</v>
      </c>
      <c r="I485" s="7" t="s">
        <v>709</v>
      </c>
      <c r="J485" s="7" t="s">
        <v>710</v>
      </c>
      <c r="K485" s="8"/>
      <c r="L485" s="8" t="s">
        <v>33</v>
      </c>
      <c r="M485" s="9">
        <f t="shared" si="1"/>
        <v>57</v>
      </c>
    </row>
    <row r="486" ht="12.75" customHeight="1">
      <c r="A486" s="4">
        <f t="shared" si="2"/>
        <v>485</v>
      </c>
      <c r="B486" s="4" t="s">
        <v>1109</v>
      </c>
      <c r="C486" s="5" t="s">
        <v>1110</v>
      </c>
      <c r="D486" s="4"/>
      <c r="E486" s="4"/>
      <c r="F486" s="4" t="s">
        <v>22</v>
      </c>
      <c r="G486" s="21">
        <v>54.3</v>
      </c>
      <c r="H486" s="7" t="s">
        <v>708</v>
      </c>
      <c r="I486" s="7" t="s">
        <v>709</v>
      </c>
      <c r="J486" s="7" t="s">
        <v>710</v>
      </c>
      <c r="K486" s="8"/>
      <c r="L486" s="8" t="s">
        <v>33</v>
      </c>
      <c r="M486" s="9">
        <f t="shared" si="1"/>
        <v>56</v>
      </c>
    </row>
    <row r="487" ht="12.75" customHeight="1">
      <c r="A487" s="4">
        <f t="shared" si="2"/>
        <v>486</v>
      </c>
      <c r="B487" s="4" t="s">
        <v>1111</v>
      </c>
      <c r="C487" s="5" t="s">
        <v>1112</v>
      </c>
      <c r="D487" s="4"/>
      <c r="E487" s="4"/>
      <c r="F487" s="4" t="s">
        <v>22</v>
      </c>
      <c r="G487" s="21">
        <v>60.24</v>
      </c>
      <c r="H487" s="7" t="s">
        <v>708</v>
      </c>
      <c r="I487" s="7" t="s">
        <v>709</v>
      </c>
      <c r="J487" s="7" t="s">
        <v>710</v>
      </c>
      <c r="K487" s="8"/>
      <c r="L487" s="8" t="s">
        <v>33</v>
      </c>
      <c r="M487" s="9">
        <f t="shared" si="1"/>
        <v>53</v>
      </c>
    </row>
    <row r="488" ht="12.75" customHeight="1">
      <c r="A488" s="4">
        <f t="shared" si="2"/>
        <v>487</v>
      </c>
      <c r="B488" s="4" t="s">
        <v>1113</v>
      </c>
      <c r="C488" s="5" t="s">
        <v>1114</v>
      </c>
      <c r="D488" s="4"/>
      <c r="E488" s="4"/>
      <c r="F488" s="4" t="s">
        <v>22</v>
      </c>
      <c r="G488" s="21">
        <v>55.38</v>
      </c>
      <c r="H488" s="7" t="s">
        <v>708</v>
      </c>
      <c r="I488" s="7" t="s">
        <v>709</v>
      </c>
      <c r="J488" s="7" t="s">
        <v>710</v>
      </c>
      <c r="K488" s="8"/>
      <c r="L488" s="8" t="s">
        <v>33</v>
      </c>
      <c r="M488" s="9">
        <f t="shared" si="1"/>
        <v>56</v>
      </c>
    </row>
    <row r="489" ht="12.75" customHeight="1">
      <c r="A489" s="4">
        <f t="shared" si="2"/>
        <v>488</v>
      </c>
      <c r="B489" s="4" t="s">
        <v>1115</v>
      </c>
      <c r="C489" s="5" t="s">
        <v>1116</v>
      </c>
      <c r="D489" s="4"/>
      <c r="E489" s="4"/>
      <c r="F489" s="4" t="s">
        <v>22</v>
      </c>
      <c r="G489" s="21">
        <v>55.38</v>
      </c>
      <c r="H489" s="7" t="s">
        <v>708</v>
      </c>
      <c r="I489" s="7" t="s">
        <v>709</v>
      </c>
      <c r="J489" s="7" t="s">
        <v>710</v>
      </c>
      <c r="K489" s="8"/>
      <c r="L489" s="8" t="s">
        <v>33</v>
      </c>
      <c r="M489" s="9">
        <f t="shared" si="1"/>
        <v>56</v>
      </c>
    </row>
    <row r="490" ht="12.75" customHeight="1">
      <c r="A490" s="4">
        <f t="shared" si="2"/>
        <v>489</v>
      </c>
      <c r="B490" s="4" t="s">
        <v>1117</v>
      </c>
      <c r="C490" s="5" t="s">
        <v>1118</v>
      </c>
      <c r="D490" s="4"/>
      <c r="E490" s="4"/>
      <c r="F490" s="4" t="s">
        <v>22</v>
      </c>
      <c r="G490" s="21">
        <v>55.38</v>
      </c>
      <c r="H490" s="7" t="s">
        <v>708</v>
      </c>
      <c r="I490" s="7" t="s">
        <v>709</v>
      </c>
      <c r="J490" s="7" t="s">
        <v>710</v>
      </c>
      <c r="K490" s="8"/>
      <c r="L490" s="8" t="s">
        <v>33</v>
      </c>
      <c r="M490" s="9">
        <f t="shared" si="1"/>
        <v>56</v>
      </c>
    </row>
    <row r="491" ht="12.75" customHeight="1">
      <c r="A491" s="4">
        <f t="shared" si="2"/>
        <v>490</v>
      </c>
      <c r="B491" s="4" t="s">
        <v>1119</v>
      </c>
      <c r="C491" s="5" t="s">
        <v>1120</v>
      </c>
      <c r="D491" s="4"/>
      <c r="E491" s="4"/>
      <c r="F491" s="4" t="s">
        <v>22</v>
      </c>
      <c r="G491" s="21">
        <v>36.85</v>
      </c>
      <c r="H491" s="7" t="s">
        <v>708</v>
      </c>
      <c r="I491" s="7" t="s">
        <v>709</v>
      </c>
      <c r="J491" s="7" t="s">
        <v>710</v>
      </c>
      <c r="K491" s="8"/>
      <c r="L491" s="8" t="s">
        <v>33</v>
      </c>
      <c r="M491" s="9">
        <f t="shared" si="1"/>
        <v>55</v>
      </c>
    </row>
    <row r="492" ht="12.75" customHeight="1">
      <c r="A492" s="4">
        <f t="shared" si="2"/>
        <v>491</v>
      </c>
      <c r="B492" s="4" t="s">
        <v>1121</v>
      </c>
      <c r="C492" s="5" t="s">
        <v>1122</v>
      </c>
      <c r="D492" s="4"/>
      <c r="E492" s="4"/>
      <c r="F492" s="4" t="s">
        <v>22</v>
      </c>
      <c r="G492" s="21">
        <v>55.38</v>
      </c>
      <c r="H492" s="7" t="s">
        <v>708</v>
      </c>
      <c r="I492" s="7" t="s">
        <v>709</v>
      </c>
      <c r="J492" s="7" t="s">
        <v>710</v>
      </c>
      <c r="K492" s="8"/>
      <c r="L492" s="8" t="s">
        <v>33</v>
      </c>
      <c r="M492" s="9">
        <f t="shared" si="1"/>
        <v>56</v>
      </c>
    </row>
    <row r="493" ht="12.75" customHeight="1">
      <c r="A493" s="4">
        <f t="shared" si="2"/>
        <v>492</v>
      </c>
      <c r="B493" s="4" t="s">
        <v>1123</v>
      </c>
      <c r="C493" s="5" t="s">
        <v>1124</v>
      </c>
      <c r="D493" s="4"/>
      <c r="E493" s="4"/>
      <c r="F493" s="4" t="s">
        <v>22</v>
      </c>
      <c r="G493" s="21">
        <v>55.38</v>
      </c>
      <c r="H493" s="7" t="s">
        <v>708</v>
      </c>
      <c r="I493" s="7" t="s">
        <v>709</v>
      </c>
      <c r="J493" s="7" t="s">
        <v>710</v>
      </c>
      <c r="K493" s="8"/>
      <c r="L493" s="8" t="s">
        <v>33</v>
      </c>
      <c r="M493" s="9">
        <f t="shared" si="1"/>
        <v>56</v>
      </c>
    </row>
    <row r="494" ht="12.75" customHeight="1">
      <c r="A494" s="4">
        <f t="shared" si="2"/>
        <v>493</v>
      </c>
      <c r="B494" s="4" t="s">
        <v>1125</v>
      </c>
      <c r="C494" s="5" t="s">
        <v>1126</v>
      </c>
      <c r="D494" s="4"/>
      <c r="E494" s="4"/>
      <c r="F494" s="4" t="s">
        <v>22</v>
      </c>
      <c r="G494" s="21">
        <v>55.38</v>
      </c>
      <c r="H494" s="7" t="s">
        <v>708</v>
      </c>
      <c r="I494" s="7" t="s">
        <v>709</v>
      </c>
      <c r="J494" s="7" t="s">
        <v>710</v>
      </c>
      <c r="K494" s="8"/>
      <c r="L494" s="8" t="s">
        <v>33</v>
      </c>
      <c r="M494" s="9">
        <f t="shared" si="1"/>
        <v>56</v>
      </c>
    </row>
    <row r="495" ht="12.75" customHeight="1">
      <c r="A495" s="4">
        <f t="shared" si="2"/>
        <v>494</v>
      </c>
      <c r="B495" s="4" t="s">
        <v>1127</v>
      </c>
      <c r="C495" s="5" t="s">
        <v>1128</v>
      </c>
      <c r="D495" s="4"/>
      <c r="E495" s="4"/>
      <c r="F495" s="4" t="s">
        <v>22</v>
      </c>
      <c r="G495" s="21">
        <v>60.51</v>
      </c>
      <c r="H495" s="7" t="s">
        <v>708</v>
      </c>
      <c r="I495" s="7" t="s">
        <v>709</v>
      </c>
      <c r="J495" s="7" t="s">
        <v>710</v>
      </c>
      <c r="K495" s="8"/>
      <c r="L495" s="8" t="s">
        <v>33</v>
      </c>
      <c r="M495" s="9">
        <f t="shared" si="1"/>
        <v>56</v>
      </c>
    </row>
    <row r="496" ht="12.75" customHeight="1">
      <c r="A496" s="4">
        <f t="shared" si="2"/>
        <v>495</v>
      </c>
      <c r="B496" s="4" t="s">
        <v>1129</v>
      </c>
      <c r="C496" s="5" t="s">
        <v>1130</v>
      </c>
      <c r="D496" s="4"/>
      <c r="E496" s="4"/>
      <c r="F496" s="4" t="s">
        <v>22</v>
      </c>
      <c r="G496" s="21">
        <v>59.7</v>
      </c>
      <c r="H496" s="7" t="s">
        <v>708</v>
      </c>
      <c r="I496" s="7" t="s">
        <v>709</v>
      </c>
      <c r="J496" s="7" t="s">
        <v>710</v>
      </c>
      <c r="K496" s="8"/>
      <c r="L496" s="8" t="s">
        <v>33</v>
      </c>
      <c r="M496" s="9">
        <f t="shared" si="1"/>
        <v>56</v>
      </c>
    </row>
    <row r="497" ht="12.75" customHeight="1">
      <c r="A497" s="4">
        <f t="shared" si="2"/>
        <v>496</v>
      </c>
      <c r="B497" s="4" t="s">
        <v>1131</v>
      </c>
      <c r="C497" s="5" t="s">
        <v>1132</v>
      </c>
      <c r="D497" s="4"/>
      <c r="E497" s="4"/>
      <c r="F497" s="4" t="s">
        <v>22</v>
      </c>
      <c r="G497" s="21">
        <v>65.11</v>
      </c>
      <c r="H497" s="7" t="s">
        <v>708</v>
      </c>
      <c r="I497" s="7" t="s">
        <v>709</v>
      </c>
      <c r="J497" s="7" t="s">
        <v>710</v>
      </c>
      <c r="K497" s="8"/>
      <c r="L497" s="8" t="s">
        <v>33</v>
      </c>
      <c r="M497" s="9">
        <f t="shared" si="1"/>
        <v>56</v>
      </c>
    </row>
    <row r="498" ht="12.75" customHeight="1">
      <c r="A498" s="4">
        <f t="shared" si="2"/>
        <v>497</v>
      </c>
      <c r="B498" s="4" t="s">
        <v>1133</v>
      </c>
      <c r="C498" s="5" t="s">
        <v>1134</v>
      </c>
      <c r="D498" s="4"/>
      <c r="E498" s="4"/>
      <c r="F498" s="4" t="s">
        <v>22</v>
      </c>
      <c r="G498" s="21">
        <v>34.84</v>
      </c>
      <c r="H498" s="7" t="s">
        <v>708</v>
      </c>
      <c r="I498" s="7" t="s">
        <v>709</v>
      </c>
      <c r="J498" s="7" t="s">
        <v>710</v>
      </c>
      <c r="K498" s="8"/>
      <c r="L498" s="8" t="s">
        <v>33</v>
      </c>
      <c r="M498" s="9">
        <f t="shared" si="1"/>
        <v>55</v>
      </c>
    </row>
    <row r="499" ht="12.75" customHeight="1">
      <c r="A499" s="4">
        <f t="shared" si="2"/>
        <v>498</v>
      </c>
      <c r="B499" s="4" t="s">
        <v>1135</v>
      </c>
      <c r="C499" s="5" t="s">
        <v>1136</v>
      </c>
      <c r="D499" s="4"/>
      <c r="E499" s="4"/>
      <c r="F499" s="4" t="s">
        <v>22</v>
      </c>
      <c r="G499" s="21">
        <v>29.73</v>
      </c>
      <c r="H499" s="7" t="s">
        <v>708</v>
      </c>
      <c r="I499" s="7" t="s">
        <v>709</v>
      </c>
      <c r="J499" s="7" t="s">
        <v>710</v>
      </c>
      <c r="K499" s="8"/>
      <c r="L499" s="8" t="s">
        <v>33</v>
      </c>
      <c r="M499" s="9">
        <f t="shared" si="1"/>
        <v>67</v>
      </c>
    </row>
    <row r="500" ht="12.75" customHeight="1">
      <c r="A500" s="4">
        <f t="shared" si="2"/>
        <v>499</v>
      </c>
      <c r="B500" s="4" t="s">
        <v>1137</v>
      </c>
      <c r="C500" s="5" t="s">
        <v>1138</v>
      </c>
      <c r="D500" s="4"/>
      <c r="E500" s="4"/>
      <c r="F500" s="4" t="s">
        <v>22</v>
      </c>
      <c r="G500" s="21">
        <v>5.41</v>
      </c>
      <c r="H500" s="7" t="s">
        <v>708</v>
      </c>
      <c r="I500" s="7" t="s">
        <v>709</v>
      </c>
      <c r="J500" s="7" t="s">
        <v>742</v>
      </c>
      <c r="K500" s="8"/>
      <c r="L500" s="8" t="s">
        <v>33</v>
      </c>
      <c r="M500" s="9">
        <f t="shared" si="1"/>
        <v>29</v>
      </c>
    </row>
    <row r="501" ht="12.75" customHeight="1">
      <c r="A501" s="4">
        <f t="shared" si="2"/>
        <v>500</v>
      </c>
      <c r="B501" s="4" t="s">
        <v>1139</v>
      </c>
      <c r="C501" s="5" t="s">
        <v>1140</v>
      </c>
      <c r="D501" s="4"/>
      <c r="E501" s="4"/>
      <c r="F501" s="4" t="s">
        <v>22</v>
      </c>
      <c r="G501" s="21">
        <v>4.13</v>
      </c>
      <c r="H501" s="7" t="s">
        <v>708</v>
      </c>
      <c r="I501" s="7" t="s">
        <v>709</v>
      </c>
      <c r="J501" s="7" t="s">
        <v>1141</v>
      </c>
      <c r="K501" s="8"/>
      <c r="L501" s="8" t="s">
        <v>577</v>
      </c>
      <c r="M501" s="9">
        <f t="shared" si="1"/>
        <v>56</v>
      </c>
    </row>
    <row r="502" ht="12.75" customHeight="1">
      <c r="A502" s="4">
        <f t="shared" si="2"/>
        <v>501</v>
      </c>
      <c r="B502" s="4" t="s">
        <v>1142</v>
      </c>
      <c r="C502" s="5" t="s">
        <v>1143</v>
      </c>
      <c r="D502" s="4"/>
      <c r="E502" s="4"/>
      <c r="F502" s="4" t="s">
        <v>22</v>
      </c>
      <c r="G502" s="21">
        <v>4.13</v>
      </c>
      <c r="H502" s="7" t="s">
        <v>708</v>
      </c>
      <c r="I502" s="7" t="s">
        <v>709</v>
      </c>
      <c r="J502" s="7" t="s">
        <v>1141</v>
      </c>
      <c r="K502" s="8"/>
      <c r="L502" s="8" t="s">
        <v>577</v>
      </c>
      <c r="M502" s="9">
        <f t="shared" si="1"/>
        <v>57</v>
      </c>
    </row>
    <row r="503" ht="12.75" customHeight="1">
      <c r="A503" s="4">
        <f t="shared" si="2"/>
        <v>502</v>
      </c>
      <c r="B503" s="4" t="s">
        <v>1144</v>
      </c>
      <c r="C503" s="5" t="s">
        <v>1145</v>
      </c>
      <c r="D503" s="4"/>
      <c r="E503" s="4"/>
      <c r="F503" s="4" t="s">
        <v>22</v>
      </c>
      <c r="G503" s="21">
        <v>5.14</v>
      </c>
      <c r="H503" s="7" t="s">
        <v>708</v>
      </c>
      <c r="I503" s="7" t="s">
        <v>709</v>
      </c>
      <c r="J503" s="7" t="s">
        <v>742</v>
      </c>
      <c r="K503" s="8"/>
      <c r="L503" s="8" t="s">
        <v>577</v>
      </c>
      <c r="M503" s="9">
        <f t="shared" si="1"/>
        <v>17</v>
      </c>
    </row>
    <row r="504" ht="12.75" customHeight="1">
      <c r="A504" s="4">
        <f t="shared" si="2"/>
        <v>503</v>
      </c>
      <c r="B504" s="4" t="s">
        <v>1146</v>
      </c>
      <c r="C504" s="5" t="s">
        <v>1147</v>
      </c>
      <c r="D504" s="4"/>
      <c r="E504" s="4"/>
      <c r="F504" s="4" t="s">
        <v>22</v>
      </c>
      <c r="G504" s="21">
        <v>5.41</v>
      </c>
      <c r="H504" s="7" t="s">
        <v>708</v>
      </c>
      <c r="I504" s="7" t="s">
        <v>709</v>
      </c>
      <c r="J504" s="7" t="s">
        <v>742</v>
      </c>
      <c r="K504" s="8"/>
      <c r="L504" s="8" t="s">
        <v>33</v>
      </c>
      <c r="M504" s="9">
        <f t="shared" si="1"/>
        <v>26</v>
      </c>
    </row>
    <row r="505" ht="12.75" customHeight="1">
      <c r="A505" s="4">
        <f t="shared" si="2"/>
        <v>504</v>
      </c>
      <c r="B505" s="4" t="s">
        <v>1148</v>
      </c>
      <c r="C505" s="5" t="s">
        <v>1149</v>
      </c>
      <c r="D505" s="4"/>
      <c r="E505" s="4"/>
      <c r="F505" s="4" t="s">
        <v>22</v>
      </c>
      <c r="G505" s="21">
        <v>4.13</v>
      </c>
      <c r="H505" s="7" t="s">
        <v>708</v>
      </c>
      <c r="I505" s="7" t="s">
        <v>709</v>
      </c>
      <c r="J505" s="7" t="s">
        <v>1141</v>
      </c>
      <c r="K505" s="8"/>
      <c r="L505" s="8" t="s">
        <v>577</v>
      </c>
      <c r="M505" s="9">
        <f t="shared" si="1"/>
        <v>57</v>
      </c>
    </row>
    <row r="506" ht="12.75" customHeight="1">
      <c r="A506" s="4">
        <f t="shared" si="2"/>
        <v>505</v>
      </c>
      <c r="B506" s="4" t="s">
        <v>1150</v>
      </c>
      <c r="C506" s="5" t="s">
        <v>1151</v>
      </c>
      <c r="D506" s="4"/>
      <c r="E506" s="4"/>
      <c r="F506" s="4" t="s">
        <v>22</v>
      </c>
      <c r="G506" s="21">
        <v>4.13</v>
      </c>
      <c r="H506" s="7" t="s">
        <v>708</v>
      </c>
      <c r="I506" s="7" t="s">
        <v>709</v>
      </c>
      <c r="J506" s="7" t="s">
        <v>1141</v>
      </c>
      <c r="K506" s="8"/>
      <c r="L506" s="8" t="s">
        <v>577</v>
      </c>
      <c r="M506" s="9">
        <f t="shared" si="1"/>
        <v>57</v>
      </c>
    </row>
    <row r="507" ht="12.75" customHeight="1">
      <c r="A507" s="4">
        <f t="shared" si="2"/>
        <v>506</v>
      </c>
      <c r="B507" s="4" t="s">
        <v>1152</v>
      </c>
      <c r="C507" s="5" t="s">
        <v>1153</v>
      </c>
      <c r="D507" s="4"/>
      <c r="E507" s="4"/>
      <c r="F507" s="4" t="s">
        <v>22</v>
      </c>
      <c r="G507" s="21">
        <v>8.11</v>
      </c>
      <c r="H507" s="7" t="s">
        <v>708</v>
      </c>
      <c r="I507" s="7" t="s">
        <v>709</v>
      </c>
      <c r="J507" s="7" t="s">
        <v>742</v>
      </c>
      <c r="K507" s="8"/>
      <c r="L507" s="8" t="s">
        <v>33</v>
      </c>
      <c r="M507" s="9">
        <f t="shared" si="1"/>
        <v>40</v>
      </c>
    </row>
    <row r="508" ht="12.75" customHeight="1">
      <c r="A508" s="4">
        <f t="shared" si="2"/>
        <v>507</v>
      </c>
      <c r="B508" s="4" t="s">
        <v>1154</v>
      </c>
      <c r="C508" s="5" t="s">
        <v>1155</v>
      </c>
      <c r="D508" s="4"/>
      <c r="E508" s="4"/>
      <c r="F508" s="4" t="s">
        <v>371</v>
      </c>
      <c r="G508" s="21">
        <v>27.03</v>
      </c>
      <c r="H508" s="7" t="s">
        <v>708</v>
      </c>
      <c r="I508" s="7" t="s">
        <v>709</v>
      </c>
      <c r="J508" s="7" t="s">
        <v>1141</v>
      </c>
      <c r="K508" s="8"/>
      <c r="L508" s="8" t="s">
        <v>577</v>
      </c>
      <c r="M508" s="9">
        <f t="shared" si="1"/>
        <v>63</v>
      </c>
    </row>
    <row r="509" ht="12.75" customHeight="1">
      <c r="A509" s="4">
        <f t="shared" si="2"/>
        <v>508</v>
      </c>
      <c r="B509" s="4" t="s">
        <v>1156</v>
      </c>
      <c r="C509" s="5" t="s">
        <v>1157</v>
      </c>
      <c r="D509" s="4"/>
      <c r="E509" s="4"/>
      <c r="F509" s="4" t="s">
        <v>371</v>
      </c>
      <c r="G509" s="21">
        <v>7.03</v>
      </c>
      <c r="H509" s="7" t="s">
        <v>708</v>
      </c>
      <c r="I509" s="7" t="s">
        <v>709</v>
      </c>
      <c r="J509" s="7" t="s">
        <v>1141</v>
      </c>
      <c r="K509" s="8"/>
      <c r="L509" s="8" t="s">
        <v>577</v>
      </c>
      <c r="M509" s="9">
        <f t="shared" si="1"/>
        <v>57</v>
      </c>
    </row>
    <row r="510" ht="12.75" customHeight="1">
      <c r="A510" s="4">
        <f t="shared" si="2"/>
        <v>509</v>
      </c>
      <c r="B510" s="4" t="s">
        <v>1158</v>
      </c>
      <c r="C510" s="5" t="s">
        <v>1159</v>
      </c>
      <c r="D510" s="4"/>
      <c r="E510" s="4"/>
      <c r="F510" s="4" t="s">
        <v>22</v>
      </c>
      <c r="G510" s="21">
        <v>127.99</v>
      </c>
      <c r="H510" s="7" t="s">
        <v>708</v>
      </c>
      <c r="I510" s="7" t="s">
        <v>709</v>
      </c>
      <c r="J510" s="7" t="s">
        <v>742</v>
      </c>
      <c r="K510" s="8"/>
      <c r="L510" s="8" t="s">
        <v>1160</v>
      </c>
      <c r="M510" s="9">
        <f t="shared" si="1"/>
        <v>79</v>
      </c>
    </row>
    <row r="511" ht="12.75" customHeight="1">
      <c r="A511" s="4">
        <f t="shared" si="2"/>
        <v>510</v>
      </c>
      <c r="B511" s="4" t="s">
        <v>1161</v>
      </c>
      <c r="C511" s="5" t="s">
        <v>1162</v>
      </c>
      <c r="D511" s="4"/>
      <c r="E511" s="4"/>
      <c r="F511" s="4" t="s">
        <v>22</v>
      </c>
      <c r="G511" s="21">
        <v>183.78</v>
      </c>
      <c r="H511" s="7" t="s">
        <v>708</v>
      </c>
      <c r="I511" s="7" t="s">
        <v>17</v>
      </c>
      <c r="J511" s="7" t="s">
        <v>1163</v>
      </c>
      <c r="K511" s="8"/>
      <c r="L511" s="8" t="s">
        <v>33</v>
      </c>
      <c r="M511" s="9">
        <f t="shared" si="1"/>
        <v>67</v>
      </c>
    </row>
    <row r="512" ht="12.75" customHeight="1">
      <c r="A512" s="4">
        <f t="shared" si="2"/>
        <v>511</v>
      </c>
      <c r="B512" s="4" t="s">
        <v>1164</v>
      </c>
      <c r="C512" s="5" t="s">
        <v>1165</v>
      </c>
      <c r="D512" s="4"/>
      <c r="E512" s="4"/>
      <c r="F512" s="4" t="s">
        <v>22</v>
      </c>
      <c r="G512" s="21">
        <v>202.7</v>
      </c>
      <c r="H512" s="7" t="s">
        <v>708</v>
      </c>
      <c r="I512" s="7" t="s">
        <v>17</v>
      </c>
      <c r="J512" s="7" t="s">
        <v>1163</v>
      </c>
      <c r="K512" s="8"/>
      <c r="L512" s="8" t="s">
        <v>33</v>
      </c>
      <c r="M512" s="9">
        <f t="shared" si="1"/>
        <v>67</v>
      </c>
    </row>
    <row r="513" ht="12.75" customHeight="1">
      <c r="A513" s="4">
        <f t="shared" si="2"/>
        <v>512</v>
      </c>
      <c r="B513" s="4" t="s">
        <v>1166</v>
      </c>
      <c r="C513" s="5" t="s">
        <v>1167</v>
      </c>
      <c r="D513" s="4"/>
      <c r="E513" s="4"/>
      <c r="F513" s="4" t="s">
        <v>22</v>
      </c>
      <c r="G513" s="21">
        <v>11.59</v>
      </c>
      <c r="H513" s="7" t="s">
        <v>708</v>
      </c>
      <c r="I513" s="7" t="s">
        <v>709</v>
      </c>
      <c r="J513" s="7" t="s">
        <v>821</v>
      </c>
      <c r="K513" s="8"/>
      <c r="L513" s="8" t="s">
        <v>33</v>
      </c>
      <c r="M513" s="9">
        <f t="shared" si="1"/>
        <v>30</v>
      </c>
    </row>
    <row r="514" ht="12.75" customHeight="1">
      <c r="A514" s="4">
        <f t="shared" si="2"/>
        <v>513</v>
      </c>
      <c r="B514" s="4" t="s">
        <v>1168</v>
      </c>
      <c r="C514" s="5" t="s">
        <v>1169</v>
      </c>
      <c r="D514" s="4"/>
      <c r="E514" s="4"/>
      <c r="F514" s="4" t="s">
        <v>22</v>
      </c>
      <c r="G514" s="21">
        <v>4.84</v>
      </c>
      <c r="H514" s="7" t="s">
        <v>708</v>
      </c>
      <c r="I514" s="7" t="s">
        <v>709</v>
      </c>
      <c r="J514" s="7" t="s">
        <v>821</v>
      </c>
      <c r="K514" s="8"/>
      <c r="L514" s="8" t="s">
        <v>33</v>
      </c>
      <c r="M514" s="9">
        <f t="shared" si="1"/>
        <v>23</v>
      </c>
    </row>
    <row r="515" ht="12.75" customHeight="1">
      <c r="A515" s="4">
        <f t="shared" si="2"/>
        <v>514</v>
      </c>
      <c r="B515" s="4" t="s">
        <v>1170</v>
      </c>
      <c r="C515" s="5" t="s">
        <v>1171</v>
      </c>
      <c r="D515" s="4"/>
      <c r="E515" s="4"/>
      <c r="F515" s="4" t="s">
        <v>22</v>
      </c>
      <c r="G515" s="21">
        <v>5.14</v>
      </c>
      <c r="H515" s="7" t="s">
        <v>708</v>
      </c>
      <c r="I515" s="7" t="s">
        <v>709</v>
      </c>
      <c r="J515" s="7" t="s">
        <v>821</v>
      </c>
      <c r="K515" s="8"/>
      <c r="L515" s="8" t="s">
        <v>33</v>
      </c>
      <c r="M515" s="9">
        <f t="shared" si="1"/>
        <v>23</v>
      </c>
    </row>
    <row r="516" ht="12.75" customHeight="1">
      <c r="A516" s="4">
        <f t="shared" si="2"/>
        <v>515</v>
      </c>
      <c r="B516" s="4" t="s">
        <v>1172</v>
      </c>
      <c r="C516" s="5" t="s">
        <v>1173</v>
      </c>
      <c r="D516" s="4"/>
      <c r="E516" s="4"/>
      <c r="F516" s="4" t="s">
        <v>22</v>
      </c>
      <c r="G516" s="21">
        <v>4.3</v>
      </c>
      <c r="H516" s="7" t="s">
        <v>708</v>
      </c>
      <c r="I516" s="7" t="s">
        <v>709</v>
      </c>
      <c r="J516" s="7" t="s">
        <v>821</v>
      </c>
      <c r="K516" s="8"/>
      <c r="L516" s="8" t="s">
        <v>33</v>
      </c>
      <c r="M516" s="9">
        <f t="shared" si="1"/>
        <v>22</v>
      </c>
    </row>
    <row r="517" ht="12.75" customHeight="1">
      <c r="A517" s="4">
        <f t="shared" si="2"/>
        <v>516</v>
      </c>
      <c r="B517" s="4" t="s">
        <v>1174</v>
      </c>
      <c r="C517" s="5" t="s">
        <v>1175</v>
      </c>
      <c r="D517" s="4"/>
      <c r="E517" s="4"/>
      <c r="F517" s="4" t="s">
        <v>22</v>
      </c>
      <c r="G517" s="21">
        <v>16.22</v>
      </c>
      <c r="H517" s="7" t="s">
        <v>708</v>
      </c>
      <c r="I517" s="7" t="s">
        <v>709</v>
      </c>
      <c r="J517" s="7" t="s">
        <v>821</v>
      </c>
      <c r="K517" s="8"/>
      <c r="L517" s="8" t="s">
        <v>33</v>
      </c>
      <c r="M517" s="9">
        <f t="shared" si="1"/>
        <v>22</v>
      </c>
    </row>
    <row r="518" ht="12.75" customHeight="1">
      <c r="A518" s="4">
        <f t="shared" si="2"/>
        <v>517</v>
      </c>
      <c r="B518" s="4" t="s">
        <v>1176</v>
      </c>
      <c r="C518" s="5" t="s">
        <v>1177</v>
      </c>
      <c r="D518" s="4"/>
      <c r="E518" s="4"/>
      <c r="F518" s="4" t="s">
        <v>22</v>
      </c>
      <c r="G518" s="21">
        <v>7.81</v>
      </c>
      <c r="H518" s="7" t="s">
        <v>708</v>
      </c>
      <c r="I518" s="7" t="s">
        <v>709</v>
      </c>
      <c r="J518" s="7" t="s">
        <v>821</v>
      </c>
      <c r="K518" s="8"/>
      <c r="L518" s="8" t="s">
        <v>33</v>
      </c>
      <c r="M518" s="9">
        <f t="shared" si="1"/>
        <v>33</v>
      </c>
    </row>
    <row r="519" ht="12.75" customHeight="1">
      <c r="A519" s="4">
        <f t="shared" si="2"/>
        <v>518</v>
      </c>
      <c r="B519" s="4" t="s">
        <v>1178</v>
      </c>
      <c r="C519" s="5" t="s">
        <v>1179</v>
      </c>
      <c r="D519" s="4"/>
      <c r="E519" s="4"/>
      <c r="F519" s="4" t="s">
        <v>22</v>
      </c>
      <c r="G519" s="21">
        <v>0.68</v>
      </c>
      <c r="H519" s="7" t="s">
        <v>708</v>
      </c>
      <c r="I519" s="7" t="s">
        <v>709</v>
      </c>
      <c r="J519" s="7" t="s">
        <v>736</v>
      </c>
      <c r="K519" s="8"/>
      <c r="L519" s="8" t="s">
        <v>33</v>
      </c>
      <c r="M519" s="9">
        <f t="shared" si="1"/>
        <v>33</v>
      </c>
    </row>
    <row r="520" ht="12.75" customHeight="1">
      <c r="A520" s="4">
        <f t="shared" si="2"/>
        <v>519</v>
      </c>
      <c r="B520" s="4" t="s">
        <v>1180</v>
      </c>
      <c r="C520" s="5" t="s">
        <v>1181</v>
      </c>
      <c r="D520" s="4"/>
      <c r="E520" s="4"/>
      <c r="F520" s="4" t="s">
        <v>22</v>
      </c>
      <c r="G520" s="21">
        <v>0.72</v>
      </c>
      <c r="H520" s="7" t="s">
        <v>708</v>
      </c>
      <c r="I520" s="7" t="s">
        <v>709</v>
      </c>
      <c r="J520" s="7" t="s">
        <v>736</v>
      </c>
      <c r="K520" s="8"/>
      <c r="L520" s="8" t="s">
        <v>33</v>
      </c>
      <c r="M520" s="9">
        <f t="shared" si="1"/>
        <v>33</v>
      </c>
    </row>
    <row r="521" ht="12.75" customHeight="1">
      <c r="A521" s="4">
        <f t="shared" si="2"/>
        <v>520</v>
      </c>
      <c r="B521" s="4" t="s">
        <v>1182</v>
      </c>
      <c r="C521" s="5" t="s">
        <v>1183</v>
      </c>
      <c r="D521" s="4"/>
      <c r="E521" s="4"/>
      <c r="F521" s="4" t="s">
        <v>22</v>
      </c>
      <c r="G521" s="21">
        <v>0.75</v>
      </c>
      <c r="H521" s="7" t="s">
        <v>708</v>
      </c>
      <c r="I521" s="7" t="s">
        <v>709</v>
      </c>
      <c r="J521" s="7" t="s">
        <v>736</v>
      </c>
      <c r="K521" s="8"/>
      <c r="L521" s="8" t="s">
        <v>33</v>
      </c>
      <c r="M521" s="9">
        <f t="shared" si="1"/>
        <v>33</v>
      </c>
    </row>
    <row r="522" ht="12.75" customHeight="1">
      <c r="A522" s="4">
        <f t="shared" si="2"/>
        <v>521</v>
      </c>
      <c r="B522" s="4" t="s">
        <v>1184</v>
      </c>
      <c r="C522" s="5" t="s">
        <v>1185</v>
      </c>
      <c r="D522" s="4"/>
      <c r="E522" s="4"/>
      <c r="F522" s="4" t="s">
        <v>22</v>
      </c>
      <c r="G522" s="21">
        <v>7.0</v>
      </c>
      <c r="H522" s="7" t="s">
        <v>708</v>
      </c>
      <c r="I522" s="7" t="s">
        <v>709</v>
      </c>
      <c r="J522" s="7" t="s">
        <v>742</v>
      </c>
      <c r="K522" s="8"/>
      <c r="L522" s="8" t="s">
        <v>33</v>
      </c>
      <c r="M522" s="9">
        <f t="shared" si="1"/>
        <v>40</v>
      </c>
    </row>
    <row r="523" ht="12.75" customHeight="1">
      <c r="A523" s="4">
        <f t="shared" si="2"/>
        <v>522</v>
      </c>
      <c r="B523" s="4" t="s">
        <v>1186</v>
      </c>
      <c r="C523" s="5" t="s">
        <v>1187</v>
      </c>
      <c r="D523" s="4"/>
      <c r="E523" s="4"/>
      <c r="F523" s="4" t="s">
        <v>22</v>
      </c>
      <c r="G523" s="21">
        <v>5.92</v>
      </c>
      <c r="H523" s="7" t="s">
        <v>708</v>
      </c>
      <c r="I523" s="7" t="s">
        <v>709</v>
      </c>
      <c r="J523" s="7" t="s">
        <v>742</v>
      </c>
      <c r="K523" s="8"/>
      <c r="L523" s="8" t="s">
        <v>33</v>
      </c>
      <c r="M523" s="9">
        <f t="shared" si="1"/>
        <v>40</v>
      </c>
    </row>
    <row r="524" ht="12.75" customHeight="1">
      <c r="A524" s="4">
        <f t="shared" si="2"/>
        <v>523</v>
      </c>
      <c r="B524" s="4" t="s">
        <v>1188</v>
      </c>
      <c r="C524" s="5" t="s">
        <v>1189</v>
      </c>
      <c r="D524" s="4"/>
      <c r="E524" s="4"/>
      <c r="F524" s="4" t="s">
        <v>22</v>
      </c>
      <c r="G524" s="21">
        <v>4.57</v>
      </c>
      <c r="H524" s="7" t="s">
        <v>708</v>
      </c>
      <c r="I524" s="7" t="s">
        <v>709</v>
      </c>
      <c r="J524" s="7" t="s">
        <v>736</v>
      </c>
      <c r="K524" s="8"/>
      <c r="L524" s="8" t="s">
        <v>33</v>
      </c>
      <c r="M524" s="9">
        <f t="shared" si="1"/>
        <v>49</v>
      </c>
    </row>
    <row r="525" ht="12.75" customHeight="1">
      <c r="A525" s="4">
        <f t="shared" si="2"/>
        <v>524</v>
      </c>
      <c r="B525" s="4" t="s">
        <v>1190</v>
      </c>
      <c r="C525" s="5" t="s">
        <v>1191</v>
      </c>
      <c r="D525" s="4"/>
      <c r="E525" s="4"/>
      <c r="F525" s="4" t="s">
        <v>22</v>
      </c>
      <c r="G525" s="21">
        <v>36.59</v>
      </c>
      <c r="H525" s="7" t="s">
        <v>708</v>
      </c>
      <c r="I525" s="7" t="s">
        <v>709</v>
      </c>
      <c r="J525" s="7" t="s">
        <v>710</v>
      </c>
      <c r="K525" s="8"/>
      <c r="L525" s="8" t="s">
        <v>33</v>
      </c>
      <c r="M525" s="9">
        <f t="shared" si="1"/>
        <v>44</v>
      </c>
    </row>
    <row r="526" ht="12.75" customHeight="1">
      <c r="A526" s="4">
        <f t="shared" si="2"/>
        <v>525</v>
      </c>
      <c r="B526" s="4" t="s">
        <v>1192</v>
      </c>
      <c r="C526" s="5" t="s">
        <v>1193</v>
      </c>
      <c r="D526" s="4"/>
      <c r="E526" s="4"/>
      <c r="F526" s="4" t="s">
        <v>22</v>
      </c>
      <c r="G526" s="21">
        <v>63.88</v>
      </c>
      <c r="H526" s="7" t="s">
        <v>708</v>
      </c>
      <c r="I526" s="7" t="s">
        <v>709</v>
      </c>
      <c r="J526" s="7" t="s">
        <v>710</v>
      </c>
      <c r="K526" s="8"/>
      <c r="L526" s="8" t="s">
        <v>33</v>
      </c>
      <c r="M526" s="9">
        <f t="shared" si="1"/>
        <v>44</v>
      </c>
    </row>
    <row r="527" ht="12.75" customHeight="1">
      <c r="A527" s="4">
        <f t="shared" si="2"/>
        <v>526</v>
      </c>
      <c r="B527" s="4" t="s">
        <v>1194</v>
      </c>
      <c r="C527" s="5" t="s">
        <v>1195</v>
      </c>
      <c r="D527" s="4"/>
      <c r="E527" s="4"/>
      <c r="F527" s="4" t="s">
        <v>22</v>
      </c>
      <c r="G527" s="21">
        <v>133.07</v>
      </c>
      <c r="H527" s="7" t="s">
        <v>708</v>
      </c>
      <c r="I527" s="7" t="s">
        <v>709</v>
      </c>
      <c r="J527" s="7" t="s">
        <v>710</v>
      </c>
      <c r="K527" s="8"/>
      <c r="L527" s="8" t="s">
        <v>33</v>
      </c>
      <c r="M527" s="9">
        <f t="shared" si="1"/>
        <v>43</v>
      </c>
    </row>
    <row r="528" ht="12.75" customHeight="1">
      <c r="A528" s="4">
        <f t="shared" si="2"/>
        <v>527</v>
      </c>
      <c r="B528" s="4" t="s">
        <v>1196</v>
      </c>
      <c r="C528" s="5" t="s">
        <v>1197</v>
      </c>
      <c r="D528" s="4"/>
      <c r="E528" s="4"/>
      <c r="F528" s="4" t="s">
        <v>22</v>
      </c>
      <c r="G528" s="21">
        <v>5.11</v>
      </c>
      <c r="H528" s="7" t="s">
        <v>708</v>
      </c>
      <c r="I528" s="7" t="s">
        <v>709</v>
      </c>
      <c r="J528" s="7" t="s">
        <v>742</v>
      </c>
      <c r="K528" s="8"/>
      <c r="L528" s="8" t="s">
        <v>33</v>
      </c>
      <c r="M528" s="9">
        <f t="shared" si="1"/>
        <v>28</v>
      </c>
    </row>
    <row r="529" ht="12.75" customHeight="1">
      <c r="A529" s="4">
        <f t="shared" si="2"/>
        <v>528</v>
      </c>
      <c r="B529" s="4" t="s">
        <v>1198</v>
      </c>
      <c r="C529" s="5" t="s">
        <v>1199</v>
      </c>
      <c r="D529" s="4"/>
      <c r="E529" s="4"/>
      <c r="F529" s="4" t="s">
        <v>22</v>
      </c>
      <c r="G529" s="21">
        <f>25.9/3.7</f>
        <v>7</v>
      </c>
      <c r="H529" s="7" t="s">
        <v>708</v>
      </c>
      <c r="I529" s="7" t="s">
        <v>709</v>
      </c>
      <c r="J529" s="7" t="s">
        <v>742</v>
      </c>
      <c r="K529" s="8"/>
      <c r="L529" s="8" t="s">
        <v>33</v>
      </c>
      <c r="M529" s="9">
        <f t="shared" si="1"/>
        <v>24</v>
      </c>
    </row>
    <row r="530" ht="12.75" customHeight="1">
      <c r="A530" s="4">
        <f t="shared" si="2"/>
        <v>529</v>
      </c>
      <c r="B530" s="4" t="s">
        <v>1200</v>
      </c>
      <c r="C530" s="5" t="s">
        <v>1201</v>
      </c>
      <c r="D530" s="4"/>
      <c r="E530" s="4"/>
      <c r="F530" s="4" t="s">
        <v>22</v>
      </c>
      <c r="G530" s="21">
        <v>4.3</v>
      </c>
      <c r="H530" s="7" t="s">
        <v>708</v>
      </c>
      <c r="I530" s="7" t="s">
        <v>709</v>
      </c>
      <c r="J530" s="7" t="s">
        <v>742</v>
      </c>
      <c r="K530" s="8"/>
      <c r="L530" s="8" t="s">
        <v>33</v>
      </c>
      <c r="M530" s="9">
        <f t="shared" si="1"/>
        <v>26</v>
      </c>
    </row>
    <row r="531" ht="12.75" customHeight="1">
      <c r="A531" s="4">
        <f t="shared" si="2"/>
        <v>530</v>
      </c>
      <c r="B531" s="4" t="s">
        <v>1202</v>
      </c>
      <c r="C531" s="5" t="s">
        <v>1203</v>
      </c>
      <c r="D531" s="4"/>
      <c r="E531" s="4"/>
      <c r="F531" s="4" t="s">
        <v>22</v>
      </c>
      <c r="G531" s="21">
        <v>4.3</v>
      </c>
      <c r="H531" s="7" t="s">
        <v>708</v>
      </c>
      <c r="I531" s="7" t="s">
        <v>709</v>
      </c>
      <c r="J531" s="7" t="s">
        <v>742</v>
      </c>
      <c r="K531" s="8"/>
      <c r="L531" s="8" t="s">
        <v>33</v>
      </c>
      <c r="M531" s="9">
        <f t="shared" si="1"/>
        <v>26</v>
      </c>
    </row>
    <row r="532" ht="12.75" customHeight="1">
      <c r="A532" s="4">
        <f t="shared" si="2"/>
        <v>531</v>
      </c>
      <c r="B532" s="4" t="s">
        <v>1204</v>
      </c>
      <c r="C532" s="5" t="s">
        <v>1205</v>
      </c>
      <c r="D532" s="4"/>
      <c r="E532" s="4"/>
      <c r="F532" s="4" t="s">
        <v>22</v>
      </c>
      <c r="G532" s="21">
        <v>4.84</v>
      </c>
      <c r="H532" s="7" t="s">
        <v>708</v>
      </c>
      <c r="I532" s="7" t="s">
        <v>709</v>
      </c>
      <c r="J532" s="7" t="s">
        <v>742</v>
      </c>
      <c r="K532" s="8"/>
      <c r="L532" s="8" t="s">
        <v>33</v>
      </c>
      <c r="M532" s="9">
        <f t="shared" si="1"/>
        <v>26</v>
      </c>
    </row>
    <row r="533" ht="12.75" customHeight="1">
      <c r="A533" s="4">
        <f t="shared" si="2"/>
        <v>532</v>
      </c>
      <c r="B533" s="4" t="s">
        <v>1206</v>
      </c>
      <c r="C533" s="5" t="s">
        <v>1207</v>
      </c>
      <c r="D533" s="4"/>
      <c r="E533" s="4"/>
      <c r="F533" s="4" t="s">
        <v>22</v>
      </c>
      <c r="G533" s="21">
        <v>9.7</v>
      </c>
      <c r="H533" s="7" t="s">
        <v>708</v>
      </c>
      <c r="I533" s="7" t="s">
        <v>709</v>
      </c>
      <c r="J533" s="7" t="s">
        <v>736</v>
      </c>
      <c r="K533" s="8"/>
      <c r="L533" s="8" t="s">
        <v>33</v>
      </c>
      <c r="M533" s="9">
        <f t="shared" si="1"/>
        <v>24</v>
      </c>
    </row>
    <row r="534" ht="12.75" customHeight="1">
      <c r="A534" s="4">
        <f t="shared" si="2"/>
        <v>533</v>
      </c>
      <c r="B534" s="4" t="s">
        <v>1208</v>
      </c>
      <c r="C534" s="5" t="s">
        <v>1209</v>
      </c>
      <c r="D534" s="4"/>
      <c r="E534" s="4"/>
      <c r="F534" s="4" t="s">
        <v>22</v>
      </c>
      <c r="G534" s="21">
        <v>28.38</v>
      </c>
      <c r="H534" s="7" t="s">
        <v>708</v>
      </c>
      <c r="I534" s="7" t="s">
        <v>17</v>
      </c>
      <c r="J534" s="7" t="s">
        <v>32</v>
      </c>
      <c r="K534" s="8"/>
      <c r="L534" s="8" t="s">
        <v>33</v>
      </c>
      <c r="M534" s="9">
        <f t="shared" si="1"/>
        <v>48</v>
      </c>
    </row>
    <row r="535" ht="12.75" customHeight="1">
      <c r="A535" s="4">
        <f t="shared" si="2"/>
        <v>534</v>
      </c>
      <c r="B535" s="4" t="s">
        <v>1210</v>
      </c>
      <c r="C535" s="5" t="s">
        <v>1211</v>
      </c>
      <c r="D535" s="4"/>
      <c r="E535" s="4"/>
      <c r="F535" s="4" t="s">
        <v>22</v>
      </c>
      <c r="G535" s="21">
        <v>28.38</v>
      </c>
      <c r="H535" s="7" t="s">
        <v>708</v>
      </c>
      <c r="I535" s="7" t="s">
        <v>17</v>
      </c>
      <c r="J535" s="7" t="s">
        <v>32</v>
      </c>
      <c r="K535" s="8"/>
      <c r="L535" s="8" t="s">
        <v>33</v>
      </c>
      <c r="M535" s="9">
        <f t="shared" si="1"/>
        <v>42</v>
      </c>
    </row>
    <row r="536" ht="12.75" customHeight="1">
      <c r="A536" s="4">
        <f t="shared" si="2"/>
        <v>535</v>
      </c>
      <c r="B536" s="4" t="s">
        <v>1212</v>
      </c>
      <c r="C536" s="5" t="s">
        <v>1213</v>
      </c>
      <c r="D536" s="4"/>
      <c r="E536" s="4"/>
      <c r="F536" s="4" t="s">
        <v>22</v>
      </c>
      <c r="G536" s="21">
        <v>28.38</v>
      </c>
      <c r="H536" s="7" t="s">
        <v>708</v>
      </c>
      <c r="I536" s="7" t="s">
        <v>17</v>
      </c>
      <c r="J536" s="7" t="s">
        <v>32</v>
      </c>
      <c r="K536" s="8"/>
      <c r="L536" s="8" t="s">
        <v>33</v>
      </c>
      <c r="M536" s="9">
        <f t="shared" si="1"/>
        <v>43</v>
      </c>
    </row>
    <row r="537" ht="12.75" customHeight="1">
      <c r="A537" s="4">
        <f t="shared" si="2"/>
        <v>536</v>
      </c>
      <c r="B537" s="4" t="s">
        <v>1214</v>
      </c>
      <c r="C537" s="5" t="s">
        <v>1215</v>
      </c>
      <c r="D537" s="4"/>
      <c r="E537" s="4"/>
      <c r="F537" s="4" t="s">
        <v>22</v>
      </c>
      <c r="G537" s="21">
        <v>6.46</v>
      </c>
      <c r="H537" s="7" t="s">
        <v>708</v>
      </c>
      <c r="I537" s="7" t="s">
        <v>709</v>
      </c>
      <c r="J537" s="7" t="s">
        <v>742</v>
      </c>
      <c r="K537" s="8"/>
      <c r="L537" s="8" t="s">
        <v>33</v>
      </c>
      <c r="M537" s="9">
        <f t="shared" si="1"/>
        <v>26</v>
      </c>
    </row>
    <row r="538" ht="12.75" customHeight="1">
      <c r="A538" s="4">
        <f t="shared" si="2"/>
        <v>537</v>
      </c>
      <c r="B538" s="4" t="s">
        <v>1216</v>
      </c>
      <c r="C538" s="5" t="s">
        <v>1217</v>
      </c>
      <c r="D538" s="4"/>
      <c r="E538" s="4"/>
      <c r="F538" s="4" t="s">
        <v>22</v>
      </c>
      <c r="G538" s="21">
        <v>4.03</v>
      </c>
      <c r="H538" s="7" t="s">
        <v>708</v>
      </c>
      <c r="I538" s="7" t="s">
        <v>709</v>
      </c>
      <c r="J538" s="7" t="s">
        <v>736</v>
      </c>
      <c r="K538" s="8"/>
      <c r="L538" s="8" t="s">
        <v>33</v>
      </c>
      <c r="M538" s="9">
        <f t="shared" si="1"/>
        <v>45</v>
      </c>
    </row>
    <row r="539" ht="12.75" customHeight="1">
      <c r="A539" s="4">
        <f t="shared" si="2"/>
        <v>538</v>
      </c>
      <c r="B539" s="4" t="s">
        <v>1218</v>
      </c>
      <c r="C539" s="5" t="s">
        <v>1219</v>
      </c>
      <c r="D539" s="4"/>
      <c r="E539" s="4"/>
      <c r="F539" s="4" t="s">
        <v>22</v>
      </c>
      <c r="G539" s="21">
        <v>36.73</v>
      </c>
      <c r="H539" s="7" t="s">
        <v>708</v>
      </c>
      <c r="I539" s="7" t="s">
        <v>709</v>
      </c>
      <c r="J539" s="7" t="s">
        <v>742</v>
      </c>
      <c r="K539" s="8"/>
      <c r="L539" s="8" t="s">
        <v>33</v>
      </c>
      <c r="M539" s="9">
        <f t="shared" si="1"/>
        <v>37</v>
      </c>
    </row>
    <row r="540" ht="12.75" customHeight="1">
      <c r="A540" s="4">
        <f t="shared" si="2"/>
        <v>539</v>
      </c>
      <c r="B540" s="4" t="s">
        <v>1220</v>
      </c>
      <c r="C540" s="5" t="s">
        <v>1221</v>
      </c>
      <c r="D540" s="4"/>
      <c r="E540" s="4"/>
      <c r="F540" s="4" t="s">
        <v>371</v>
      </c>
      <c r="G540" s="21">
        <v>8.11</v>
      </c>
      <c r="H540" s="7" t="s">
        <v>708</v>
      </c>
      <c r="I540" s="7" t="s">
        <v>709</v>
      </c>
      <c r="J540" s="7" t="s">
        <v>710</v>
      </c>
      <c r="K540" s="8"/>
      <c r="L540" s="8" t="s">
        <v>1222</v>
      </c>
      <c r="M540" s="9">
        <f t="shared" si="1"/>
        <v>20</v>
      </c>
    </row>
    <row r="541" ht="12.75" customHeight="1">
      <c r="A541" s="4">
        <f t="shared" si="2"/>
        <v>540</v>
      </c>
      <c r="B541" s="4" t="s">
        <v>1223</v>
      </c>
      <c r="C541" s="5" t="s">
        <v>1224</v>
      </c>
      <c r="D541" s="4"/>
      <c r="E541" s="4"/>
      <c r="F541" s="4" t="s">
        <v>371</v>
      </c>
      <c r="G541" s="21">
        <v>3.78</v>
      </c>
      <c r="H541" s="7" t="s">
        <v>708</v>
      </c>
      <c r="I541" s="7" t="s">
        <v>709</v>
      </c>
      <c r="J541" s="7" t="s">
        <v>710</v>
      </c>
      <c r="K541" s="8"/>
      <c r="L541" s="8" t="s">
        <v>507</v>
      </c>
      <c r="M541" s="9">
        <f t="shared" si="1"/>
        <v>79</v>
      </c>
    </row>
    <row r="542" ht="12.75" customHeight="1">
      <c r="A542" s="4">
        <f t="shared" si="2"/>
        <v>541</v>
      </c>
      <c r="B542" s="4" t="s">
        <v>1225</v>
      </c>
      <c r="C542" s="5" t="s">
        <v>1226</v>
      </c>
      <c r="D542" s="4"/>
      <c r="E542" s="4"/>
      <c r="F542" s="4" t="s">
        <v>371</v>
      </c>
      <c r="G542" s="21">
        <v>3.78</v>
      </c>
      <c r="H542" s="7" t="s">
        <v>708</v>
      </c>
      <c r="I542" s="7" t="s">
        <v>709</v>
      </c>
      <c r="J542" s="7" t="s">
        <v>710</v>
      </c>
      <c r="K542" s="8"/>
      <c r="L542" s="8" t="s">
        <v>507</v>
      </c>
      <c r="M542" s="9">
        <f t="shared" si="1"/>
        <v>79</v>
      </c>
    </row>
    <row r="543" ht="12.75" customHeight="1">
      <c r="A543" s="4">
        <f t="shared" si="2"/>
        <v>542</v>
      </c>
      <c r="B543" s="4" t="s">
        <v>1227</v>
      </c>
      <c r="C543" s="5" t="s">
        <v>1228</v>
      </c>
      <c r="D543" s="4"/>
      <c r="E543" s="4"/>
      <c r="F543" s="4" t="s">
        <v>371</v>
      </c>
      <c r="G543" s="21">
        <v>51.69</v>
      </c>
      <c r="H543" s="7" t="s">
        <v>708</v>
      </c>
      <c r="I543" s="7" t="s">
        <v>709</v>
      </c>
      <c r="J543" s="7" t="s">
        <v>710</v>
      </c>
      <c r="K543" s="8"/>
      <c r="L543" s="8" t="s">
        <v>577</v>
      </c>
      <c r="M543" s="9">
        <f t="shared" si="1"/>
        <v>52</v>
      </c>
    </row>
    <row r="544" ht="12.75" customHeight="1">
      <c r="A544" s="4">
        <f t="shared" si="2"/>
        <v>543</v>
      </c>
      <c r="B544" s="4" t="s">
        <v>1229</v>
      </c>
      <c r="C544" s="5" t="s">
        <v>1230</v>
      </c>
      <c r="D544" s="4"/>
      <c r="E544" s="4"/>
      <c r="F544" s="4" t="s">
        <v>371</v>
      </c>
      <c r="G544" s="21">
        <v>36.75</v>
      </c>
      <c r="H544" s="7" t="s">
        <v>708</v>
      </c>
      <c r="I544" s="7" t="s">
        <v>709</v>
      </c>
      <c r="J544" s="7" t="s">
        <v>710</v>
      </c>
      <c r="K544" s="8"/>
      <c r="L544" s="8" t="s">
        <v>577</v>
      </c>
      <c r="M544" s="9">
        <f t="shared" si="1"/>
        <v>61</v>
      </c>
    </row>
    <row r="545" ht="12.75" customHeight="1">
      <c r="A545" s="4">
        <f t="shared" si="2"/>
        <v>544</v>
      </c>
      <c r="B545" s="4" t="s">
        <v>1231</v>
      </c>
      <c r="C545" s="5" t="s">
        <v>1232</v>
      </c>
      <c r="D545" s="4"/>
      <c r="E545" s="4"/>
      <c r="F545" s="4" t="s">
        <v>371</v>
      </c>
      <c r="G545" s="21">
        <v>45.92</v>
      </c>
      <c r="H545" s="7" t="s">
        <v>708</v>
      </c>
      <c r="I545" s="7" t="s">
        <v>709</v>
      </c>
      <c r="J545" s="7" t="s">
        <v>710</v>
      </c>
      <c r="K545" s="8"/>
      <c r="L545" s="8" t="s">
        <v>577</v>
      </c>
      <c r="M545" s="9">
        <f t="shared" si="1"/>
        <v>48</v>
      </c>
    </row>
    <row r="546" ht="12.75" customHeight="1">
      <c r="A546" s="4">
        <f t="shared" si="2"/>
        <v>545</v>
      </c>
      <c r="B546" s="4" t="s">
        <v>1233</v>
      </c>
      <c r="C546" s="5" t="s">
        <v>1234</v>
      </c>
      <c r="D546" s="4"/>
      <c r="E546" s="4"/>
      <c r="F546" s="4" t="s">
        <v>371</v>
      </c>
      <c r="G546" s="21">
        <v>154.38</v>
      </c>
      <c r="H546" s="7" t="s">
        <v>708</v>
      </c>
      <c r="I546" s="7" t="s">
        <v>709</v>
      </c>
      <c r="J546" s="7" t="s">
        <v>710</v>
      </c>
      <c r="K546" s="8"/>
      <c r="L546" s="8" t="s">
        <v>577</v>
      </c>
      <c r="M546" s="9">
        <f t="shared" si="1"/>
        <v>48</v>
      </c>
    </row>
    <row r="547" ht="12.75" customHeight="1">
      <c r="A547" s="4">
        <f t="shared" si="2"/>
        <v>546</v>
      </c>
      <c r="B547" s="4" t="s">
        <v>1235</v>
      </c>
      <c r="C547" s="5" t="s">
        <v>1236</v>
      </c>
      <c r="D547" s="4"/>
      <c r="E547" s="4"/>
      <c r="F547" s="4" t="s">
        <v>371</v>
      </c>
      <c r="G547" s="21">
        <v>170.24</v>
      </c>
      <c r="H547" s="7" t="s">
        <v>708</v>
      </c>
      <c r="I547" s="7" t="s">
        <v>709</v>
      </c>
      <c r="J547" s="7" t="s">
        <v>710</v>
      </c>
      <c r="K547" s="8"/>
      <c r="L547" s="8" t="s">
        <v>577</v>
      </c>
      <c r="M547" s="9">
        <f t="shared" si="1"/>
        <v>52</v>
      </c>
    </row>
    <row r="548" ht="12.75" customHeight="1">
      <c r="A548" s="4">
        <f t="shared" si="2"/>
        <v>547</v>
      </c>
      <c r="B548" s="4" t="s">
        <v>1237</v>
      </c>
      <c r="C548" s="5" t="s">
        <v>1238</v>
      </c>
      <c r="D548" s="4"/>
      <c r="E548" s="4"/>
      <c r="F548" s="4" t="s">
        <v>371</v>
      </c>
      <c r="G548" s="21">
        <v>37.18</v>
      </c>
      <c r="H548" s="7" t="s">
        <v>708</v>
      </c>
      <c r="I548" s="7" t="s">
        <v>709</v>
      </c>
      <c r="J548" s="7" t="s">
        <v>710</v>
      </c>
      <c r="K548" s="8"/>
      <c r="L548" s="8" t="s">
        <v>1239</v>
      </c>
      <c r="M548" s="9">
        <f t="shared" si="1"/>
        <v>70</v>
      </c>
    </row>
    <row r="549" ht="12.75" customHeight="1">
      <c r="A549" s="4">
        <f t="shared" si="2"/>
        <v>548</v>
      </c>
      <c r="B549" s="4" t="s">
        <v>1240</v>
      </c>
      <c r="C549" s="5" t="s">
        <v>1241</v>
      </c>
      <c r="D549" s="4"/>
      <c r="E549" s="4"/>
      <c r="F549" s="4" t="s">
        <v>371</v>
      </c>
      <c r="G549" s="21">
        <v>247.0</v>
      </c>
      <c r="H549" s="7" t="s">
        <v>708</v>
      </c>
      <c r="I549" s="7" t="s">
        <v>709</v>
      </c>
      <c r="J549" s="7" t="s">
        <v>710</v>
      </c>
      <c r="K549" s="8"/>
      <c r="L549" s="8" t="s">
        <v>1242</v>
      </c>
      <c r="M549" s="9">
        <f t="shared" si="1"/>
        <v>76</v>
      </c>
    </row>
    <row r="550" ht="12.75" customHeight="1">
      <c r="A550" s="4">
        <f t="shared" si="2"/>
        <v>549</v>
      </c>
      <c r="B550" s="4" t="s">
        <v>1243</v>
      </c>
      <c r="C550" s="5" t="s">
        <v>1244</v>
      </c>
      <c r="D550" s="4"/>
      <c r="E550" s="4"/>
      <c r="F550" s="4" t="s">
        <v>371</v>
      </c>
      <c r="G550" s="21">
        <v>38.92</v>
      </c>
      <c r="H550" s="7" t="s">
        <v>708</v>
      </c>
      <c r="I550" s="7" t="s">
        <v>709</v>
      </c>
      <c r="J550" s="7" t="s">
        <v>710</v>
      </c>
      <c r="K550" s="8"/>
      <c r="L550" s="8" t="s">
        <v>577</v>
      </c>
      <c r="M550" s="9">
        <f t="shared" si="1"/>
        <v>65</v>
      </c>
    </row>
    <row r="551" ht="12.75" customHeight="1">
      <c r="A551" s="4">
        <f t="shared" si="2"/>
        <v>550</v>
      </c>
      <c r="B551" s="4" t="s">
        <v>1245</v>
      </c>
      <c r="C551" s="5" t="s">
        <v>1246</v>
      </c>
      <c r="D551" s="4"/>
      <c r="E551" s="4"/>
      <c r="F551" s="4" t="s">
        <v>371</v>
      </c>
      <c r="G551" s="21">
        <v>67.54</v>
      </c>
      <c r="H551" s="7" t="s">
        <v>708</v>
      </c>
      <c r="I551" s="7" t="s">
        <v>709</v>
      </c>
      <c r="J551" s="7" t="s">
        <v>710</v>
      </c>
      <c r="K551" s="8"/>
      <c r="L551" s="8" t="s">
        <v>33</v>
      </c>
      <c r="M551" s="9">
        <f t="shared" si="1"/>
        <v>43</v>
      </c>
    </row>
    <row r="552" ht="12.75" customHeight="1">
      <c r="A552" s="4">
        <f t="shared" si="2"/>
        <v>551</v>
      </c>
      <c r="B552" s="4" t="s">
        <v>1247</v>
      </c>
      <c r="C552" s="5" t="s">
        <v>1248</v>
      </c>
      <c r="D552" s="4"/>
      <c r="E552" s="4"/>
      <c r="F552" s="4" t="s">
        <v>371</v>
      </c>
      <c r="G552" s="21">
        <v>81.49</v>
      </c>
      <c r="H552" s="7" t="s">
        <v>708</v>
      </c>
      <c r="I552" s="7" t="s">
        <v>709</v>
      </c>
      <c r="J552" s="7" t="s">
        <v>710</v>
      </c>
      <c r="K552" s="8"/>
      <c r="L552" s="8" t="s">
        <v>33</v>
      </c>
      <c r="M552" s="9">
        <f t="shared" si="1"/>
        <v>45</v>
      </c>
    </row>
    <row r="553" ht="12.75" customHeight="1">
      <c r="A553" s="4">
        <f t="shared" si="2"/>
        <v>552</v>
      </c>
      <c r="B553" s="4" t="s">
        <v>1249</v>
      </c>
      <c r="C553" s="5" t="s">
        <v>1250</v>
      </c>
      <c r="D553" s="4"/>
      <c r="E553" s="4"/>
      <c r="F553" s="4" t="s">
        <v>371</v>
      </c>
      <c r="G553" s="21">
        <v>68.0</v>
      </c>
      <c r="H553" s="7" t="s">
        <v>708</v>
      </c>
      <c r="I553" s="7" t="s">
        <v>709</v>
      </c>
      <c r="J553" s="7" t="s">
        <v>710</v>
      </c>
      <c r="K553" s="8"/>
      <c r="L553" s="8" t="s">
        <v>33</v>
      </c>
      <c r="M553" s="9">
        <f t="shared" si="1"/>
        <v>41</v>
      </c>
    </row>
    <row r="554" ht="12.75" customHeight="1">
      <c r="A554" s="4">
        <f t="shared" si="2"/>
        <v>553</v>
      </c>
      <c r="B554" s="4" t="s">
        <v>1251</v>
      </c>
      <c r="C554" s="5" t="s">
        <v>1252</v>
      </c>
      <c r="D554" s="4"/>
      <c r="E554" s="4"/>
      <c r="F554" s="4" t="s">
        <v>371</v>
      </c>
      <c r="G554" s="21">
        <v>24.93</v>
      </c>
      <c r="H554" s="7" t="s">
        <v>708</v>
      </c>
      <c r="I554" s="7" t="s">
        <v>709</v>
      </c>
      <c r="J554" s="7" t="s">
        <v>710</v>
      </c>
      <c r="K554" s="8"/>
      <c r="L554" s="8" t="s">
        <v>33</v>
      </c>
      <c r="M554" s="9">
        <f t="shared" si="1"/>
        <v>62</v>
      </c>
    </row>
    <row r="555" ht="12.75" customHeight="1">
      <c r="A555" s="4">
        <f t="shared" si="2"/>
        <v>554</v>
      </c>
      <c r="B555" s="4" t="s">
        <v>1253</v>
      </c>
      <c r="C555" s="5" t="s">
        <v>1254</v>
      </c>
      <c r="D555" s="4"/>
      <c r="E555" s="4"/>
      <c r="F555" s="4" t="s">
        <v>22</v>
      </c>
      <c r="G555" s="21">
        <v>6.49</v>
      </c>
      <c r="H555" s="7" t="s">
        <v>708</v>
      </c>
      <c r="I555" s="7" t="s">
        <v>709</v>
      </c>
      <c r="J555" s="7" t="s">
        <v>742</v>
      </c>
      <c r="K555" s="8"/>
      <c r="L555" s="8" t="s">
        <v>33</v>
      </c>
      <c r="M555" s="9">
        <f t="shared" si="1"/>
        <v>39</v>
      </c>
    </row>
    <row r="556" ht="12.75" customHeight="1">
      <c r="A556" s="4">
        <f t="shared" si="2"/>
        <v>555</v>
      </c>
      <c r="B556" s="4" t="s">
        <v>1255</v>
      </c>
      <c r="C556" s="5" t="s">
        <v>1256</v>
      </c>
      <c r="D556" s="4"/>
      <c r="E556" s="4"/>
      <c r="F556" s="4" t="s">
        <v>22</v>
      </c>
      <c r="G556" s="21">
        <v>463.66</v>
      </c>
      <c r="H556" s="7" t="s">
        <v>708</v>
      </c>
      <c r="I556" s="7" t="s">
        <v>709</v>
      </c>
      <c r="J556" s="7" t="s">
        <v>742</v>
      </c>
      <c r="K556" s="8"/>
      <c r="L556" s="8" t="s">
        <v>33</v>
      </c>
      <c r="M556" s="9">
        <f t="shared" si="1"/>
        <v>52</v>
      </c>
    </row>
    <row r="557" ht="12.75" customHeight="1">
      <c r="A557" s="4">
        <f t="shared" si="2"/>
        <v>556</v>
      </c>
      <c r="B557" s="4" t="s">
        <v>1257</v>
      </c>
      <c r="C557" s="5" t="s">
        <v>1258</v>
      </c>
      <c r="D557" s="4"/>
      <c r="E557" s="4"/>
      <c r="F557" s="4" t="s">
        <v>22</v>
      </c>
      <c r="G557" s="21">
        <v>12.41</v>
      </c>
      <c r="H557" s="7" t="s">
        <v>708</v>
      </c>
      <c r="I557" s="7" t="s">
        <v>709</v>
      </c>
      <c r="J557" s="7" t="s">
        <v>742</v>
      </c>
      <c r="K557" s="8"/>
      <c r="L557" s="8" t="s">
        <v>33</v>
      </c>
      <c r="M557" s="9">
        <f t="shared" si="1"/>
        <v>38</v>
      </c>
    </row>
    <row r="558" ht="12.75" customHeight="1">
      <c r="A558" s="4">
        <f t="shared" si="2"/>
        <v>557</v>
      </c>
      <c r="B558" s="4" t="s">
        <v>1259</v>
      </c>
      <c r="C558" s="5" t="s">
        <v>1260</v>
      </c>
      <c r="D558" s="4"/>
      <c r="E558" s="4"/>
      <c r="F558" s="4" t="s">
        <v>22</v>
      </c>
      <c r="G558" s="21">
        <v>4.03</v>
      </c>
      <c r="H558" s="7" t="s">
        <v>708</v>
      </c>
      <c r="I558" s="7" t="s">
        <v>709</v>
      </c>
      <c r="J558" s="7" t="s">
        <v>736</v>
      </c>
      <c r="K558" s="8"/>
      <c r="L558" s="8" t="s">
        <v>33</v>
      </c>
      <c r="M558" s="9">
        <f t="shared" si="1"/>
        <v>65</v>
      </c>
    </row>
    <row r="559" ht="12.75" customHeight="1">
      <c r="A559" s="4">
        <f t="shared" si="2"/>
        <v>558</v>
      </c>
      <c r="B559" s="4" t="s">
        <v>1261</v>
      </c>
      <c r="C559" s="5" t="s">
        <v>1262</v>
      </c>
      <c r="D559" s="4"/>
      <c r="E559" s="4"/>
      <c r="F559" s="4" t="s">
        <v>22</v>
      </c>
      <c r="G559" s="21">
        <v>2.95</v>
      </c>
      <c r="H559" s="7" t="s">
        <v>708</v>
      </c>
      <c r="I559" s="7" t="s">
        <v>709</v>
      </c>
      <c r="J559" s="7" t="s">
        <v>742</v>
      </c>
      <c r="K559" s="8"/>
      <c r="L559" s="8" t="s">
        <v>33</v>
      </c>
      <c r="M559" s="9">
        <f t="shared" si="1"/>
        <v>36</v>
      </c>
    </row>
    <row r="560" ht="12.75" customHeight="1">
      <c r="A560" s="4">
        <f t="shared" si="2"/>
        <v>559</v>
      </c>
      <c r="B560" s="4" t="s">
        <v>1263</v>
      </c>
      <c r="C560" s="5" t="s">
        <v>1264</v>
      </c>
      <c r="D560" s="4"/>
      <c r="E560" s="4"/>
      <c r="F560" s="4" t="s">
        <v>22</v>
      </c>
      <c r="G560" s="21">
        <v>2.95</v>
      </c>
      <c r="H560" s="7" t="s">
        <v>708</v>
      </c>
      <c r="I560" s="7" t="s">
        <v>709</v>
      </c>
      <c r="J560" s="7" t="s">
        <v>742</v>
      </c>
      <c r="K560" s="8"/>
      <c r="L560" s="8" t="s">
        <v>33</v>
      </c>
      <c r="M560" s="9">
        <f t="shared" si="1"/>
        <v>31</v>
      </c>
    </row>
    <row r="561" ht="12.75" customHeight="1">
      <c r="A561" s="4">
        <f t="shared" si="2"/>
        <v>560</v>
      </c>
      <c r="B561" s="4" t="s">
        <v>1265</v>
      </c>
      <c r="C561" s="5" t="s">
        <v>1266</v>
      </c>
      <c r="D561" s="4"/>
      <c r="E561" s="4"/>
      <c r="F561" s="4" t="s">
        <v>22</v>
      </c>
      <c r="G561" s="21">
        <v>2.95</v>
      </c>
      <c r="H561" s="7" t="s">
        <v>708</v>
      </c>
      <c r="I561" s="7" t="s">
        <v>709</v>
      </c>
      <c r="J561" s="7" t="s">
        <v>742</v>
      </c>
      <c r="K561" s="8"/>
      <c r="L561" s="8" t="s">
        <v>33</v>
      </c>
      <c r="M561" s="9">
        <f t="shared" si="1"/>
        <v>33</v>
      </c>
    </row>
    <row r="562" ht="12.75" customHeight="1">
      <c r="A562" s="4">
        <f t="shared" si="2"/>
        <v>561</v>
      </c>
      <c r="B562" s="4" t="s">
        <v>1267</v>
      </c>
      <c r="C562" s="5" t="s">
        <v>1268</v>
      </c>
      <c r="D562" s="4"/>
      <c r="E562" s="4"/>
      <c r="F562" s="4" t="s">
        <v>22</v>
      </c>
      <c r="G562" s="21">
        <v>2.95</v>
      </c>
      <c r="H562" s="7" t="s">
        <v>708</v>
      </c>
      <c r="I562" s="7" t="s">
        <v>709</v>
      </c>
      <c r="J562" s="7" t="s">
        <v>742</v>
      </c>
      <c r="K562" s="8"/>
      <c r="L562" s="8" t="s">
        <v>33</v>
      </c>
      <c r="M562" s="9">
        <f t="shared" si="1"/>
        <v>36</v>
      </c>
    </row>
    <row r="563" ht="12.75" customHeight="1">
      <c r="A563" s="4">
        <f t="shared" si="2"/>
        <v>562</v>
      </c>
      <c r="B563" s="4" t="s">
        <v>1269</v>
      </c>
      <c r="C563" s="5" t="s">
        <v>1270</v>
      </c>
      <c r="D563" s="4"/>
      <c r="E563" s="4"/>
      <c r="F563" s="4" t="s">
        <v>22</v>
      </c>
      <c r="G563" s="21">
        <v>4.03</v>
      </c>
      <c r="H563" s="7" t="s">
        <v>708</v>
      </c>
      <c r="I563" s="7" t="s">
        <v>709</v>
      </c>
      <c r="J563" s="7" t="s">
        <v>736</v>
      </c>
      <c r="K563" s="8"/>
      <c r="L563" s="8" t="s">
        <v>33</v>
      </c>
      <c r="M563" s="9">
        <f t="shared" si="1"/>
        <v>41</v>
      </c>
    </row>
    <row r="564" ht="12.75" customHeight="1">
      <c r="A564" s="4">
        <f t="shared" si="2"/>
        <v>563</v>
      </c>
      <c r="B564" s="4" t="s">
        <v>1271</v>
      </c>
      <c r="C564" s="5" t="s">
        <v>1272</v>
      </c>
      <c r="D564" s="4"/>
      <c r="E564" s="4"/>
      <c r="F564" s="4" t="s">
        <v>22</v>
      </c>
      <c r="G564" s="21">
        <v>5.97</v>
      </c>
      <c r="H564" s="7" t="s">
        <v>708</v>
      </c>
      <c r="I564" s="7" t="s">
        <v>709</v>
      </c>
      <c r="J564" s="7" t="s">
        <v>736</v>
      </c>
      <c r="K564" s="8"/>
      <c r="L564" s="8" t="s">
        <v>33</v>
      </c>
      <c r="M564" s="9">
        <f t="shared" si="1"/>
        <v>39</v>
      </c>
    </row>
    <row r="565" ht="12.75" customHeight="1">
      <c r="A565" s="4">
        <f t="shared" si="2"/>
        <v>564</v>
      </c>
      <c r="B565" s="4" t="s">
        <v>1273</v>
      </c>
      <c r="C565" s="5" t="s">
        <v>1274</v>
      </c>
      <c r="D565" s="4"/>
      <c r="E565" s="4"/>
      <c r="F565" s="4" t="s">
        <v>22</v>
      </c>
      <c r="G565" s="21">
        <v>20.22</v>
      </c>
      <c r="H565" s="7" t="s">
        <v>708</v>
      </c>
      <c r="I565" s="7" t="s">
        <v>709</v>
      </c>
      <c r="J565" s="7" t="s">
        <v>710</v>
      </c>
      <c r="K565" s="8"/>
      <c r="L565" s="8" t="s">
        <v>33</v>
      </c>
      <c r="M565" s="9">
        <f t="shared" si="1"/>
        <v>37</v>
      </c>
    </row>
    <row r="566" ht="12.75" customHeight="1">
      <c r="A566" s="4">
        <f t="shared" si="2"/>
        <v>565</v>
      </c>
      <c r="B566" s="4" t="s">
        <v>1275</v>
      </c>
      <c r="C566" s="5" t="s">
        <v>1276</v>
      </c>
      <c r="D566" s="4"/>
      <c r="E566" s="4"/>
      <c r="F566" s="4" t="s">
        <v>22</v>
      </c>
      <c r="G566" s="21">
        <v>54.2</v>
      </c>
      <c r="H566" s="7" t="s">
        <v>708</v>
      </c>
      <c r="I566" s="7" t="s">
        <v>709</v>
      </c>
      <c r="J566" s="7" t="s">
        <v>710</v>
      </c>
      <c r="K566" s="8"/>
      <c r="L566" s="8" t="s">
        <v>33</v>
      </c>
      <c r="M566" s="9">
        <f t="shared" si="1"/>
        <v>48</v>
      </c>
    </row>
    <row r="567" ht="12.75" customHeight="1">
      <c r="A567" s="4">
        <f t="shared" si="2"/>
        <v>566</v>
      </c>
      <c r="B567" s="4" t="s">
        <v>1277</v>
      </c>
      <c r="C567" s="5" t="s">
        <v>1278</v>
      </c>
      <c r="D567" s="4"/>
      <c r="E567" s="4"/>
      <c r="F567" s="4" t="s">
        <v>22</v>
      </c>
      <c r="G567" s="21">
        <v>40.77</v>
      </c>
      <c r="H567" s="7" t="s">
        <v>708</v>
      </c>
      <c r="I567" s="7" t="s">
        <v>709</v>
      </c>
      <c r="J567" s="7" t="s">
        <v>710</v>
      </c>
      <c r="K567" s="8"/>
      <c r="L567" s="8" t="s">
        <v>33</v>
      </c>
      <c r="M567" s="9">
        <f t="shared" si="1"/>
        <v>48</v>
      </c>
    </row>
    <row r="568" ht="12.75" customHeight="1">
      <c r="A568" s="4">
        <f t="shared" si="2"/>
        <v>567</v>
      </c>
      <c r="B568" s="4" t="s">
        <v>1279</v>
      </c>
      <c r="C568" s="5" t="s">
        <v>1280</v>
      </c>
      <c r="D568" s="4"/>
      <c r="E568" s="4"/>
      <c r="F568" s="4" t="s">
        <v>22</v>
      </c>
      <c r="G568" s="21">
        <v>54.2</v>
      </c>
      <c r="H568" s="7" t="s">
        <v>708</v>
      </c>
      <c r="I568" s="7" t="s">
        <v>709</v>
      </c>
      <c r="J568" s="7" t="s">
        <v>710</v>
      </c>
      <c r="K568" s="8"/>
      <c r="L568" s="8" t="s">
        <v>33</v>
      </c>
      <c r="M568" s="9">
        <f t="shared" si="1"/>
        <v>41</v>
      </c>
    </row>
    <row r="569" ht="12.75" customHeight="1">
      <c r="A569" s="4">
        <f t="shared" si="2"/>
        <v>568</v>
      </c>
      <c r="B569" s="4" t="s">
        <v>1281</v>
      </c>
      <c r="C569" s="5" t="s">
        <v>1282</v>
      </c>
      <c r="D569" s="4"/>
      <c r="E569" s="4"/>
      <c r="F569" s="4" t="s">
        <v>22</v>
      </c>
      <c r="G569" s="21">
        <v>43.76</v>
      </c>
      <c r="H569" s="7" t="s">
        <v>708</v>
      </c>
      <c r="I569" s="7" t="s">
        <v>709</v>
      </c>
      <c r="J569" s="7" t="s">
        <v>710</v>
      </c>
      <c r="K569" s="8"/>
      <c r="L569" s="8" t="s">
        <v>33</v>
      </c>
      <c r="M569" s="9">
        <f t="shared" si="1"/>
        <v>41</v>
      </c>
    </row>
    <row r="570" ht="12.75" customHeight="1">
      <c r="A570" s="4">
        <f t="shared" si="2"/>
        <v>569</v>
      </c>
      <c r="B570" s="4" t="s">
        <v>1283</v>
      </c>
      <c r="C570" s="5" t="s">
        <v>1284</v>
      </c>
      <c r="D570" s="4"/>
      <c r="E570" s="4"/>
      <c r="F570" s="4" t="s">
        <v>22</v>
      </c>
      <c r="G570" s="21">
        <v>40.77</v>
      </c>
      <c r="H570" s="7" t="s">
        <v>708</v>
      </c>
      <c r="I570" s="7" t="s">
        <v>709</v>
      </c>
      <c r="J570" s="7" t="s">
        <v>710</v>
      </c>
      <c r="K570" s="8"/>
      <c r="L570" s="8" t="s">
        <v>33</v>
      </c>
      <c r="M570" s="9">
        <f t="shared" si="1"/>
        <v>41</v>
      </c>
    </row>
    <row r="571" ht="12.75" customHeight="1">
      <c r="A571" s="4">
        <f t="shared" si="2"/>
        <v>570</v>
      </c>
      <c r="B571" s="4" t="s">
        <v>1285</v>
      </c>
      <c r="C571" s="5" t="s">
        <v>1286</v>
      </c>
      <c r="D571" s="4"/>
      <c r="E571" s="4"/>
      <c r="F571" s="4" t="s">
        <v>22</v>
      </c>
      <c r="G571" s="21">
        <v>32.54</v>
      </c>
      <c r="H571" s="7" t="s">
        <v>708</v>
      </c>
      <c r="I571" s="7" t="s">
        <v>709</v>
      </c>
      <c r="J571" s="7" t="s">
        <v>710</v>
      </c>
      <c r="K571" s="8"/>
      <c r="L571" s="8" t="s">
        <v>33</v>
      </c>
      <c r="M571" s="9">
        <f t="shared" si="1"/>
        <v>37</v>
      </c>
    </row>
    <row r="572" ht="12.75" customHeight="1">
      <c r="A572" s="4">
        <f t="shared" si="2"/>
        <v>571</v>
      </c>
      <c r="B572" s="4" t="s">
        <v>1287</v>
      </c>
      <c r="C572" s="5" t="s">
        <v>1288</v>
      </c>
      <c r="D572" s="4"/>
      <c r="E572" s="4"/>
      <c r="F572" s="4" t="s">
        <v>22</v>
      </c>
      <c r="G572" s="21">
        <v>25.0</v>
      </c>
      <c r="H572" s="7" t="s">
        <v>708</v>
      </c>
      <c r="I572" s="7" t="s">
        <v>709</v>
      </c>
      <c r="J572" s="7" t="s">
        <v>710</v>
      </c>
      <c r="K572" s="8"/>
      <c r="L572" s="8" t="s">
        <v>33</v>
      </c>
      <c r="M572" s="9">
        <f t="shared" si="1"/>
        <v>39</v>
      </c>
    </row>
    <row r="573" ht="12.75" customHeight="1">
      <c r="A573" s="4">
        <f t="shared" si="2"/>
        <v>572</v>
      </c>
      <c r="B573" s="4" t="s">
        <v>1289</v>
      </c>
      <c r="C573" s="5" t="s">
        <v>1290</v>
      </c>
      <c r="D573" s="4"/>
      <c r="E573" s="4"/>
      <c r="F573" s="4" t="s">
        <v>22</v>
      </c>
      <c r="G573" s="21">
        <v>28.56</v>
      </c>
      <c r="H573" s="7" t="s">
        <v>708</v>
      </c>
      <c r="I573" s="7" t="s">
        <v>709</v>
      </c>
      <c r="J573" s="7" t="s">
        <v>710</v>
      </c>
      <c r="K573" s="8"/>
      <c r="L573" s="8" t="s">
        <v>33</v>
      </c>
      <c r="M573" s="9">
        <f t="shared" si="1"/>
        <v>39</v>
      </c>
    </row>
    <row r="574" ht="12.75" customHeight="1">
      <c r="A574" s="4">
        <f t="shared" si="2"/>
        <v>573</v>
      </c>
      <c r="B574" s="4" t="s">
        <v>1291</v>
      </c>
      <c r="C574" s="5" t="s">
        <v>1292</v>
      </c>
      <c r="D574" s="4"/>
      <c r="E574" s="4"/>
      <c r="F574" s="4" t="s">
        <v>22</v>
      </c>
      <c r="G574" s="21">
        <v>13.76</v>
      </c>
      <c r="H574" s="7" t="s">
        <v>708</v>
      </c>
      <c r="I574" s="7" t="s">
        <v>709</v>
      </c>
      <c r="J574" s="7" t="s">
        <v>710</v>
      </c>
      <c r="K574" s="8"/>
      <c r="L574" s="8" t="s">
        <v>33</v>
      </c>
      <c r="M574" s="9">
        <f t="shared" si="1"/>
        <v>29</v>
      </c>
    </row>
    <row r="575" ht="12.75" customHeight="1">
      <c r="A575" s="4">
        <f t="shared" si="2"/>
        <v>574</v>
      </c>
      <c r="B575" s="4" t="s">
        <v>1293</v>
      </c>
      <c r="C575" s="5" t="s">
        <v>1294</v>
      </c>
      <c r="D575" s="4"/>
      <c r="E575" s="4"/>
      <c r="F575" s="4" t="s">
        <v>22</v>
      </c>
      <c r="G575" s="21">
        <v>13.49</v>
      </c>
      <c r="H575" s="7" t="s">
        <v>708</v>
      </c>
      <c r="I575" s="7" t="s">
        <v>709</v>
      </c>
      <c r="J575" s="7" t="s">
        <v>710</v>
      </c>
      <c r="K575" s="8"/>
      <c r="L575" s="8" t="s">
        <v>33</v>
      </c>
      <c r="M575" s="9">
        <f t="shared" si="1"/>
        <v>29</v>
      </c>
    </row>
    <row r="576" ht="12.75" customHeight="1">
      <c r="A576" s="4">
        <f t="shared" si="2"/>
        <v>575</v>
      </c>
      <c r="B576" s="4" t="s">
        <v>1295</v>
      </c>
      <c r="C576" s="5" t="s">
        <v>1296</v>
      </c>
      <c r="D576" s="4"/>
      <c r="E576" s="4"/>
      <c r="F576" s="4" t="s">
        <v>22</v>
      </c>
      <c r="G576" s="21">
        <v>16.19</v>
      </c>
      <c r="H576" s="7" t="s">
        <v>708</v>
      </c>
      <c r="I576" s="7" t="s">
        <v>709</v>
      </c>
      <c r="J576" s="7" t="s">
        <v>710</v>
      </c>
      <c r="K576" s="8"/>
      <c r="L576" s="8" t="s">
        <v>33</v>
      </c>
      <c r="M576" s="9">
        <f t="shared" si="1"/>
        <v>29</v>
      </c>
    </row>
    <row r="577" ht="12.75" customHeight="1">
      <c r="A577" s="4">
        <f t="shared" si="2"/>
        <v>576</v>
      </c>
      <c r="B577" s="4" t="s">
        <v>1297</v>
      </c>
      <c r="C577" s="5" t="s">
        <v>1298</v>
      </c>
      <c r="D577" s="4"/>
      <c r="E577" s="4"/>
      <c r="F577" s="4" t="s">
        <v>22</v>
      </c>
      <c r="G577" s="21">
        <v>24.3</v>
      </c>
      <c r="H577" s="7" t="s">
        <v>708</v>
      </c>
      <c r="I577" s="7" t="s">
        <v>709</v>
      </c>
      <c r="J577" s="7" t="s">
        <v>710</v>
      </c>
      <c r="K577" s="8"/>
      <c r="L577" s="8" t="s">
        <v>33</v>
      </c>
      <c r="M577" s="9">
        <f t="shared" si="1"/>
        <v>29</v>
      </c>
    </row>
    <row r="578" ht="12.75" customHeight="1">
      <c r="A578" s="4">
        <f t="shared" si="2"/>
        <v>577</v>
      </c>
      <c r="B578" s="4" t="s">
        <v>1299</v>
      </c>
      <c r="C578" s="5" t="s">
        <v>1300</v>
      </c>
      <c r="D578" s="4"/>
      <c r="E578" s="4"/>
      <c r="F578" s="4" t="s">
        <v>22</v>
      </c>
      <c r="G578" s="21">
        <v>40.51</v>
      </c>
      <c r="H578" s="7" t="s">
        <v>708</v>
      </c>
      <c r="I578" s="7" t="s">
        <v>709</v>
      </c>
      <c r="J578" s="7" t="s">
        <v>710</v>
      </c>
      <c r="K578" s="8"/>
      <c r="L578" s="8" t="s">
        <v>33</v>
      </c>
      <c r="M578" s="9">
        <f t="shared" si="1"/>
        <v>29</v>
      </c>
    </row>
    <row r="579" ht="12.75" customHeight="1">
      <c r="A579" s="4">
        <f t="shared" si="2"/>
        <v>578</v>
      </c>
      <c r="B579" s="4" t="s">
        <v>1301</v>
      </c>
      <c r="C579" s="5" t="s">
        <v>1302</v>
      </c>
      <c r="D579" s="4"/>
      <c r="E579" s="4"/>
      <c r="F579" s="4" t="s">
        <v>22</v>
      </c>
      <c r="G579" s="21">
        <v>74.05</v>
      </c>
      <c r="H579" s="7" t="s">
        <v>708</v>
      </c>
      <c r="I579" s="7" t="s">
        <v>709</v>
      </c>
      <c r="J579" s="7" t="s">
        <v>710</v>
      </c>
      <c r="K579" s="8"/>
      <c r="L579" s="8" t="s">
        <v>33</v>
      </c>
      <c r="M579" s="9">
        <f t="shared" si="1"/>
        <v>29</v>
      </c>
    </row>
    <row r="580" ht="12.75" customHeight="1">
      <c r="A580" s="4">
        <f t="shared" si="2"/>
        <v>579</v>
      </c>
      <c r="B580" s="4" t="s">
        <v>1303</v>
      </c>
      <c r="C580" s="5" t="s">
        <v>1304</v>
      </c>
      <c r="D580" s="4"/>
      <c r="E580" s="4"/>
      <c r="F580" s="4" t="s">
        <v>22</v>
      </c>
      <c r="G580" s="21">
        <v>4.05</v>
      </c>
      <c r="H580" s="7" t="s">
        <v>708</v>
      </c>
      <c r="I580" s="7" t="s">
        <v>709</v>
      </c>
      <c r="J580" s="7" t="s">
        <v>710</v>
      </c>
      <c r="K580" s="8"/>
      <c r="L580" s="8" t="s">
        <v>33</v>
      </c>
      <c r="M580" s="9">
        <f t="shared" si="1"/>
        <v>28</v>
      </c>
    </row>
    <row r="581" ht="12.75" customHeight="1">
      <c r="A581" s="4">
        <f t="shared" si="2"/>
        <v>580</v>
      </c>
      <c r="B581" s="4" t="s">
        <v>1305</v>
      </c>
      <c r="C581" s="5" t="s">
        <v>1306</v>
      </c>
      <c r="D581" s="4"/>
      <c r="E581" s="4"/>
      <c r="F581" s="4" t="s">
        <v>22</v>
      </c>
      <c r="G581" s="21">
        <v>8.08</v>
      </c>
      <c r="H581" s="7" t="s">
        <v>708</v>
      </c>
      <c r="I581" s="7" t="s">
        <v>709</v>
      </c>
      <c r="J581" s="7" t="s">
        <v>710</v>
      </c>
      <c r="K581" s="8"/>
      <c r="L581" s="8" t="s">
        <v>33</v>
      </c>
      <c r="M581" s="9">
        <f t="shared" si="1"/>
        <v>28</v>
      </c>
    </row>
    <row r="582" ht="12.75" customHeight="1">
      <c r="A582" s="4">
        <f t="shared" si="2"/>
        <v>581</v>
      </c>
      <c r="B582" s="4" t="s">
        <v>1307</v>
      </c>
      <c r="C582" s="5" t="s">
        <v>1308</v>
      </c>
      <c r="D582" s="4"/>
      <c r="E582" s="4"/>
      <c r="F582" s="4" t="s">
        <v>22</v>
      </c>
      <c r="G582" s="21">
        <v>7.54</v>
      </c>
      <c r="H582" s="7" t="s">
        <v>708</v>
      </c>
      <c r="I582" s="7" t="s">
        <v>709</v>
      </c>
      <c r="J582" s="7" t="s">
        <v>710</v>
      </c>
      <c r="K582" s="8"/>
      <c r="L582" s="8" t="s">
        <v>33</v>
      </c>
      <c r="M582" s="9">
        <f t="shared" si="1"/>
        <v>36</v>
      </c>
    </row>
    <row r="583" ht="12.75" customHeight="1">
      <c r="A583" s="4">
        <f t="shared" si="2"/>
        <v>582</v>
      </c>
      <c r="B583" s="4" t="s">
        <v>1309</v>
      </c>
      <c r="C583" s="5" t="s">
        <v>1310</v>
      </c>
      <c r="D583" s="4"/>
      <c r="E583" s="4"/>
      <c r="F583" s="4" t="s">
        <v>22</v>
      </c>
      <c r="G583" s="21">
        <v>10.24</v>
      </c>
      <c r="H583" s="7" t="s">
        <v>708</v>
      </c>
      <c r="I583" s="7" t="s">
        <v>709</v>
      </c>
      <c r="J583" s="7" t="s">
        <v>710</v>
      </c>
      <c r="K583" s="8"/>
      <c r="L583" s="8" t="s">
        <v>33</v>
      </c>
      <c r="M583" s="9">
        <f t="shared" si="1"/>
        <v>36</v>
      </c>
    </row>
    <row r="584" ht="12.75" customHeight="1">
      <c r="A584" s="4">
        <f t="shared" si="2"/>
        <v>583</v>
      </c>
      <c r="B584" s="4" t="s">
        <v>1311</v>
      </c>
      <c r="C584" s="5" t="s">
        <v>1312</v>
      </c>
      <c r="D584" s="4"/>
      <c r="E584" s="4"/>
      <c r="F584" s="4" t="s">
        <v>22</v>
      </c>
      <c r="G584" s="21">
        <v>22.16</v>
      </c>
      <c r="H584" s="7" t="s">
        <v>708</v>
      </c>
      <c r="I584" s="7" t="s">
        <v>709</v>
      </c>
      <c r="J584" s="7" t="s">
        <v>710</v>
      </c>
      <c r="K584" s="8"/>
      <c r="L584" s="8" t="s">
        <v>33</v>
      </c>
      <c r="M584" s="9">
        <f t="shared" si="1"/>
        <v>36</v>
      </c>
    </row>
    <row r="585" ht="12.75" customHeight="1">
      <c r="A585" s="4">
        <f t="shared" si="2"/>
        <v>584</v>
      </c>
      <c r="B585" s="4" t="s">
        <v>1313</v>
      </c>
      <c r="C585" s="5" t="s">
        <v>1314</v>
      </c>
      <c r="D585" s="4"/>
      <c r="E585" s="4"/>
      <c r="F585" s="4" t="s">
        <v>22</v>
      </c>
      <c r="G585" s="21">
        <v>33.12</v>
      </c>
      <c r="H585" s="7" t="s">
        <v>708</v>
      </c>
      <c r="I585" s="7" t="s">
        <v>709</v>
      </c>
      <c r="J585" s="7" t="s">
        <v>710</v>
      </c>
      <c r="K585" s="8"/>
      <c r="L585" s="8" t="s">
        <v>33</v>
      </c>
      <c r="M585" s="9">
        <f t="shared" si="1"/>
        <v>36</v>
      </c>
    </row>
    <row r="586" ht="12.75" customHeight="1">
      <c r="A586" s="4">
        <f t="shared" si="2"/>
        <v>585</v>
      </c>
      <c r="B586" s="4" t="s">
        <v>1315</v>
      </c>
      <c r="C586" s="5" t="s">
        <v>1316</v>
      </c>
      <c r="D586" s="4"/>
      <c r="E586" s="4"/>
      <c r="F586" s="4" t="s">
        <v>22</v>
      </c>
      <c r="G586" s="21">
        <v>50.27</v>
      </c>
      <c r="H586" s="7" t="s">
        <v>708</v>
      </c>
      <c r="I586" s="7" t="s">
        <v>709</v>
      </c>
      <c r="J586" s="7" t="s">
        <v>710</v>
      </c>
      <c r="K586" s="8"/>
      <c r="L586" s="8" t="s">
        <v>33</v>
      </c>
      <c r="M586" s="9">
        <f t="shared" si="1"/>
        <v>36</v>
      </c>
    </row>
    <row r="587" ht="12.75" customHeight="1">
      <c r="A587" s="4">
        <f t="shared" si="2"/>
        <v>586</v>
      </c>
      <c r="B587" s="4" t="s">
        <v>1317</v>
      </c>
      <c r="C587" s="5" t="s">
        <v>1318</v>
      </c>
      <c r="D587" s="4"/>
      <c r="E587" s="4"/>
      <c r="F587" s="4" t="s">
        <v>22</v>
      </c>
      <c r="G587" s="21">
        <v>67.76</v>
      </c>
      <c r="H587" s="7" t="s">
        <v>708</v>
      </c>
      <c r="I587" s="7" t="s">
        <v>709</v>
      </c>
      <c r="J587" s="7" t="s">
        <v>710</v>
      </c>
      <c r="K587" s="8"/>
      <c r="L587" s="8" t="s">
        <v>33</v>
      </c>
      <c r="M587" s="9">
        <f t="shared" si="1"/>
        <v>36</v>
      </c>
    </row>
    <row r="588" ht="12.75" customHeight="1">
      <c r="A588" s="4">
        <f t="shared" si="2"/>
        <v>587</v>
      </c>
      <c r="B588" s="4" t="s">
        <v>1319</v>
      </c>
      <c r="C588" s="5" t="s">
        <v>1320</v>
      </c>
      <c r="D588" s="4"/>
      <c r="E588" s="4"/>
      <c r="F588" s="4" t="s">
        <v>22</v>
      </c>
      <c r="G588" s="21">
        <v>3.76</v>
      </c>
      <c r="H588" s="7" t="s">
        <v>708</v>
      </c>
      <c r="I588" s="7" t="s">
        <v>709</v>
      </c>
      <c r="J588" s="7" t="s">
        <v>710</v>
      </c>
      <c r="K588" s="8"/>
      <c r="L588" s="8" t="s">
        <v>33</v>
      </c>
      <c r="M588" s="9">
        <f t="shared" si="1"/>
        <v>35</v>
      </c>
    </row>
    <row r="589" ht="12.75" customHeight="1">
      <c r="A589" s="4">
        <f t="shared" si="2"/>
        <v>588</v>
      </c>
      <c r="B589" s="4" t="s">
        <v>1321</v>
      </c>
      <c r="C589" s="5" t="s">
        <v>1322</v>
      </c>
      <c r="D589" s="4"/>
      <c r="E589" s="4"/>
      <c r="F589" s="4" t="s">
        <v>22</v>
      </c>
      <c r="G589" s="21">
        <v>5.11</v>
      </c>
      <c r="H589" s="7" t="s">
        <v>708</v>
      </c>
      <c r="I589" s="7" t="s">
        <v>709</v>
      </c>
      <c r="J589" s="7" t="s">
        <v>710</v>
      </c>
      <c r="K589" s="8"/>
      <c r="L589" s="8" t="s">
        <v>33</v>
      </c>
      <c r="M589" s="9">
        <f t="shared" si="1"/>
        <v>35</v>
      </c>
    </row>
    <row r="590" ht="12.75" customHeight="1">
      <c r="A590" s="4">
        <f t="shared" si="2"/>
        <v>589</v>
      </c>
      <c r="B590" s="4" t="s">
        <v>1323</v>
      </c>
      <c r="C590" s="5" t="s">
        <v>1324</v>
      </c>
      <c r="D590" s="4"/>
      <c r="E590" s="4"/>
      <c r="F590" s="4" t="s">
        <v>22</v>
      </c>
      <c r="G590" s="21">
        <v>10.22</v>
      </c>
      <c r="H590" s="7" t="s">
        <v>708</v>
      </c>
      <c r="I590" s="7" t="s">
        <v>709</v>
      </c>
      <c r="J590" s="7" t="s">
        <v>710</v>
      </c>
      <c r="K590" s="8"/>
      <c r="L590" s="8" t="s">
        <v>33</v>
      </c>
      <c r="M590" s="9">
        <f t="shared" si="1"/>
        <v>34</v>
      </c>
    </row>
    <row r="591" ht="12.75" customHeight="1">
      <c r="A591" s="4">
        <f t="shared" si="2"/>
        <v>590</v>
      </c>
      <c r="B591" s="4" t="s">
        <v>1325</v>
      </c>
      <c r="C591" s="5" t="s">
        <v>1326</v>
      </c>
      <c r="D591" s="4"/>
      <c r="E591" s="4"/>
      <c r="F591" s="4" t="s">
        <v>22</v>
      </c>
      <c r="G591" s="21">
        <v>22.33</v>
      </c>
      <c r="H591" s="7" t="s">
        <v>708</v>
      </c>
      <c r="I591" s="7" t="s">
        <v>709</v>
      </c>
      <c r="J591" s="7" t="s">
        <v>710</v>
      </c>
      <c r="K591" s="8"/>
      <c r="L591" s="8" t="s">
        <v>33</v>
      </c>
      <c r="M591" s="9">
        <f t="shared" si="1"/>
        <v>33</v>
      </c>
    </row>
    <row r="592" ht="12.75" customHeight="1">
      <c r="A592" s="4">
        <f t="shared" si="2"/>
        <v>591</v>
      </c>
      <c r="B592" s="4" t="s">
        <v>1327</v>
      </c>
      <c r="C592" s="5" t="s">
        <v>1328</v>
      </c>
      <c r="D592" s="4"/>
      <c r="E592" s="4"/>
      <c r="F592" s="4" t="s">
        <v>22</v>
      </c>
      <c r="G592" s="21">
        <v>13.21</v>
      </c>
      <c r="H592" s="7" t="s">
        <v>708</v>
      </c>
      <c r="I592" s="7" t="s">
        <v>709</v>
      </c>
      <c r="J592" s="7" t="s">
        <v>710</v>
      </c>
      <c r="K592" s="8"/>
      <c r="L592" s="8" t="s">
        <v>33</v>
      </c>
      <c r="M592" s="9">
        <f t="shared" si="1"/>
        <v>33</v>
      </c>
    </row>
    <row r="593" ht="12.75" customHeight="1">
      <c r="A593" s="4">
        <f t="shared" si="2"/>
        <v>592</v>
      </c>
      <c r="B593" s="4" t="s">
        <v>1329</v>
      </c>
      <c r="C593" s="5" t="s">
        <v>1330</v>
      </c>
      <c r="D593" s="4"/>
      <c r="E593" s="4"/>
      <c r="F593" s="4" t="s">
        <v>22</v>
      </c>
      <c r="G593" s="21">
        <v>10.89</v>
      </c>
      <c r="H593" s="7" t="s">
        <v>708</v>
      </c>
      <c r="I593" s="7" t="s">
        <v>709</v>
      </c>
      <c r="J593" s="7" t="s">
        <v>710</v>
      </c>
      <c r="K593" s="8"/>
      <c r="L593" s="8" t="s">
        <v>33</v>
      </c>
      <c r="M593" s="9">
        <f t="shared" si="1"/>
        <v>33</v>
      </c>
    </row>
    <row r="594" ht="12.75" customHeight="1">
      <c r="A594" s="4">
        <f t="shared" si="2"/>
        <v>593</v>
      </c>
      <c r="B594" s="4" t="s">
        <v>1331</v>
      </c>
      <c r="C594" s="5" t="s">
        <v>1332</v>
      </c>
      <c r="D594" s="4"/>
      <c r="E594" s="4"/>
      <c r="F594" s="4" t="s">
        <v>22</v>
      </c>
      <c r="G594" s="21">
        <v>23.05</v>
      </c>
      <c r="H594" s="7" t="s">
        <v>708</v>
      </c>
      <c r="I594" s="7" t="s">
        <v>709</v>
      </c>
      <c r="J594" s="7" t="s">
        <v>710</v>
      </c>
      <c r="K594" s="8"/>
      <c r="L594" s="8" t="s">
        <v>33</v>
      </c>
      <c r="M594" s="9">
        <f t="shared" si="1"/>
        <v>35</v>
      </c>
    </row>
    <row r="595" ht="12.75" customHeight="1">
      <c r="A595" s="4">
        <f t="shared" si="2"/>
        <v>594</v>
      </c>
      <c r="B595" s="4" t="s">
        <v>1333</v>
      </c>
      <c r="C595" s="5" t="s">
        <v>1334</v>
      </c>
      <c r="D595" s="4"/>
      <c r="E595" s="4"/>
      <c r="F595" s="4" t="s">
        <v>22</v>
      </c>
      <c r="G595" s="21">
        <v>24.45</v>
      </c>
      <c r="H595" s="7" t="s">
        <v>708</v>
      </c>
      <c r="I595" s="7" t="s">
        <v>709</v>
      </c>
      <c r="J595" s="7" t="s">
        <v>710</v>
      </c>
      <c r="K595" s="8"/>
      <c r="L595" s="8" t="s">
        <v>33</v>
      </c>
      <c r="M595" s="9">
        <f t="shared" si="1"/>
        <v>35</v>
      </c>
    </row>
    <row r="596" ht="12.75" customHeight="1">
      <c r="A596" s="4">
        <f t="shared" si="2"/>
        <v>595</v>
      </c>
      <c r="B596" s="4" t="s">
        <v>1335</v>
      </c>
      <c r="C596" s="5" t="s">
        <v>1336</v>
      </c>
      <c r="D596" s="4"/>
      <c r="E596" s="4"/>
      <c r="F596" s="4" t="s">
        <v>22</v>
      </c>
      <c r="G596" s="21">
        <v>38.45</v>
      </c>
      <c r="H596" s="7" t="s">
        <v>708</v>
      </c>
      <c r="I596" s="7" t="s">
        <v>709</v>
      </c>
      <c r="J596" s="7" t="s">
        <v>710</v>
      </c>
      <c r="K596" s="8"/>
      <c r="L596" s="8" t="s">
        <v>33</v>
      </c>
      <c r="M596" s="9">
        <f t="shared" si="1"/>
        <v>35</v>
      </c>
    </row>
    <row r="597" ht="12.75" customHeight="1">
      <c r="A597" s="4">
        <f t="shared" si="2"/>
        <v>596</v>
      </c>
      <c r="B597" s="4" t="s">
        <v>1337</v>
      </c>
      <c r="C597" s="5" t="s">
        <v>1338</v>
      </c>
      <c r="D597" s="4"/>
      <c r="E597" s="4"/>
      <c r="F597" s="4" t="s">
        <v>22</v>
      </c>
      <c r="G597" s="21">
        <v>10.45</v>
      </c>
      <c r="H597" s="7" t="s">
        <v>708</v>
      </c>
      <c r="I597" s="7" t="s">
        <v>709</v>
      </c>
      <c r="J597" s="7" t="s">
        <v>710</v>
      </c>
      <c r="K597" s="8"/>
      <c r="L597" s="8" t="s">
        <v>33</v>
      </c>
      <c r="M597" s="9">
        <f t="shared" si="1"/>
        <v>34</v>
      </c>
    </row>
    <row r="598" ht="12.75" customHeight="1">
      <c r="A598" s="4">
        <f t="shared" si="2"/>
        <v>597</v>
      </c>
      <c r="B598" s="4" t="s">
        <v>1339</v>
      </c>
      <c r="C598" s="5" t="s">
        <v>1340</v>
      </c>
      <c r="D598" s="4"/>
      <c r="E598" s="4"/>
      <c r="F598" s="4" t="s">
        <v>22</v>
      </c>
      <c r="G598" s="21">
        <v>22.98</v>
      </c>
      <c r="H598" s="7" t="s">
        <v>708</v>
      </c>
      <c r="I598" s="7" t="s">
        <v>709</v>
      </c>
      <c r="J598" s="7" t="s">
        <v>710</v>
      </c>
      <c r="K598" s="8"/>
      <c r="L598" s="8" t="s">
        <v>33</v>
      </c>
      <c r="M598" s="9">
        <f t="shared" si="1"/>
        <v>33</v>
      </c>
    </row>
    <row r="599" ht="12.75" customHeight="1">
      <c r="A599" s="4">
        <f t="shared" si="2"/>
        <v>598</v>
      </c>
      <c r="B599" s="4" t="s">
        <v>1341</v>
      </c>
      <c r="C599" s="5" t="s">
        <v>1342</v>
      </c>
      <c r="D599" s="4"/>
      <c r="E599" s="4"/>
      <c r="F599" s="4" t="s">
        <v>22</v>
      </c>
      <c r="G599" s="21">
        <v>19.92</v>
      </c>
      <c r="H599" s="7" t="s">
        <v>708</v>
      </c>
      <c r="I599" s="7" t="s">
        <v>709</v>
      </c>
      <c r="J599" s="7" t="s">
        <v>710</v>
      </c>
      <c r="K599" s="8"/>
      <c r="L599" s="8" t="s">
        <v>33</v>
      </c>
      <c r="M599" s="9">
        <f t="shared" si="1"/>
        <v>33</v>
      </c>
    </row>
    <row r="600" ht="12.75" customHeight="1">
      <c r="A600" s="4">
        <f t="shared" si="2"/>
        <v>599</v>
      </c>
      <c r="B600" s="4" t="s">
        <v>1343</v>
      </c>
      <c r="C600" s="5" t="s">
        <v>1344</v>
      </c>
      <c r="D600" s="4"/>
      <c r="E600" s="4"/>
      <c r="F600" s="4" t="s">
        <v>22</v>
      </c>
      <c r="G600" s="21">
        <v>17.4</v>
      </c>
      <c r="H600" s="7" t="s">
        <v>708</v>
      </c>
      <c r="I600" s="7" t="s">
        <v>709</v>
      </c>
      <c r="J600" s="7" t="s">
        <v>710</v>
      </c>
      <c r="K600" s="8"/>
      <c r="L600" s="8" t="s">
        <v>33</v>
      </c>
      <c r="M600" s="9">
        <f t="shared" si="1"/>
        <v>34</v>
      </c>
    </row>
    <row r="601" ht="12.75" customHeight="1">
      <c r="A601" s="4">
        <f t="shared" si="2"/>
        <v>600</v>
      </c>
      <c r="B601" s="4" t="s">
        <v>1345</v>
      </c>
      <c r="C601" s="5" t="s">
        <v>1346</v>
      </c>
      <c r="D601" s="4"/>
      <c r="E601" s="4"/>
      <c r="F601" s="4" t="s">
        <v>22</v>
      </c>
      <c r="G601" s="21">
        <v>27.67</v>
      </c>
      <c r="H601" s="7" t="s">
        <v>708</v>
      </c>
      <c r="I601" s="7" t="s">
        <v>709</v>
      </c>
      <c r="J601" s="7" t="s">
        <v>710</v>
      </c>
      <c r="K601" s="8"/>
      <c r="L601" s="8" t="s">
        <v>33</v>
      </c>
      <c r="M601" s="9">
        <f t="shared" si="1"/>
        <v>33</v>
      </c>
    </row>
    <row r="602" ht="12.75" customHeight="1">
      <c r="A602" s="4">
        <f t="shared" si="2"/>
        <v>601</v>
      </c>
      <c r="B602" s="4" t="s">
        <v>1347</v>
      </c>
      <c r="C602" s="5" t="s">
        <v>1348</v>
      </c>
      <c r="D602" s="4"/>
      <c r="E602" s="4"/>
      <c r="F602" s="4" t="s">
        <v>22</v>
      </c>
      <c r="G602" s="21">
        <v>20.1</v>
      </c>
      <c r="H602" s="7" t="s">
        <v>708</v>
      </c>
      <c r="I602" s="7" t="s">
        <v>709</v>
      </c>
      <c r="J602" s="7" t="s">
        <v>710</v>
      </c>
      <c r="K602" s="8"/>
      <c r="L602" s="8" t="s">
        <v>33</v>
      </c>
      <c r="M602" s="9">
        <f t="shared" si="1"/>
        <v>34</v>
      </c>
    </row>
    <row r="603" ht="12.75" customHeight="1">
      <c r="A603" s="4">
        <f t="shared" si="2"/>
        <v>602</v>
      </c>
      <c r="B603" s="4" t="s">
        <v>1349</v>
      </c>
      <c r="C603" s="5" t="s">
        <v>1350</v>
      </c>
      <c r="D603" s="4"/>
      <c r="E603" s="4"/>
      <c r="F603" s="4" t="s">
        <v>22</v>
      </c>
      <c r="G603" s="21">
        <v>38.57</v>
      </c>
      <c r="H603" s="7" t="s">
        <v>708</v>
      </c>
      <c r="I603" s="7" t="s">
        <v>709</v>
      </c>
      <c r="J603" s="7" t="s">
        <v>710</v>
      </c>
      <c r="K603" s="8"/>
      <c r="L603" s="8" t="s">
        <v>33</v>
      </c>
      <c r="M603" s="9">
        <f t="shared" si="1"/>
        <v>33</v>
      </c>
    </row>
    <row r="604" ht="12.75" customHeight="1">
      <c r="A604" s="4">
        <f t="shared" si="2"/>
        <v>603</v>
      </c>
      <c r="B604" s="4" t="s">
        <v>1351</v>
      </c>
      <c r="C604" s="5" t="s">
        <v>1352</v>
      </c>
      <c r="D604" s="4"/>
      <c r="E604" s="4"/>
      <c r="F604" s="4" t="s">
        <v>22</v>
      </c>
      <c r="G604" s="21">
        <v>23.45</v>
      </c>
      <c r="H604" s="7" t="s">
        <v>708</v>
      </c>
      <c r="I604" s="7" t="s">
        <v>709</v>
      </c>
      <c r="J604" s="7" t="s">
        <v>710</v>
      </c>
      <c r="K604" s="8"/>
      <c r="L604" s="8" t="s">
        <v>33</v>
      </c>
      <c r="M604" s="9">
        <f t="shared" si="1"/>
        <v>34</v>
      </c>
    </row>
    <row r="605" ht="12.75" customHeight="1">
      <c r="A605" s="4">
        <f t="shared" si="2"/>
        <v>604</v>
      </c>
      <c r="B605" s="4" t="s">
        <v>1353</v>
      </c>
      <c r="C605" s="5" t="s">
        <v>1354</v>
      </c>
      <c r="D605" s="4"/>
      <c r="E605" s="4"/>
      <c r="F605" s="4" t="s">
        <v>22</v>
      </c>
      <c r="G605" s="21">
        <v>8.54</v>
      </c>
      <c r="H605" s="7" t="s">
        <v>708</v>
      </c>
      <c r="I605" s="7" t="s">
        <v>709</v>
      </c>
      <c r="J605" s="7" t="s">
        <v>710</v>
      </c>
      <c r="K605" s="8"/>
      <c r="L605" s="8" t="s">
        <v>33</v>
      </c>
      <c r="M605" s="9">
        <f t="shared" si="1"/>
        <v>29</v>
      </c>
    </row>
    <row r="606" ht="12.75" customHeight="1">
      <c r="A606" s="4">
        <f t="shared" si="2"/>
        <v>605</v>
      </c>
      <c r="B606" s="4" t="s">
        <v>1355</v>
      </c>
      <c r="C606" s="5" t="s">
        <v>1356</v>
      </c>
      <c r="D606" s="4"/>
      <c r="E606" s="4"/>
      <c r="F606" s="4" t="s">
        <v>22</v>
      </c>
      <c r="G606" s="21">
        <v>2.49</v>
      </c>
      <c r="H606" s="7" t="s">
        <v>708</v>
      </c>
      <c r="I606" s="7" t="s">
        <v>709</v>
      </c>
      <c r="J606" s="7" t="s">
        <v>710</v>
      </c>
      <c r="K606" s="8"/>
      <c r="L606" s="8" t="s">
        <v>33</v>
      </c>
      <c r="M606" s="9">
        <f t="shared" si="1"/>
        <v>31</v>
      </c>
    </row>
    <row r="607" ht="12.75" customHeight="1">
      <c r="A607" s="4">
        <f t="shared" si="2"/>
        <v>606</v>
      </c>
      <c r="B607" s="4" t="s">
        <v>1357</v>
      </c>
      <c r="C607" s="5" t="s">
        <v>1358</v>
      </c>
      <c r="D607" s="4"/>
      <c r="E607" s="4"/>
      <c r="F607" s="4" t="s">
        <v>22</v>
      </c>
      <c r="G607" s="21">
        <v>1.94</v>
      </c>
      <c r="H607" s="7" t="s">
        <v>708</v>
      </c>
      <c r="I607" s="7" t="s">
        <v>709</v>
      </c>
      <c r="J607" s="7" t="s">
        <v>710</v>
      </c>
      <c r="K607" s="8"/>
      <c r="L607" s="8" t="s">
        <v>33</v>
      </c>
      <c r="M607" s="9">
        <f t="shared" si="1"/>
        <v>31</v>
      </c>
    </row>
    <row r="608" ht="12.75" customHeight="1">
      <c r="A608" s="4">
        <f t="shared" si="2"/>
        <v>607</v>
      </c>
      <c r="B608" s="4" t="s">
        <v>1359</v>
      </c>
      <c r="C608" s="5" t="s">
        <v>1360</v>
      </c>
      <c r="D608" s="4"/>
      <c r="E608" s="4"/>
      <c r="F608" s="4" t="s">
        <v>22</v>
      </c>
      <c r="G608" s="21">
        <v>2.33</v>
      </c>
      <c r="H608" s="7" t="s">
        <v>708</v>
      </c>
      <c r="I608" s="7" t="s">
        <v>709</v>
      </c>
      <c r="J608" s="7" t="s">
        <v>710</v>
      </c>
      <c r="K608" s="8"/>
      <c r="L608" s="8" t="s">
        <v>33</v>
      </c>
      <c r="M608" s="9">
        <f t="shared" si="1"/>
        <v>32</v>
      </c>
    </row>
    <row r="609" ht="12.75" customHeight="1">
      <c r="A609" s="4">
        <f t="shared" si="2"/>
        <v>608</v>
      </c>
      <c r="B609" s="4" t="s">
        <v>1361</v>
      </c>
      <c r="C609" s="5" t="s">
        <v>1362</v>
      </c>
      <c r="D609" s="4"/>
      <c r="E609" s="4"/>
      <c r="F609" s="4" t="s">
        <v>22</v>
      </c>
      <c r="G609" s="21">
        <v>2.52</v>
      </c>
      <c r="H609" s="7" t="s">
        <v>708</v>
      </c>
      <c r="I609" s="7" t="s">
        <v>709</v>
      </c>
      <c r="J609" s="7" t="s">
        <v>710</v>
      </c>
      <c r="K609" s="8"/>
      <c r="L609" s="8" t="s">
        <v>33</v>
      </c>
      <c r="M609" s="9">
        <f t="shared" si="1"/>
        <v>32</v>
      </c>
    </row>
    <row r="610" ht="12.75" customHeight="1">
      <c r="A610" s="4">
        <f t="shared" si="2"/>
        <v>609</v>
      </c>
      <c r="B610" s="4" t="s">
        <v>1363</v>
      </c>
      <c r="C610" s="5" t="s">
        <v>1364</v>
      </c>
      <c r="D610" s="4"/>
      <c r="E610" s="4"/>
      <c r="F610" s="4" t="s">
        <v>22</v>
      </c>
      <c r="G610" s="21">
        <v>3.33</v>
      </c>
      <c r="H610" s="7" t="s">
        <v>708</v>
      </c>
      <c r="I610" s="7" t="s">
        <v>709</v>
      </c>
      <c r="J610" s="7" t="s">
        <v>710</v>
      </c>
      <c r="K610" s="8"/>
      <c r="L610" s="8" t="s">
        <v>33</v>
      </c>
      <c r="M610" s="9">
        <f t="shared" si="1"/>
        <v>33</v>
      </c>
    </row>
    <row r="611" ht="12.75" customHeight="1">
      <c r="A611" s="4">
        <f t="shared" si="2"/>
        <v>610</v>
      </c>
      <c r="B611" s="4" t="s">
        <v>1365</v>
      </c>
      <c r="C611" s="5" t="s">
        <v>1366</v>
      </c>
      <c r="D611" s="4"/>
      <c r="E611" s="4"/>
      <c r="F611" s="4" t="s">
        <v>22</v>
      </c>
      <c r="G611" s="21">
        <v>2.59</v>
      </c>
      <c r="H611" s="7" t="s">
        <v>708</v>
      </c>
      <c r="I611" s="7" t="s">
        <v>709</v>
      </c>
      <c r="J611" s="7" t="s">
        <v>710</v>
      </c>
      <c r="K611" s="8"/>
      <c r="L611" s="8" t="s">
        <v>33</v>
      </c>
      <c r="M611" s="9">
        <f t="shared" si="1"/>
        <v>32</v>
      </c>
    </row>
    <row r="612" ht="12.75" customHeight="1">
      <c r="A612" s="4">
        <f t="shared" si="2"/>
        <v>611</v>
      </c>
      <c r="B612" s="4" t="s">
        <v>1367</v>
      </c>
      <c r="C612" s="5" t="s">
        <v>1368</v>
      </c>
      <c r="D612" s="4"/>
      <c r="E612" s="4"/>
      <c r="F612" s="4" t="s">
        <v>22</v>
      </c>
      <c r="G612" s="21">
        <v>2.59</v>
      </c>
      <c r="H612" s="7" t="s">
        <v>708</v>
      </c>
      <c r="I612" s="7" t="s">
        <v>709</v>
      </c>
      <c r="J612" s="7" t="s">
        <v>710</v>
      </c>
      <c r="K612" s="8"/>
      <c r="L612" s="8" t="s">
        <v>33</v>
      </c>
      <c r="M612" s="9">
        <f t="shared" si="1"/>
        <v>32</v>
      </c>
    </row>
    <row r="613" ht="12.75" customHeight="1">
      <c r="A613" s="4">
        <f t="shared" si="2"/>
        <v>612</v>
      </c>
      <c r="B613" s="4" t="s">
        <v>1369</v>
      </c>
      <c r="C613" s="5" t="s">
        <v>1370</v>
      </c>
      <c r="D613" s="4"/>
      <c r="E613" s="4"/>
      <c r="F613" s="4" t="s">
        <v>22</v>
      </c>
      <c r="G613" s="21">
        <v>4.9</v>
      </c>
      <c r="H613" s="7" t="s">
        <v>708</v>
      </c>
      <c r="I613" s="7" t="s">
        <v>709</v>
      </c>
      <c r="J613" s="7" t="s">
        <v>710</v>
      </c>
      <c r="K613" s="8"/>
      <c r="L613" s="8" t="s">
        <v>33</v>
      </c>
      <c r="M613" s="9">
        <f t="shared" si="1"/>
        <v>33</v>
      </c>
    </row>
    <row r="614" ht="12.75" customHeight="1">
      <c r="A614" s="4">
        <f t="shared" si="2"/>
        <v>613</v>
      </c>
      <c r="B614" s="4" t="s">
        <v>1371</v>
      </c>
      <c r="C614" s="5" t="s">
        <v>1372</v>
      </c>
      <c r="D614" s="4"/>
      <c r="E614" s="4"/>
      <c r="F614" s="4" t="s">
        <v>22</v>
      </c>
      <c r="G614" s="21">
        <v>2.7</v>
      </c>
      <c r="H614" s="7" t="s">
        <v>708</v>
      </c>
      <c r="I614" s="7" t="s">
        <v>709</v>
      </c>
      <c r="J614" s="7" t="s">
        <v>710</v>
      </c>
      <c r="K614" s="8"/>
      <c r="L614" s="8" t="s">
        <v>33</v>
      </c>
      <c r="M614" s="9">
        <f t="shared" si="1"/>
        <v>32</v>
      </c>
    </row>
    <row r="615" ht="12.75" customHeight="1">
      <c r="A615" s="4">
        <f t="shared" si="2"/>
        <v>614</v>
      </c>
      <c r="B615" s="4" t="s">
        <v>1373</v>
      </c>
      <c r="C615" s="5" t="s">
        <v>1374</v>
      </c>
      <c r="D615" s="4"/>
      <c r="E615" s="4"/>
      <c r="F615" s="4" t="s">
        <v>22</v>
      </c>
      <c r="G615" s="21">
        <v>3.25</v>
      </c>
      <c r="H615" s="7" t="s">
        <v>708</v>
      </c>
      <c r="I615" s="7" t="s">
        <v>709</v>
      </c>
      <c r="J615" s="7" t="s">
        <v>710</v>
      </c>
      <c r="K615" s="8"/>
      <c r="L615" s="8" t="s">
        <v>33</v>
      </c>
      <c r="M615" s="9">
        <f t="shared" si="1"/>
        <v>32</v>
      </c>
    </row>
    <row r="616" ht="12.75" customHeight="1">
      <c r="A616" s="4">
        <f t="shared" si="2"/>
        <v>615</v>
      </c>
      <c r="B616" s="4" t="s">
        <v>1375</v>
      </c>
      <c r="C616" s="5" t="s">
        <v>1376</v>
      </c>
      <c r="D616" s="4"/>
      <c r="E616" s="4"/>
      <c r="F616" s="4" t="s">
        <v>22</v>
      </c>
      <c r="G616" s="21">
        <v>6.79</v>
      </c>
      <c r="H616" s="7" t="s">
        <v>708</v>
      </c>
      <c r="I616" s="7" t="s">
        <v>709</v>
      </c>
      <c r="J616" s="7" t="s">
        <v>710</v>
      </c>
      <c r="K616" s="8"/>
      <c r="L616" s="8" t="s">
        <v>33</v>
      </c>
      <c r="M616" s="9">
        <f t="shared" si="1"/>
        <v>33</v>
      </c>
    </row>
    <row r="617" ht="12.75" customHeight="1">
      <c r="A617" s="4">
        <f t="shared" si="2"/>
        <v>616</v>
      </c>
      <c r="B617" s="4" t="s">
        <v>1377</v>
      </c>
      <c r="C617" s="5" t="s">
        <v>1378</v>
      </c>
      <c r="D617" s="4"/>
      <c r="E617" s="4"/>
      <c r="F617" s="4" t="s">
        <v>22</v>
      </c>
      <c r="G617" s="21">
        <v>3.4</v>
      </c>
      <c r="H617" s="7" t="s">
        <v>708</v>
      </c>
      <c r="I617" s="7" t="s">
        <v>709</v>
      </c>
      <c r="J617" s="7" t="s">
        <v>710</v>
      </c>
      <c r="K617" s="8"/>
      <c r="L617" s="8" t="s">
        <v>33</v>
      </c>
      <c r="M617" s="9">
        <f t="shared" si="1"/>
        <v>32</v>
      </c>
    </row>
    <row r="618" ht="12.75" customHeight="1">
      <c r="A618" s="4">
        <f t="shared" si="2"/>
        <v>617</v>
      </c>
      <c r="B618" s="4" t="s">
        <v>1379</v>
      </c>
      <c r="C618" s="5" t="s">
        <v>1380</v>
      </c>
      <c r="D618" s="4"/>
      <c r="E618" s="4"/>
      <c r="F618" s="4" t="s">
        <v>22</v>
      </c>
      <c r="G618" s="21">
        <v>3.68</v>
      </c>
      <c r="H618" s="7" t="s">
        <v>708</v>
      </c>
      <c r="I618" s="7" t="s">
        <v>709</v>
      </c>
      <c r="J618" s="7" t="s">
        <v>710</v>
      </c>
      <c r="K618" s="8"/>
      <c r="L618" s="8" t="s">
        <v>33</v>
      </c>
      <c r="M618" s="9">
        <f t="shared" si="1"/>
        <v>32</v>
      </c>
    </row>
    <row r="619" ht="12.75" customHeight="1">
      <c r="A619" s="4">
        <f t="shared" si="2"/>
        <v>618</v>
      </c>
      <c r="B619" s="4" t="s">
        <v>1381</v>
      </c>
      <c r="C619" s="5" t="s">
        <v>1382</v>
      </c>
      <c r="D619" s="4"/>
      <c r="E619" s="4"/>
      <c r="F619" s="4" t="s">
        <v>22</v>
      </c>
      <c r="G619" s="21">
        <v>4.03</v>
      </c>
      <c r="H619" s="7" t="s">
        <v>708</v>
      </c>
      <c r="I619" s="7" t="s">
        <v>709</v>
      </c>
      <c r="J619" s="7" t="s">
        <v>710</v>
      </c>
      <c r="K619" s="8"/>
      <c r="L619" s="8" t="s">
        <v>33</v>
      </c>
      <c r="M619" s="9">
        <f t="shared" si="1"/>
        <v>32</v>
      </c>
    </row>
    <row r="620" ht="12.75" customHeight="1">
      <c r="A620" s="4">
        <f t="shared" si="2"/>
        <v>619</v>
      </c>
      <c r="B620" s="4" t="s">
        <v>1383</v>
      </c>
      <c r="C620" s="5" t="s">
        <v>1384</v>
      </c>
      <c r="D620" s="4"/>
      <c r="E620" s="4"/>
      <c r="F620" s="4" t="s">
        <v>22</v>
      </c>
      <c r="G620" s="21">
        <v>4.25</v>
      </c>
      <c r="H620" s="7" t="s">
        <v>708</v>
      </c>
      <c r="I620" s="7" t="s">
        <v>709</v>
      </c>
      <c r="J620" s="7" t="s">
        <v>710</v>
      </c>
      <c r="K620" s="8"/>
      <c r="L620" s="8" t="s">
        <v>33</v>
      </c>
      <c r="M620" s="9">
        <f t="shared" si="1"/>
        <v>32</v>
      </c>
    </row>
    <row r="621" ht="12.75" customHeight="1">
      <c r="A621" s="4">
        <f t="shared" si="2"/>
        <v>620</v>
      </c>
      <c r="B621" s="4" t="s">
        <v>1385</v>
      </c>
      <c r="C621" s="5" t="s">
        <v>1386</v>
      </c>
      <c r="D621" s="4"/>
      <c r="E621" s="4"/>
      <c r="F621" s="4" t="s">
        <v>22</v>
      </c>
      <c r="G621" s="21">
        <v>38.6</v>
      </c>
      <c r="H621" s="7" t="s">
        <v>708</v>
      </c>
      <c r="I621" s="7" t="s">
        <v>709</v>
      </c>
      <c r="J621" s="7" t="s">
        <v>710</v>
      </c>
      <c r="K621" s="8"/>
      <c r="L621" s="8" t="s">
        <v>33</v>
      </c>
      <c r="M621" s="9">
        <f t="shared" si="1"/>
        <v>29</v>
      </c>
    </row>
    <row r="622" ht="12.75" customHeight="1">
      <c r="A622" s="4">
        <f t="shared" si="2"/>
        <v>621</v>
      </c>
      <c r="B622" s="4" t="s">
        <v>1387</v>
      </c>
      <c r="C622" s="5" t="s">
        <v>1388</v>
      </c>
      <c r="D622" s="4"/>
      <c r="E622" s="4"/>
      <c r="F622" s="4" t="s">
        <v>22</v>
      </c>
      <c r="G622" s="21">
        <v>4.9</v>
      </c>
      <c r="H622" s="7" t="s">
        <v>708</v>
      </c>
      <c r="I622" s="7" t="s">
        <v>709</v>
      </c>
      <c r="J622" s="7" t="s">
        <v>710</v>
      </c>
      <c r="K622" s="8"/>
      <c r="L622" s="8" t="s">
        <v>33</v>
      </c>
      <c r="M622" s="9">
        <f t="shared" si="1"/>
        <v>32</v>
      </c>
    </row>
    <row r="623" ht="12.75" customHeight="1">
      <c r="A623" s="4">
        <f t="shared" si="2"/>
        <v>622</v>
      </c>
      <c r="B623" s="4" t="s">
        <v>1389</v>
      </c>
      <c r="C623" s="5" t="s">
        <v>1390</v>
      </c>
      <c r="D623" s="4"/>
      <c r="E623" s="4"/>
      <c r="F623" s="4" t="s">
        <v>22</v>
      </c>
      <c r="G623" s="21">
        <v>5.26</v>
      </c>
      <c r="H623" s="7" t="s">
        <v>708</v>
      </c>
      <c r="I623" s="7" t="s">
        <v>709</v>
      </c>
      <c r="J623" s="7" t="s">
        <v>710</v>
      </c>
      <c r="K623" s="8"/>
      <c r="L623" s="8" t="s">
        <v>33</v>
      </c>
      <c r="M623" s="9">
        <f t="shared" si="1"/>
        <v>32</v>
      </c>
    </row>
    <row r="624" ht="12.75" customHeight="1">
      <c r="A624" s="4">
        <f t="shared" si="2"/>
        <v>623</v>
      </c>
      <c r="B624" s="4" t="s">
        <v>1391</v>
      </c>
      <c r="C624" s="5" t="s">
        <v>1392</v>
      </c>
      <c r="D624" s="4"/>
      <c r="E624" s="4"/>
      <c r="F624" s="4" t="s">
        <v>22</v>
      </c>
      <c r="G624" s="21">
        <v>6.04</v>
      </c>
      <c r="H624" s="7" t="s">
        <v>708</v>
      </c>
      <c r="I624" s="7" t="s">
        <v>709</v>
      </c>
      <c r="J624" s="7" t="s">
        <v>710</v>
      </c>
      <c r="K624" s="8"/>
      <c r="L624" s="8" t="s">
        <v>33</v>
      </c>
      <c r="M624" s="9">
        <f t="shared" si="1"/>
        <v>32</v>
      </c>
    </row>
    <row r="625" ht="12.75" customHeight="1">
      <c r="A625" s="4">
        <f t="shared" si="2"/>
        <v>624</v>
      </c>
      <c r="B625" s="4" t="s">
        <v>1393</v>
      </c>
      <c r="C625" s="5" t="s">
        <v>1394</v>
      </c>
      <c r="D625" s="4"/>
      <c r="E625" s="4"/>
      <c r="F625" s="4" t="s">
        <v>22</v>
      </c>
      <c r="G625" s="21">
        <v>6.74</v>
      </c>
      <c r="H625" s="7" t="s">
        <v>708</v>
      </c>
      <c r="I625" s="7" t="s">
        <v>709</v>
      </c>
      <c r="J625" s="7" t="s">
        <v>710</v>
      </c>
      <c r="K625" s="8"/>
      <c r="L625" s="8" t="s">
        <v>33</v>
      </c>
      <c r="M625" s="9">
        <f t="shared" si="1"/>
        <v>32</v>
      </c>
    </row>
    <row r="626" ht="12.75" customHeight="1">
      <c r="A626" s="4">
        <f t="shared" si="2"/>
        <v>625</v>
      </c>
      <c r="B626" s="4" t="s">
        <v>1395</v>
      </c>
      <c r="C626" s="5" t="s">
        <v>1396</v>
      </c>
      <c r="D626" s="4"/>
      <c r="E626" s="4"/>
      <c r="F626" s="4" t="s">
        <v>22</v>
      </c>
      <c r="G626" s="21">
        <v>7.09</v>
      </c>
      <c r="H626" s="7" t="s">
        <v>708</v>
      </c>
      <c r="I626" s="7" t="s">
        <v>709</v>
      </c>
      <c r="J626" s="7" t="s">
        <v>710</v>
      </c>
      <c r="K626" s="8"/>
      <c r="L626" s="8" t="s">
        <v>33</v>
      </c>
      <c r="M626" s="9">
        <f t="shared" si="1"/>
        <v>32</v>
      </c>
    </row>
    <row r="627" ht="12.75" customHeight="1">
      <c r="A627" s="4">
        <f t="shared" si="2"/>
        <v>626</v>
      </c>
      <c r="B627" s="4" t="s">
        <v>1397</v>
      </c>
      <c r="C627" s="5" t="s">
        <v>1398</v>
      </c>
      <c r="D627" s="4"/>
      <c r="E627" s="4"/>
      <c r="F627" s="4" t="s">
        <v>22</v>
      </c>
      <c r="G627" s="21">
        <v>9.54</v>
      </c>
      <c r="H627" s="7" t="s">
        <v>708</v>
      </c>
      <c r="I627" s="7" t="s">
        <v>709</v>
      </c>
      <c r="J627" s="7" t="s">
        <v>710</v>
      </c>
      <c r="K627" s="8"/>
      <c r="L627" s="8" t="s">
        <v>33</v>
      </c>
      <c r="M627" s="9">
        <f t="shared" si="1"/>
        <v>32</v>
      </c>
    </row>
    <row r="628" ht="12.75" customHeight="1">
      <c r="A628" s="4">
        <f t="shared" si="2"/>
        <v>627</v>
      </c>
      <c r="B628" s="4" t="s">
        <v>1399</v>
      </c>
      <c r="C628" s="5" t="s">
        <v>1400</v>
      </c>
      <c r="D628" s="4"/>
      <c r="E628" s="4"/>
      <c r="F628" s="4" t="s">
        <v>22</v>
      </c>
      <c r="G628" s="21">
        <v>9.88</v>
      </c>
      <c r="H628" s="7" t="s">
        <v>708</v>
      </c>
      <c r="I628" s="7" t="s">
        <v>709</v>
      </c>
      <c r="J628" s="7" t="s">
        <v>710</v>
      </c>
      <c r="K628" s="8"/>
      <c r="L628" s="8" t="s">
        <v>33</v>
      </c>
      <c r="M628" s="9">
        <f t="shared" si="1"/>
        <v>32</v>
      </c>
    </row>
    <row r="629" ht="12.75" customHeight="1">
      <c r="A629" s="4">
        <f t="shared" si="2"/>
        <v>628</v>
      </c>
      <c r="B629" s="4" t="s">
        <v>1401</v>
      </c>
      <c r="C629" s="5" t="s">
        <v>1402</v>
      </c>
      <c r="D629" s="4"/>
      <c r="E629" s="4"/>
      <c r="F629" s="4" t="s">
        <v>22</v>
      </c>
      <c r="G629" s="21">
        <v>10.86</v>
      </c>
      <c r="H629" s="7" t="s">
        <v>708</v>
      </c>
      <c r="I629" s="7" t="s">
        <v>709</v>
      </c>
      <c r="J629" s="7" t="s">
        <v>710</v>
      </c>
      <c r="K629" s="8"/>
      <c r="L629" s="8" t="s">
        <v>33</v>
      </c>
      <c r="M629" s="9">
        <f t="shared" si="1"/>
        <v>32</v>
      </c>
    </row>
    <row r="630" ht="12.75" customHeight="1">
      <c r="A630" s="4">
        <f t="shared" si="2"/>
        <v>629</v>
      </c>
      <c r="B630" s="4" t="s">
        <v>1403</v>
      </c>
      <c r="C630" s="5" t="s">
        <v>1404</v>
      </c>
      <c r="D630" s="4"/>
      <c r="E630" s="4"/>
      <c r="F630" s="4" t="s">
        <v>22</v>
      </c>
      <c r="G630" s="21">
        <v>11.91</v>
      </c>
      <c r="H630" s="7" t="s">
        <v>708</v>
      </c>
      <c r="I630" s="7" t="s">
        <v>709</v>
      </c>
      <c r="J630" s="7" t="s">
        <v>710</v>
      </c>
      <c r="K630" s="8"/>
      <c r="L630" s="8" t="s">
        <v>33</v>
      </c>
      <c r="M630" s="9">
        <f t="shared" si="1"/>
        <v>32</v>
      </c>
    </row>
    <row r="631" ht="12.75" customHeight="1">
      <c r="A631" s="4">
        <f t="shared" si="2"/>
        <v>630</v>
      </c>
      <c r="B631" s="4" t="s">
        <v>1405</v>
      </c>
      <c r="C631" s="5" t="s">
        <v>1406</v>
      </c>
      <c r="D631" s="4"/>
      <c r="E631" s="4"/>
      <c r="F631" s="4" t="s">
        <v>22</v>
      </c>
      <c r="G631" s="21">
        <v>12.52</v>
      </c>
      <c r="H631" s="7" t="s">
        <v>708</v>
      </c>
      <c r="I631" s="7" t="s">
        <v>709</v>
      </c>
      <c r="J631" s="7" t="s">
        <v>710</v>
      </c>
      <c r="K631" s="8"/>
      <c r="L631" s="8" t="s">
        <v>33</v>
      </c>
      <c r="M631" s="9">
        <f t="shared" si="1"/>
        <v>32</v>
      </c>
    </row>
    <row r="632" ht="12.75" customHeight="1">
      <c r="A632" s="4">
        <f t="shared" si="2"/>
        <v>631</v>
      </c>
      <c r="B632" s="4" t="s">
        <v>1407</v>
      </c>
      <c r="C632" s="5" t="s">
        <v>1408</v>
      </c>
      <c r="D632" s="4"/>
      <c r="E632" s="4"/>
      <c r="F632" s="4" t="s">
        <v>22</v>
      </c>
      <c r="G632" s="21">
        <v>4.04</v>
      </c>
      <c r="H632" s="7" t="s">
        <v>708</v>
      </c>
      <c r="I632" s="7" t="s">
        <v>709</v>
      </c>
      <c r="J632" s="7" t="s">
        <v>710</v>
      </c>
      <c r="K632" s="8"/>
      <c r="L632" s="8" t="s">
        <v>33</v>
      </c>
      <c r="M632" s="9">
        <f t="shared" si="1"/>
        <v>31</v>
      </c>
    </row>
    <row r="633" ht="12.75" customHeight="1">
      <c r="A633" s="4">
        <f t="shared" si="2"/>
        <v>632</v>
      </c>
      <c r="B633" s="4" t="s">
        <v>1409</v>
      </c>
      <c r="C633" s="5" t="s">
        <v>1410</v>
      </c>
      <c r="D633" s="4"/>
      <c r="E633" s="4"/>
      <c r="F633" s="4" t="s">
        <v>22</v>
      </c>
      <c r="G633" s="21">
        <v>1.99</v>
      </c>
      <c r="H633" s="7" t="s">
        <v>708</v>
      </c>
      <c r="I633" s="7" t="s">
        <v>709</v>
      </c>
      <c r="J633" s="7" t="s">
        <v>710</v>
      </c>
      <c r="K633" s="8"/>
      <c r="L633" s="8" t="s">
        <v>33</v>
      </c>
      <c r="M633" s="9">
        <f t="shared" si="1"/>
        <v>31</v>
      </c>
    </row>
    <row r="634" ht="12.75" customHeight="1">
      <c r="A634" s="4">
        <f t="shared" si="2"/>
        <v>633</v>
      </c>
      <c r="B634" s="4" t="s">
        <v>1411</v>
      </c>
      <c r="C634" s="5" t="s">
        <v>1412</v>
      </c>
      <c r="D634" s="4"/>
      <c r="E634" s="4"/>
      <c r="F634" s="4" t="s">
        <v>22</v>
      </c>
      <c r="G634" s="21">
        <v>14.12</v>
      </c>
      <c r="H634" s="7" t="s">
        <v>708</v>
      </c>
      <c r="I634" s="7" t="s">
        <v>709</v>
      </c>
      <c r="J634" s="7" t="s">
        <v>710</v>
      </c>
      <c r="K634" s="8"/>
      <c r="L634" s="8" t="s">
        <v>33</v>
      </c>
      <c r="M634" s="9">
        <f t="shared" si="1"/>
        <v>32</v>
      </c>
    </row>
    <row r="635" ht="12.75" customHeight="1">
      <c r="A635" s="4">
        <f t="shared" si="2"/>
        <v>634</v>
      </c>
      <c r="B635" s="4" t="s">
        <v>1413</v>
      </c>
      <c r="C635" s="5" t="s">
        <v>1414</v>
      </c>
      <c r="D635" s="4"/>
      <c r="E635" s="4"/>
      <c r="F635" s="4" t="s">
        <v>22</v>
      </c>
      <c r="G635" s="21">
        <v>15.04</v>
      </c>
      <c r="H635" s="7" t="s">
        <v>708</v>
      </c>
      <c r="I635" s="7" t="s">
        <v>709</v>
      </c>
      <c r="J635" s="7" t="s">
        <v>710</v>
      </c>
      <c r="K635" s="8"/>
      <c r="L635" s="8" t="s">
        <v>33</v>
      </c>
      <c r="M635" s="9">
        <f t="shared" si="1"/>
        <v>32</v>
      </c>
    </row>
    <row r="636" ht="12.75" customHeight="1">
      <c r="A636" s="4">
        <f t="shared" si="2"/>
        <v>635</v>
      </c>
      <c r="B636" s="4" t="s">
        <v>1415</v>
      </c>
      <c r="C636" s="5" t="s">
        <v>1416</v>
      </c>
      <c r="D636" s="4"/>
      <c r="E636" s="4"/>
      <c r="F636" s="4" t="s">
        <v>22</v>
      </c>
      <c r="G636" s="21">
        <v>25.07</v>
      </c>
      <c r="H636" s="7" t="s">
        <v>708</v>
      </c>
      <c r="I636" s="7" t="s">
        <v>709</v>
      </c>
      <c r="J636" s="7" t="s">
        <v>710</v>
      </c>
      <c r="K636" s="8"/>
      <c r="L636" s="8" t="s">
        <v>33</v>
      </c>
      <c r="M636" s="9">
        <f t="shared" si="1"/>
        <v>32</v>
      </c>
    </row>
    <row r="637" ht="12.75" customHeight="1">
      <c r="A637" s="4">
        <f t="shared" si="2"/>
        <v>636</v>
      </c>
      <c r="B637" s="4" t="s">
        <v>1417</v>
      </c>
      <c r="C637" s="5" t="s">
        <v>1418</v>
      </c>
      <c r="D637" s="4"/>
      <c r="E637" s="4"/>
      <c r="F637" s="4" t="s">
        <v>22</v>
      </c>
      <c r="G637" s="21">
        <v>25.62</v>
      </c>
      <c r="H637" s="7" t="s">
        <v>708</v>
      </c>
      <c r="I637" s="7" t="s">
        <v>709</v>
      </c>
      <c r="J637" s="7" t="s">
        <v>710</v>
      </c>
      <c r="K637" s="8"/>
      <c r="L637" s="8" t="s">
        <v>33</v>
      </c>
      <c r="M637" s="9">
        <f t="shared" si="1"/>
        <v>32</v>
      </c>
    </row>
    <row r="638" ht="12.75" customHeight="1">
      <c r="A638" s="4">
        <f t="shared" si="2"/>
        <v>637</v>
      </c>
      <c r="B638" s="4" t="s">
        <v>1419</v>
      </c>
      <c r="C638" s="5" t="s">
        <v>1420</v>
      </c>
      <c r="D638" s="4"/>
      <c r="E638" s="4"/>
      <c r="F638" s="4" t="s">
        <v>22</v>
      </c>
      <c r="G638" s="21">
        <v>20.44</v>
      </c>
      <c r="H638" s="7" t="s">
        <v>708</v>
      </c>
      <c r="I638" s="7" t="s">
        <v>709</v>
      </c>
      <c r="J638" s="7" t="s">
        <v>710</v>
      </c>
      <c r="K638" s="8"/>
      <c r="L638" s="8" t="s">
        <v>33</v>
      </c>
      <c r="M638" s="9">
        <f t="shared" si="1"/>
        <v>32</v>
      </c>
    </row>
    <row r="639" ht="12.75" customHeight="1">
      <c r="A639" s="4">
        <f t="shared" si="2"/>
        <v>638</v>
      </c>
      <c r="B639" s="4" t="s">
        <v>1421</v>
      </c>
      <c r="C639" s="5" t="s">
        <v>1422</v>
      </c>
      <c r="D639" s="4"/>
      <c r="E639" s="4"/>
      <c r="F639" s="4" t="s">
        <v>22</v>
      </c>
      <c r="G639" s="21">
        <v>21.23</v>
      </c>
      <c r="H639" s="7" t="s">
        <v>708</v>
      </c>
      <c r="I639" s="7" t="s">
        <v>709</v>
      </c>
      <c r="J639" s="7" t="s">
        <v>710</v>
      </c>
      <c r="K639" s="8"/>
      <c r="L639" s="8" t="s">
        <v>33</v>
      </c>
      <c r="M639" s="9">
        <f t="shared" si="1"/>
        <v>32</v>
      </c>
    </row>
    <row r="640" ht="12.75" customHeight="1">
      <c r="A640" s="4">
        <f t="shared" si="2"/>
        <v>639</v>
      </c>
      <c r="B640" s="4" t="s">
        <v>1423</v>
      </c>
      <c r="C640" s="5" t="s">
        <v>1424</v>
      </c>
      <c r="D640" s="4"/>
      <c r="E640" s="4"/>
      <c r="F640" s="4" t="s">
        <v>22</v>
      </c>
      <c r="G640" s="21">
        <v>24.45</v>
      </c>
      <c r="H640" s="7" t="s">
        <v>708</v>
      </c>
      <c r="I640" s="7" t="s">
        <v>709</v>
      </c>
      <c r="J640" s="7" t="s">
        <v>710</v>
      </c>
      <c r="K640" s="8"/>
      <c r="L640" s="8" t="s">
        <v>33</v>
      </c>
      <c r="M640" s="9">
        <f t="shared" si="1"/>
        <v>32</v>
      </c>
    </row>
    <row r="641" ht="12.75" customHeight="1">
      <c r="A641" s="4">
        <f t="shared" si="2"/>
        <v>640</v>
      </c>
      <c r="B641" s="4" t="s">
        <v>1425</v>
      </c>
      <c r="C641" s="5" t="s">
        <v>1426</v>
      </c>
      <c r="D641" s="4"/>
      <c r="E641" s="4"/>
      <c r="F641" s="4" t="s">
        <v>22</v>
      </c>
      <c r="G641" s="21">
        <v>34.17</v>
      </c>
      <c r="H641" s="7" t="s">
        <v>708</v>
      </c>
      <c r="I641" s="7" t="s">
        <v>709</v>
      </c>
      <c r="J641" s="7" t="s">
        <v>710</v>
      </c>
      <c r="K641" s="8"/>
      <c r="L641" s="8" t="s">
        <v>33</v>
      </c>
      <c r="M641" s="9">
        <f t="shared" si="1"/>
        <v>32</v>
      </c>
    </row>
    <row r="642" ht="12.75" customHeight="1">
      <c r="A642" s="4">
        <f t="shared" si="2"/>
        <v>641</v>
      </c>
      <c r="B642" s="4" t="s">
        <v>1427</v>
      </c>
      <c r="C642" s="5" t="s">
        <v>1428</v>
      </c>
      <c r="D642" s="4"/>
      <c r="E642" s="4"/>
      <c r="F642" s="4" t="s">
        <v>22</v>
      </c>
      <c r="G642" s="21">
        <v>2.06</v>
      </c>
      <c r="H642" s="7" t="s">
        <v>708</v>
      </c>
      <c r="I642" s="7" t="s">
        <v>709</v>
      </c>
      <c r="J642" s="7" t="s">
        <v>710</v>
      </c>
      <c r="K642" s="8"/>
      <c r="L642" s="8" t="s">
        <v>33</v>
      </c>
      <c r="M642" s="9">
        <f t="shared" si="1"/>
        <v>32</v>
      </c>
    </row>
    <row r="643" ht="12.75" customHeight="1">
      <c r="A643" s="4">
        <f t="shared" si="2"/>
        <v>642</v>
      </c>
      <c r="B643" s="4" t="s">
        <v>1429</v>
      </c>
      <c r="C643" s="5" t="s">
        <v>1430</v>
      </c>
      <c r="D643" s="4"/>
      <c r="E643" s="4"/>
      <c r="F643" s="4" t="s">
        <v>22</v>
      </c>
      <c r="G643" s="21">
        <v>3.22</v>
      </c>
      <c r="H643" s="7" t="s">
        <v>708</v>
      </c>
      <c r="I643" s="7" t="s">
        <v>709</v>
      </c>
      <c r="J643" s="7" t="s">
        <v>710</v>
      </c>
      <c r="K643" s="8"/>
      <c r="L643" s="8" t="s">
        <v>33</v>
      </c>
      <c r="M643" s="9">
        <f t="shared" si="1"/>
        <v>31</v>
      </c>
    </row>
    <row r="644" ht="12.75" customHeight="1">
      <c r="A644" s="4">
        <f t="shared" si="2"/>
        <v>643</v>
      </c>
      <c r="B644" s="4" t="s">
        <v>1431</v>
      </c>
      <c r="C644" s="5" t="s">
        <v>1432</v>
      </c>
      <c r="D644" s="4"/>
      <c r="E644" s="4"/>
      <c r="F644" s="4" t="s">
        <v>22</v>
      </c>
      <c r="G644" s="21">
        <v>34.86</v>
      </c>
      <c r="H644" s="7" t="s">
        <v>708</v>
      </c>
      <c r="I644" s="7" t="s">
        <v>709</v>
      </c>
      <c r="J644" s="7" t="s">
        <v>710</v>
      </c>
      <c r="K644" s="8"/>
      <c r="L644" s="8" t="s">
        <v>33</v>
      </c>
      <c r="M644" s="9">
        <f t="shared" si="1"/>
        <v>32</v>
      </c>
    </row>
    <row r="645" ht="12.75" customHeight="1">
      <c r="A645" s="4">
        <f t="shared" si="2"/>
        <v>644</v>
      </c>
      <c r="B645" s="4" t="s">
        <v>1433</v>
      </c>
      <c r="C645" s="5" t="s">
        <v>1434</v>
      </c>
      <c r="D645" s="4"/>
      <c r="E645" s="4"/>
      <c r="F645" s="4" t="s">
        <v>22</v>
      </c>
      <c r="G645" s="21">
        <v>56.35</v>
      </c>
      <c r="H645" s="7" t="s">
        <v>708</v>
      </c>
      <c r="I645" s="7" t="s">
        <v>709</v>
      </c>
      <c r="J645" s="7" t="s">
        <v>710</v>
      </c>
      <c r="K645" s="8"/>
      <c r="L645" s="8" t="s">
        <v>33</v>
      </c>
      <c r="M645" s="9">
        <f t="shared" si="1"/>
        <v>32</v>
      </c>
    </row>
    <row r="646" ht="12.75" customHeight="1">
      <c r="A646" s="4">
        <f t="shared" si="2"/>
        <v>645</v>
      </c>
      <c r="B646" s="4" t="s">
        <v>1435</v>
      </c>
      <c r="C646" s="5" t="s">
        <v>1436</v>
      </c>
      <c r="D646" s="4"/>
      <c r="E646" s="4"/>
      <c r="F646" s="4" t="s">
        <v>22</v>
      </c>
      <c r="G646" s="21">
        <v>1.98</v>
      </c>
      <c r="H646" s="7" t="s">
        <v>708</v>
      </c>
      <c r="I646" s="7" t="s">
        <v>709</v>
      </c>
      <c r="J646" s="7" t="s">
        <v>710</v>
      </c>
      <c r="K646" s="8"/>
      <c r="L646" s="8" t="s">
        <v>33</v>
      </c>
      <c r="M646" s="9">
        <f t="shared" si="1"/>
        <v>31</v>
      </c>
    </row>
    <row r="647" ht="12.75" customHeight="1">
      <c r="A647" s="4">
        <f t="shared" si="2"/>
        <v>646</v>
      </c>
      <c r="B647" s="4" t="s">
        <v>1437</v>
      </c>
      <c r="C647" s="5" t="s">
        <v>1438</v>
      </c>
      <c r="D647" s="4"/>
      <c r="E647" s="4"/>
      <c r="F647" s="4" t="s">
        <v>22</v>
      </c>
      <c r="G647" s="21">
        <v>62.51</v>
      </c>
      <c r="H647" s="7" t="s">
        <v>708</v>
      </c>
      <c r="I647" s="7" t="s">
        <v>709</v>
      </c>
      <c r="J647" s="7" t="s">
        <v>710</v>
      </c>
      <c r="K647" s="8"/>
      <c r="L647" s="8" t="s">
        <v>33</v>
      </c>
      <c r="M647" s="9">
        <f t="shared" si="1"/>
        <v>32</v>
      </c>
    </row>
    <row r="648" ht="12.75" customHeight="1">
      <c r="A648" s="4">
        <f t="shared" si="2"/>
        <v>647</v>
      </c>
      <c r="B648" s="4" t="s">
        <v>1439</v>
      </c>
      <c r="C648" s="5" t="s">
        <v>1440</v>
      </c>
      <c r="D648" s="4"/>
      <c r="E648" s="4"/>
      <c r="F648" s="4" t="s">
        <v>22</v>
      </c>
      <c r="G648" s="21">
        <v>2.12</v>
      </c>
      <c r="H648" s="7" t="s">
        <v>708</v>
      </c>
      <c r="I648" s="7" t="s">
        <v>709</v>
      </c>
      <c r="J648" s="7" t="s">
        <v>710</v>
      </c>
      <c r="K648" s="8"/>
      <c r="L648" s="8" t="s">
        <v>33</v>
      </c>
      <c r="M648" s="9">
        <f t="shared" si="1"/>
        <v>31</v>
      </c>
    </row>
    <row r="649" ht="12.75" customHeight="1">
      <c r="A649" s="4">
        <f t="shared" si="2"/>
        <v>648</v>
      </c>
      <c r="B649" s="4" t="s">
        <v>1441</v>
      </c>
      <c r="C649" s="5" t="s">
        <v>1442</v>
      </c>
      <c r="D649" s="4"/>
      <c r="E649" s="4"/>
      <c r="F649" s="4" t="s">
        <v>22</v>
      </c>
      <c r="G649" s="21">
        <v>2.35</v>
      </c>
      <c r="H649" s="7" t="s">
        <v>708</v>
      </c>
      <c r="I649" s="7" t="s">
        <v>709</v>
      </c>
      <c r="J649" s="7" t="s">
        <v>710</v>
      </c>
      <c r="K649" s="8"/>
      <c r="L649" s="8" t="s">
        <v>33</v>
      </c>
      <c r="M649" s="9">
        <f t="shared" si="1"/>
        <v>32</v>
      </c>
    </row>
    <row r="650" ht="12.75" customHeight="1">
      <c r="A650" s="4">
        <f t="shared" si="2"/>
        <v>649</v>
      </c>
      <c r="B650" s="4" t="s">
        <v>1443</v>
      </c>
      <c r="C650" s="5" t="s">
        <v>1444</v>
      </c>
      <c r="D650" s="4"/>
      <c r="E650" s="4"/>
      <c r="F650" s="4" t="s">
        <v>22</v>
      </c>
      <c r="G650" s="21">
        <v>5.68</v>
      </c>
      <c r="H650" s="7" t="s">
        <v>708</v>
      </c>
      <c r="I650" s="7" t="s">
        <v>709</v>
      </c>
      <c r="J650" s="7" t="s">
        <v>710</v>
      </c>
      <c r="K650" s="8"/>
      <c r="L650" s="8" t="s">
        <v>33</v>
      </c>
      <c r="M650" s="9">
        <f t="shared" si="1"/>
        <v>31</v>
      </c>
    </row>
    <row r="651" ht="12.75" customHeight="1">
      <c r="A651" s="4">
        <f t="shared" si="2"/>
        <v>650</v>
      </c>
      <c r="B651" s="4" t="s">
        <v>1445</v>
      </c>
      <c r="C651" s="5" t="s">
        <v>1446</v>
      </c>
      <c r="D651" s="4"/>
      <c r="E651" s="4"/>
      <c r="F651" s="4" t="s">
        <v>22</v>
      </c>
      <c r="G651" s="21">
        <v>2.16</v>
      </c>
      <c r="H651" s="7" t="s">
        <v>708</v>
      </c>
      <c r="I651" s="7" t="s">
        <v>709</v>
      </c>
      <c r="J651" s="7" t="s">
        <v>710</v>
      </c>
      <c r="K651" s="8"/>
      <c r="L651" s="8" t="s">
        <v>33</v>
      </c>
      <c r="M651" s="9">
        <f t="shared" si="1"/>
        <v>31</v>
      </c>
    </row>
    <row r="652" ht="12.75" customHeight="1">
      <c r="A652" s="4">
        <f t="shared" si="2"/>
        <v>651</v>
      </c>
      <c r="B652" s="4" t="s">
        <v>1447</v>
      </c>
      <c r="C652" s="5" t="s">
        <v>1448</v>
      </c>
      <c r="D652" s="4"/>
      <c r="E652" s="4"/>
      <c r="F652" s="4" t="s">
        <v>22</v>
      </c>
      <c r="G652" s="21">
        <v>2.21</v>
      </c>
      <c r="H652" s="7" t="s">
        <v>708</v>
      </c>
      <c r="I652" s="7" t="s">
        <v>709</v>
      </c>
      <c r="J652" s="7" t="s">
        <v>710</v>
      </c>
      <c r="K652" s="8"/>
      <c r="L652" s="8" t="s">
        <v>33</v>
      </c>
      <c r="M652" s="9">
        <f t="shared" si="1"/>
        <v>31</v>
      </c>
    </row>
    <row r="653" ht="12.75" customHeight="1">
      <c r="A653" s="4">
        <f t="shared" si="2"/>
        <v>652</v>
      </c>
      <c r="B653" s="4" t="s">
        <v>1449</v>
      </c>
      <c r="C653" s="5" t="s">
        <v>1450</v>
      </c>
      <c r="D653" s="4"/>
      <c r="E653" s="4"/>
      <c r="F653" s="4" t="s">
        <v>22</v>
      </c>
      <c r="G653" s="21">
        <v>2.64</v>
      </c>
      <c r="H653" s="7" t="s">
        <v>708</v>
      </c>
      <c r="I653" s="7" t="s">
        <v>709</v>
      </c>
      <c r="J653" s="7" t="s">
        <v>710</v>
      </c>
      <c r="K653" s="8"/>
      <c r="L653" s="8" t="s">
        <v>33</v>
      </c>
      <c r="M653" s="9">
        <f t="shared" si="1"/>
        <v>32</v>
      </c>
    </row>
    <row r="654" ht="12.75" customHeight="1">
      <c r="A654" s="4">
        <f t="shared" si="2"/>
        <v>653</v>
      </c>
      <c r="B654" s="4" t="s">
        <v>1451</v>
      </c>
      <c r="C654" s="5" t="s">
        <v>1452</v>
      </c>
      <c r="D654" s="4"/>
      <c r="E654" s="4"/>
      <c r="F654" s="4" t="s">
        <v>22</v>
      </c>
      <c r="G654" s="21">
        <v>6.76</v>
      </c>
      <c r="H654" s="7" t="s">
        <v>708</v>
      </c>
      <c r="I654" s="7" t="s">
        <v>709</v>
      </c>
      <c r="J654" s="7" t="s">
        <v>710</v>
      </c>
      <c r="K654" s="8"/>
      <c r="L654" s="8" t="s">
        <v>33</v>
      </c>
      <c r="M654" s="9">
        <f t="shared" si="1"/>
        <v>37</v>
      </c>
    </row>
    <row r="655" ht="12.75" customHeight="1">
      <c r="A655" s="4">
        <f t="shared" si="2"/>
        <v>654</v>
      </c>
      <c r="B655" s="4" t="s">
        <v>1453</v>
      </c>
      <c r="C655" s="5" t="s">
        <v>1454</v>
      </c>
      <c r="D655" s="4"/>
      <c r="E655" s="4"/>
      <c r="F655" s="4" t="s">
        <v>22</v>
      </c>
      <c r="G655" s="21">
        <v>22.97</v>
      </c>
      <c r="H655" s="7" t="s">
        <v>708</v>
      </c>
      <c r="I655" s="7" t="s">
        <v>709</v>
      </c>
      <c r="J655" s="7" t="s">
        <v>710</v>
      </c>
      <c r="K655" s="8"/>
      <c r="L655" s="8" t="s">
        <v>33</v>
      </c>
      <c r="M655" s="9">
        <f t="shared" si="1"/>
        <v>37</v>
      </c>
    </row>
    <row r="656" ht="12.75" customHeight="1">
      <c r="A656" s="4">
        <f t="shared" si="2"/>
        <v>655</v>
      </c>
      <c r="B656" s="4" t="s">
        <v>1455</v>
      </c>
      <c r="C656" s="5" t="s">
        <v>1456</v>
      </c>
      <c r="D656" s="4"/>
      <c r="E656" s="4"/>
      <c r="F656" s="4" t="s">
        <v>371</v>
      </c>
      <c r="G656" s="21">
        <v>4.59</v>
      </c>
      <c r="H656" s="7" t="s">
        <v>708</v>
      </c>
      <c r="I656" s="7" t="s">
        <v>709</v>
      </c>
      <c r="J656" s="7" t="s">
        <v>710</v>
      </c>
      <c r="K656" s="8"/>
      <c r="L656" s="8" t="s">
        <v>507</v>
      </c>
      <c r="M656" s="9">
        <f t="shared" si="1"/>
        <v>32</v>
      </c>
    </row>
    <row r="657" ht="12.75" customHeight="1">
      <c r="A657" s="4">
        <f t="shared" si="2"/>
        <v>656</v>
      </c>
      <c r="B657" s="4" t="s">
        <v>1457</v>
      </c>
      <c r="C657" s="5" t="s">
        <v>1458</v>
      </c>
      <c r="D657" s="4"/>
      <c r="E657" s="4"/>
      <c r="F657" s="4" t="s">
        <v>371</v>
      </c>
      <c r="G657" s="21">
        <v>540.54</v>
      </c>
      <c r="H657" s="7" t="s">
        <v>708</v>
      </c>
      <c r="I657" s="7" t="s">
        <v>709</v>
      </c>
      <c r="J657" s="7" t="s">
        <v>710</v>
      </c>
      <c r="K657" s="8"/>
      <c r="L657" s="8" t="s">
        <v>33</v>
      </c>
      <c r="M657" s="9">
        <f t="shared" si="1"/>
        <v>42</v>
      </c>
    </row>
    <row r="658" ht="12.75" customHeight="1">
      <c r="A658" s="4">
        <f t="shared" si="2"/>
        <v>657</v>
      </c>
      <c r="B658" s="4" t="s">
        <v>1459</v>
      </c>
      <c r="C658" s="5" t="s">
        <v>1460</v>
      </c>
      <c r="D658" s="4"/>
      <c r="E658" s="4"/>
      <c r="F658" s="4" t="s">
        <v>371</v>
      </c>
      <c r="G658" s="21">
        <v>675.68</v>
      </c>
      <c r="H658" s="7" t="s">
        <v>708</v>
      </c>
      <c r="I658" s="7" t="s">
        <v>709</v>
      </c>
      <c r="J658" s="7" t="s">
        <v>710</v>
      </c>
      <c r="K658" s="8"/>
      <c r="L658" s="8" t="s">
        <v>33</v>
      </c>
      <c r="M658" s="9">
        <f t="shared" si="1"/>
        <v>36</v>
      </c>
    </row>
    <row r="659" ht="12.75" customHeight="1">
      <c r="A659" s="4">
        <f t="shared" si="2"/>
        <v>658</v>
      </c>
      <c r="B659" s="4" t="s">
        <v>1461</v>
      </c>
      <c r="C659" s="5" t="s">
        <v>1462</v>
      </c>
      <c r="D659" s="4"/>
      <c r="E659" s="4"/>
      <c r="F659" s="4" t="s">
        <v>22</v>
      </c>
      <c r="G659" s="21">
        <v>18.11</v>
      </c>
      <c r="H659" s="7" t="s">
        <v>708</v>
      </c>
      <c r="I659" s="7" t="s">
        <v>709</v>
      </c>
      <c r="J659" s="7" t="s">
        <v>710</v>
      </c>
      <c r="K659" s="8"/>
      <c r="L659" s="8" t="s">
        <v>507</v>
      </c>
      <c r="M659" s="9">
        <f t="shared" si="1"/>
        <v>41</v>
      </c>
    </row>
    <row r="660" ht="12.75" customHeight="1">
      <c r="A660" s="4">
        <f t="shared" si="2"/>
        <v>659</v>
      </c>
      <c r="B660" s="4" t="s">
        <v>1463</v>
      </c>
      <c r="C660" s="5" t="s">
        <v>1464</v>
      </c>
      <c r="D660" s="4"/>
      <c r="E660" s="4"/>
      <c r="F660" s="4" t="s">
        <v>22</v>
      </c>
      <c r="G660" s="21">
        <v>7.7</v>
      </c>
      <c r="H660" s="7" t="s">
        <v>708</v>
      </c>
      <c r="I660" s="7" t="s">
        <v>709</v>
      </c>
      <c r="J660" s="7" t="s">
        <v>710</v>
      </c>
      <c r="K660" s="8"/>
      <c r="L660" s="8" t="s">
        <v>33</v>
      </c>
      <c r="M660" s="9">
        <f t="shared" si="1"/>
        <v>38</v>
      </c>
    </row>
    <row r="661" ht="12.75" customHeight="1">
      <c r="A661" s="4">
        <f t="shared" si="2"/>
        <v>660</v>
      </c>
      <c r="B661" s="4" t="s">
        <v>1465</v>
      </c>
      <c r="C661" s="5" t="s">
        <v>1466</v>
      </c>
      <c r="D661" s="4"/>
      <c r="E661" s="4"/>
      <c r="F661" s="4" t="s">
        <v>22</v>
      </c>
      <c r="G661" s="21">
        <v>11.81</v>
      </c>
      <c r="H661" s="7" t="s">
        <v>708</v>
      </c>
      <c r="I661" s="7" t="s">
        <v>709</v>
      </c>
      <c r="J661" s="7" t="s">
        <v>710</v>
      </c>
      <c r="K661" s="8"/>
      <c r="L661" s="8" t="s">
        <v>33</v>
      </c>
      <c r="M661" s="9">
        <f t="shared" si="1"/>
        <v>38</v>
      </c>
    </row>
    <row r="662" ht="12.75" customHeight="1">
      <c r="A662" s="4">
        <f t="shared" si="2"/>
        <v>661</v>
      </c>
      <c r="B662" s="4" t="s">
        <v>1467</v>
      </c>
      <c r="C662" s="5" t="s">
        <v>1468</v>
      </c>
      <c r="D662" s="4"/>
      <c r="E662" s="4"/>
      <c r="F662" s="4" t="s">
        <v>22</v>
      </c>
      <c r="G662" s="21">
        <v>15.86</v>
      </c>
      <c r="H662" s="7" t="s">
        <v>708</v>
      </c>
      <c r="I662" s="7" t="s">
        <v>709</v>
      </c>
      <c r="J662" s="7" t="s">
        <v>710</v>
      </c>
      <c r="K662" s="8"/>
      <c r="L662" s="8" t="s">
        <v>33</v>
      </c>
      <c r="M662" s="9">
        <f t="shared" si="1"/>
        <v>38</v>
      </c>
    </row>
    <row r="663" ht="12.75" customHeight="1">
      <c r="A663" s="4">
        <f t="shared" si="2"/>
        <v>662</v>
      </c>
      <c r="B663" s="4" t="s">
        <v>1469</v>
      </c>
      <c r="C663" s="5" t="s">
        <v>1470</v>
      </c>
      <c r="D663" s="4"/>
      <c r="E663" s="4"/>
      <c r="F663" s="4" t="s">
        <v>22</v>
      </c>
      <c r="G663" s="21">
        <v>5.38</v>
      </c>
      <c r="H663" s="7" t="s">
        <v>708</v>
      </c>
      <c r="I663" s="7" t="s">
        <v>709</v>
      </c>
      <c r="J663" s="7" t="s">
        <v>742</v>
      </c>
      <c r="K663" s="8"/>
      <c r="L663" s="8" t="s">
        <v>33</v>
      </c>
      <c r="M663" s="9">
        <f t="shared" si="1"/>
        <v>40</v>
      </c>
    </row>
    <row r="664" ht="12.75" customHeight="1">
      <c r="A664" s="4">
        <f t="shared" si="2"/>
        <v>663</v>
      </c>
      <c r="B664" s="4" t="s">
        <v>1471</v>
      </c>
      <c r="C664" s="5" t="s">
        <v>1472</v>
      </c>
      <c r="D664" s="4"/>
      <c r="E664" s="4"/>
      <c r="F664" s="4" t="s">
        <v>22</v>
      </c>
      <c r="G664" s="21">
        <v>20.22</v>
      </c>
      <c r="H664" s="7" t="s">
        <v>708</v>
      </c>
      <c r="I664" s="7" t="s">
        <v>709</v>
      </c>
      <c r="J664" s="7" t="s">
        <v>710</v>
      </c>
      <c r="K664" s="8"/>
      <c r="L664" s="8" t="s">
        <v>33</v>
      </c>
      <c r="M664" s="9">
        <f t="shared" si="1"/>
        <v>56</v>
      </c>
    </row>
    <row r="665" ht="12.75" customHeight="1">
      <c r="A665" s="4">
        <f t="shared" si="2"/>
        <v>664</v>
      </c>
      <c r="B665" s="4" t="s">
        <v>1473</v>
      </c>
      <c r="C665" s="5" t="s">
        <v>1474</v>
      </c>
      <c r="D665" s="4"/>
      <c r="E665" s="4"/>
      <c r="F665" s="4" t="s">
        <v>22</v>
      </c>
      <c r="G665" s="21">
        <v>32.43</v>
      </c>
      <c r="H665" s="7" t="s">
        <v>708</v>
      </c>
      <c r="I665" s="7" t="s">
        <v>1475</v>
      </c>
      <c r="J665" s="7" t="s">
        <v>1476</v>
      </c>
      <c r="K665" s="8"/>
      <c r="L665" s="8" t="s">
        <v>33</v>
      </c>
      <c r="M665" s="9">
        <f t="shared" si="1"/>
        <v>36</v>
      </c>
    </row>
    <row r="666" ht="12.75" customHeight="1">
      <c r="A666" s="4">
        <f t="shared" si="2"/>
        <v>665</v>
      </c>
      <c r="B666" s="4" t="s">
        <v>1477</v>
      </c>
      <c r="C666" s="5" t="s">
        <v>1478</v>
      </c>
      <c r="D666" s="4"/>
      <c r="E666" s="4"/>
      <c r="F666" s="4" t="s">
        <v>22</v>
      </c>
      <c r="G666" s="21">
        <v>5.11</v>
      </c>
      <c r="H666" s="7" t="s">
        <v>708</v>
      </c>
      <c r="I666" s="7" t="s">
        <v>709</v>
      </c>
      <c r="J666" s="7" t="s">
        <v>821</v>
      </c>
      <c r="K666" s="8"/>
      <c r="L666" s="8" t="s">
        <v>33</v>
      </c>
      <c r="M666" s="9">
        <f t="shared" si="1"/>
        <v>24</v>
      </c>
    </row>
    <row r="667" ht="12.75" customHeight="1">
      <c r="A667" s="4">
        <f t="shared" si="2"/>
        <v>666</v>
      </c>
      <c r="B667" s="4" t="s">
        <v>1479</v>
      </c>
      <c r="C667" s="5" t="s">
        <v>1480</v>
      </c>
      <c r="D667" s="4"/>
      <c r="E667" s="4"/>
      <c r="F667" s="4" t="s">
        <v>22</v>
      </c>
      <c r="G667" s="21">
        <v>5.65</v>
      </c>
      <c r="H667" s="7" t="s">
        <v>708</v>
      </c>
      <c r="I667" s="7" t="s">
        <v>709</v>
      </c>
      <c r="J667" s="7" t="s">
        <v>821</v>
      </c>
      <c r="K667" s="8"/>
      <c r="L667" s="8" t="s">
        <v>33</v>
      </c>
      <c r="M667" s="9">
        <f t="shared" si="1"/>
        <v>24</v>
      </c>
    </row>
    <row r="668" ht="12.75" customHeight="1">
      <c r="A668" s="4">
        <f t="shared" si="2"/>
        <v>667</v>
      </c>
      <c r="B668" s="4" t="s">
        <v>1481</v>
      </c>
      <c r="C668" s="5" t="s">
        <v>1482</v>
      </c>
      <c r="D668" s="4"/>
      <c r="E668" s="4"/>
      <c r="F668" s="4" t="s">
        <v>22</v>
      </c>
      <c r="G668" s="21">
        <v>7.81</v>
      </c>
      <c r="H668" s="7" t="s">
        <v>708</v>
      </c>
      <c r="I668" s="7" t="s">
        <v>709</v>
      </c>
      <c r="J668" s="7" t="s">
        <v>821</v>
      </c>
      <c r="K668" s="8"/>
      <c r="L668" s="8" t="s">
        <v>33</v>
      </c>
      <c r="M668" s="9">
        <f t="shared" si="1"/>
        <v>24</v>
      </c>
    </row>
    <row r="669" ht="12.75" customHeight="1">
      <c r="A669" s="4">
        <f t="shared" si="2"/>
        <v>668</v>
      </c>
      <c r="B669" s="4" t="s">
        <v>1483</v>
      </c>
      <c r="C669" s="5" t="s">
        <v>1484</v>
      </c>
      <c r="D669" s="4"/>
      <c r="E669" s="4"/>
      <c r="F669" s="4" t="s">
        <v>22</v>
      </c>
      <c r="G669" s="21">
        <v>8.89</v>
      </c>
      <c r="H669" s="7" t="s">
        <v>708</v>
      </c>
      <c r="I669" s="7" t="s">
        <v>709</v>
      </c>
      <c r="J669" s="7" t="s">
        <v>821</v>
      </c>
      <c r="K669" s="8"/>
      <c r="L669" s="8" t="s">
        <v>33</v>
      </c>
      <c r="M669" s="9">
        <f t="shared" si="1"/>
        <v>24</v>
      </c>
    </row>
    <row r="670" ht="12.75" customHeight="1">
      <c r="A670" s="4">
        <f t="shared" si="2"/>
        <v>669</v>
      </c>
      <c r="B670" s="4" t="s">
        <v>1485</v>
      </c>
      <c r="C670" s="5" t="s">
        <v>1486</v>
      </c>
      <c r="D670" s="4"/>
      <c r="E670" s="4"/>
      <c r="F670" s="4" t="s">
        <v>22</v>
      </c>
      <c r="G670" s="21">
        <v>12.95</v>
      </c>
      <c r="H670" s="7" t="s">
        <v>708</v>
      </c>
      <c r="I670" s="7" t="s">
        <v>709</v>
      </c>
      <c r="J670" s="7" t="s">
        <v>821</v>
      </c>
      <c r="K670" s="8"/>
      <c r="L670" s="8" t="s">
        <v>33</v>
      </c>
      <c r="M670" s="9">
        <f t="shared" si="1"/>
        <v>24</v>
      </c>
    </row>
    <row r="671" ht="12.75" customHeight="1">
      <c r="A671" s="4">
        <f t="shared" si="2"/>
        <v>670</v>
      </c>
      <c r="B671" s="4" t="s">
        <v>1487</v>
      </c>
      <c r="C671" s="5" t="s">
        <v>1488</v>
      </c>
      <c r="D671" s="4"/>
      <c r="E671" s="4"/>
      <c r="F671" s="4" t="s">
        <v>22</v>
      </c>
      <c r="G671" s="21">
        <v>16.46</v>
      </c>
      <c r="H671" s="7" t="s">
        <v>708</v>
      </c>
      <c r="I671" s="7" t="s">
        <v>709</v>
      </c>
      <c r="J671" s="7" t="s">
        <v>821</v>
      </c>
      <c r="K671" s="8"/>
      <c r="L671" s="8" t="s">
        <v>33</v>
      </c>
      <c r="M671" s="9">
        <f t="shared" si="1"/>
        <v>24</v>
      </c>
    </row>
    <row r="672" ht="12.75" customHeight="1">
      <c r="A672" s="4">
        <f t="shared" si="2"/>
        <v>671</v>
      </c>
      <c r="B672" s="4" t="s">
        <v>1489</v>
      </c>
      <c r="C672" s="5" t="s">
        <v>1490</v>
      </c>
      <c r="D672" s="4"/>
      <c r="E672" s="4"/>
      <c r="F672" s="4" t="s">
        <v>22</v>
      </c>
      <c r="G672" s="21">
        <v>8.05</v>
      </c>
      <c r="H672" s="7" t="s">
        <v>708</v>
      </c>
      <c r="I672" s="7" t="s">
        <v>709</v>
      </c>
      <c r="J672" s="7" t="s">
        <v>821</v>
      </c>
      <c r="K672" s="8"/>
      <c r="L672" s="8" t="s">
        <v>33</v>
      </c>
      <c r="M672" s="9">
        <f t="shared" si="1"/>
        <v>26</v>
      </c>
    </row>
    <row r="673" ht="12.75" customHeight="1">
      <c r="A673" s="4">
        <f t="shared" si="2"/>
        <v>672</v>
      </c>
      <c r="B673" s="4" t="s">
        <v>1491</v>
      </c>
      <c r="C673" s="5" t="s">
        <v>1492</v>
      </c>
      <c r="D673" s="4"/>
      <c r="E673" s="4"/>
      <c r="F673" s="4" t="s">
        <v>22</v>
      </c>
      <c r="G673" s="21">
        <v>6.5</v>
      </c>
      <c r="H673" s="7" t="s">
        <v>708</v>
      </c>
      <c r="I673" s="7" t="s">
        <v>709</v>
      </c>
      <c r="J673" s="7" t="s">
        <v>821</v>
      </c>
      <c r="K673" s="8"/>
      <c r="L673" s="8" t="s">
        <v>33</v>
      </c>
      <c r="M673" s="9">
        <f t="shared" si="1"/>
        <v>26</v>
      </c>
    </row>
    <row r="674" ht="12.75" customHeight="1">
      <c r="A674" s="4">
        <f t="shared" si="2"/>
        <v>673</v>
      </c>
      <c r="B674" s="4" t="s">
        <v>1493</v>
      </c>
      <c r="C674" s="5" t="s">
        <v>1494</v>
      </c>
      <c r="D674" s="4"/>
      <c r="E674" s="4"/>
      <c r="F674" s="4" t="s">
        <v>22</v>
      </c>
      <c r="G674" s="21">
        <v>7.3</v>
      </c>
      <c r="H674" s="7" t="s">
        <v>708</v>
      </c>
      <c r="I674" s="7" t="s">
        <v>709</v>
      </c>
      <c r="J674" s="7" t="s">
        <v>821</v>
      </c>
      <c r="K674" s="8"/>
      <c r="L674" s="8" t="s">
        <v>33</v>
      </c>
      <c r="M674" s="9">
        <f t="shared" si="1"/>
        <v>29</v>
      </c>
    </row>
    <row r="675" ht="12.75" customHeight="1">
      <c r="A675" s="4">
        <f t="shared" si="2"/>
        <v>674</v>
      </c>
      <c r="B675" s="4" t="s">
        <v>1495</v>
      </c>
      <c r="C675" s="5" t="s">
        <v>1496</v>
      </c>
      <c r="D675" s="4"/>
      <c r="E675" s="4"/>
      <c r="F675" s="4" t="s">
        <v>22</v>
      </c>
      <c r="G675" s="21">
        <v>7.56</v>
      </c>
      <c r="H675" s="7" t="s">
        <v>708</v>
      </c>
      <c r="I675" s="7" t="s">
        <v>709</v>
      </c>
      <c r="J675" s="7" t="s">
        <v>742</v>
      </c>
      <c r="K675" s="8"/>
      <c r="L675" s="8" t="s">
        <v>33</v>
      </c>
      <c r="M675" s="9">
        <f t="shared" si="1"/>
        <v>26</v>
      </c>
    </row>
    <row r="676" ht="12.75" customHeight="1">
      <c r="A676" s="4">
        <f t="shared" si="2"/>
        <v>675</v>
      </c>
      <c r="B676" s="4" t="s">
        <v>1497</v>
      </c>
      <c r="C676" s="5" t="s">
        <v>1498</v>
      </c>
      <c r="D676" s="4"/>
      <c r="E676" s="4"/>
      <c r="F676" s="4" t="s">
        <v>22</v>
      </c>
      <c r="G676" s="21">
        <v>36.49</v>
      </c>
      <c r="H676" s="7" t="s">
        <v>708</v>
      </c>
      <c r="I676" s="7" t="s">
        <v>709</v>
      </c>
      <c r="J676" s="7" t="s">
        <v>742</v>
      </c>
      <c r="K676" s="8"/>
      <c r="L676" s="8" t="s">
        <v>33</v>
      </c>
      <c r="M676" s="9">
        <f t="shared" si="1"/>
        <v>44</v>
      </c>
    </row>
    <row r="677" ht="12.75" customHeight="1">
      <c r="A677" s="4">
        <f t="shared" si="2"/>
        <v>676</v>
      </c>
      <c r="B677" s="4" t="s">
        <v>1499</v>
      </c>
      <c r="C677" s="5" t="s">
        <v>1500</v>
      </c>
      <c r="D677" s="4"/>
      <c r="E677" s="4"/>
      <c r="F677" s="4" t="s">
        <v>22</v>
      </c>
      <c r="G677" s="21">
        <v>9.46</v>
      </c>
      <c r="H677" s="7" t="s">
        <v>708</v>
      </c>
      <c r="I677" s="7" t="s">
        <v>709</v>
      </c>
      <c r="J677" s="7" t="s">
        <v>742</v>
      </c>
      <c r="K677" s="8"/>
      <c r="L677" s="8" t="s">
        <v>33</v>
      </c>
      <c r="M677" s="9">
        <f t="shared" si="1"/>
        <v>48</v>
      </c>
    </row>
    <row r="678" ht="12.75" customHeight="1">
      <c r="A678" s="4">
        <f t="shared" si="2"/>
        <v>677</v>
      </c>
      <c r="B678" s="4" t="s">
        <v>1501</v>
      </c>
      <c r="C678" s="5" t="s">
        <v>1502</v>
      </c>
      <c r="D678" s="4"/>
      <c r="E678" s="4"/>
      <c r="F678" s="4" t="s">
        <v>22</v>
      </c>
      <c r="G678" s="21">
        <v>16.22</v>
      </c>
      <c r="H678" s="7" t="s">
        <v>708</v>
      </c>
      <c r="I678" s="7" t="s">
        <v>709</v>
      </c>
      <c r="J678" s="7" t="s">
        <v>742</v>
      </c>
      <c r="K678" s="8"/>
      <c r="L678" s="8" t="s">
        <v>33</v>
      </c>
      <c r="M678" s="9">
        <f t="shared" si="1"/>
        <v>31</v>
      </c>
    </row>
    <row r="679" ht="12.75" customHeight="1">
      <c r="A679" s="4">
        <f t="shared" si="2"/>
        <v>678</v>
      </c>
      <c r="B679" s="4" t="s">
        <v>1503</v>
      </c>
      <c r="C679" s="5" t="s">
        <v>1504</v>
      </c>
      <c r="D679" s="4"/>
      <c r="E679" s="4"/>
      <c r="F679" s="4" t="s">
        <v>22</v>
      </c>
      <c r="G679" s="21">
        <v>587.93</v>
      </c>
      <c r="H679" s="7" t="s">
        <v>708</v>
      </c>
      <c r="I679" s="7" t="s">
        <v>709</v>
      </c>
      <c r="J679" s="7" t="s">
        <v>742</v>
      </c>
      <c r="K679" s="8"/>
      <c r="L679" s="8" t="s">
        <v>33</v>
      </c>
      <c r="M679" s="9">
        <f t="shared" si="1"/>
        <v>44</v>
      </c>
    </row>
    <row r="680" ht="12.75" customHeight="1">
      <c r="A680" s="4">
        <f t="shared" si="2"/>
        <v>679</v>
      </c>
      <c r="B680" s="4" t="s">
        <v>1505</v>
      </c>
      <c r="C680" s="5" t="s">
        <v>1506</v>
      </c>
      <c r="D680" s="4"/>
      <c r="E680" s="4"/>
      <c r="F680" s="4" t="s">
        <v>22</v>
      </c>
      <c r="G680" s="21">
        <v>48.92</v>
      </c>
      <c r="H680" s="7" t="s">
        <v>708</v>
      </c>
      <c r="I680" s="7" t="s">
        <v>709</v>
      </c>
      <c r="J680" s="7" t="s">
        <v>742</v>
      </c>
      <c r="K680" s="8"/>
      <c r="L680" s="8" t="s">
        <v>33</v>
      </c>
      <c r="M680" s="9">
        <f t="shared" si="1"/>
        <v>51</v>
      </c>
    </row>
    <row r="681" ht="12.75" customHeight="1">
      <c r="A681" s="4">
        <f t="shared" si="2"/>
        <v>680</v>
      </c>
      <c r="B681" s="4" t="s">
        <v>1507</v>
      </c>
      <c r="C681" s="5" t="s">
        <v>1508</v>
      </c>
      <c r="D681" s="4"/>
      <c r="E681" s="4"/>
      <c r="F681" s="4" t="s">
        <v>22</v>
      </c>
      <c r="G681" s="21">
        <v>59.46</v>
      </c>
      <c r="H681" s="7" t="s">
        <v>708</v>
      </c>
      <c r="I681" s="7" t="s">
        <v>709</v>
      </c>
      <c r="J681" s="7" t="s">
        <v>736</v>
      </c>
      <c r="K681" s="8"/>
      <c r="L681" s="8" t="s">
        <v>1509</v>
      </c>
      <c r="M681" s="9">
        <f t="shared" si="1"/>
        <v>54</v>
      </c>
    </row>
    <row r="682" ht="12.75" customHeight="1">
      <c r="A682" s="4">
        <f t="shared" si="2"/>
        <v>681</v>
      </c>
      <c r="B682" s="4" t="s">
        <v>1510</v>
      </c>
      <c r="C682" s="5" t="s">
        <v>1511</v>
      </c>
      <c r="D682" s="4"/>
      <c r="E682" s="4"/>
      <c r="F682" s="4" t="s">
        <v>22</v>
      </c>
      <c r="G682" s="21">
        <v>3.76</v>
      </c>
      <c r="H682" s="7" t="s">
        <v>708</v>
      </c>
      <c r="I682" s="7" t="s">
        <v>709</v>
      </c>
      <c r="J682" s="7" t="s">
        <v>736</v>
      </c>
      <c r="K682" s="8"/>
      <c r="L682" s="8" t="s">
        <v>33</v>
      </c>
      <c r="M682" s="9">
        <f t="shared" si="1"/>
        <v>16</v>
      </c>
    </row>
    <row r="683" ht="12.75" customHeight="1">
      <c r="A683" s="4">
        <f t="shared" si="2"/>
        <v>682</v>
      </c>
      <c r="B683" s="4" t="s">
        <v>1512</v>
      </c>
      <c r="C683" s="5" t="s">
        <v>1513</v>
      </c>
      <c r="D683" s="4"/>
      <c r="E683" s="4"/>
      <c r="F683" s="4" t="s">
        <v>22</v>
      </c>
      <c r="G683" s="21">
        <v>4.03</v>
      </c>
      <c r="H683" s="7" t="s">
        <v>708</v>
      </c>
      <c r="I683" s="7" t="s">
        <v>709</v>
      </c>
      <c r="J683" s="7" t="s">
        <v>736</v>
      </c>
      <c r="K683" s="8"/>
      <c r="L683" s="8" t="s">
        <v>33</v>
      </c>
      <c r="M683" s="9">
        <f t="shared" si="1"/>
        <v>19</v>
      </c>
    </row>
    <row r="684" ht="12.75" customHeight="1">
      <c r="A684" s="4">
        <f t="shared" si="2"/>
        <v>683</v>
      </c>
      <c r="B684" s="4" t="s">
        <v>1514</v>
      </c>
      <c r="C684" s="5" t="s">
        <v>1515</v>
      </c>
      <c r="D684" s="4"/>
      <c r="E684" s="4"/>
      <c r="F684" s="4" t="s">
        <v>22</v>
      </c>
      <c r="G684" s="21">
        <v>24.3</v>
      </c>
      <c r="H684" s="7" t="s">
        <v>708</v>
      </c>
      <c r="I684" s="7" t="s">
        <v>709</v>
      </c>
      <c r="J684" s="7" t="s">
        <v>165</v>
      </c>
      <c r="K684" s="8"/>
      <c r="L684" s="8" t="s">
        <v>33</v>
      </c>
      <c r="M684" s="9">
        <f t="shared" si="1"/>
        <v>46</v>
      </c>
    </row>
    <row r="685" ht="12.75" customHeight="1">
      <c r="A685" s="4">
        <f t="shared" si="2"/>
        <v>684</v>
      </c>
      <c r="B685" s="4" t="s">
        <v>1516</v>
      </c>
      <c r="C685" s="5" t="s">
        <v>1517</v>
      </c>
      <c r="D685" s="4"/>
      <c r="E685" s="4"/>
      <c r="F685" s="4" t="s">
        <v>22</v>
      </c>
      <c r="G685" s="21">
        <v>2.95</v>
      </c>
      <c r="H685" s="7" t="s">
        <v>708</v>
      </c>
      <c r="I685" s="7" t="s">
        <v>709</v>
      </c>
      <c r="J685" s="7" t="s">
        <v>165</v>
      </c>
      <c r="K685" s="8"/>
      <c r="L685" s="8" t="s">
        <v>33</v>
      </c>
      <c r="M685" s="9">
        <f t="shared" si="1"/>
        <v>45</v>
      </c>
    </row>
    <row r="686" ht="12.75" customHeight="1">
      <c r="A686" s="4">
        <f t="shared" si="2"/>
        <v>685</v>
      </c>
      <c r="B686" s="4" t="s">
        <v>1518</v>
      </c>
      <c r="C686" s="5" t="s">
        <v>1519</v>
      </c>
      <c r="D686" s="4"/>
      <c r="E686" s="4"/>
      <c r="F686" s="4" t="s">
        <v>22</v>
      </c>
      <c r="G686" s="21">
        <v>5.38</v>
      </c>
      <c r="H686" s="7" t="s">
        <v>708</v>
      </c>
      <c r="I686" s="7" t="s">
        <v>709</v>
      </c>
      <c r="J686" s="7" t="s">
        <v>165</v>
      </c>
      <c r="K686" s="8"/>
      <c r="L686" s="8" t="s">
        <v>33</v>
      </c>
      <c r="M686" s="9">
        <f t="shared" si="1"/>
        <v>45</v>
      </c>
    </row>
    <row r="687" ht="12.75" customHeight="1">
      <c r="A687" s="4">
        <f t="shared" si="2"/>
        <v>686</v>
      </c>
      <c r="B687" s="4" t="s">
        <v>1520</v>
      </c>
      <c r="C687" s="5" t="s">
        <v>1521</v>
      </c>
      <c r="D687" s="4"/>
      <c r="E687" s="4"/>
      <c r="F687" s="4" t="s">
        <v>22</v>
      </c>
      <c r="G687" s="21">
        <v>6.19</v>
      </c>
      <c r="H687" s="7" t="s">
        <v>708</v>
      </c>
      <c r="I687" s="7" t="s">
        <v>709</v>
      </c>
      <c r="J687" s="7" t="s">
        <v>165</v>
      </c>
      <c r="K687" s="8"/>
      <c r="L687" s="8" t="s">
        <v>33</v>
      </c>
      <c r="M687" s="9">
        <f t="shared" si="1"/>
        <v>45</v>
      </c>
    </row>
    <row r="688" ht="12.75" customHeight="1">
      <c r="A688" s="4">
        <f t="shared" si="2"/>
        <v>687</v>
      </c>
      <c r="B688" s="4" t="s">
        <v>1522</v>
      </c>
      <c r="C688" s="5" t="s">
        <v>1523</v>
      </c>
      <c r="D688" s="4"/>
      <c r="E688" s="4"/>
      <c r="F688" s="4" t="s">
        <v>22</v>
      </c>
      <c r="G688" s="21">
        <v>10.78</v>
      </c>
      <c r="H688" s="7" t="s">
        <v>708</v>
      </c>
      <c r="I688" s="7" t="s">
        <v>709</v>
      </c>
      <c r="J688" s="7" t="s">
        <v>165</v>
      </c>
      <c r="K688" s="8"/>
      <c r="L688" s="8" t="s">
        <v>507</v>
      </c>
      <c r="M688" s="9">
        <f t="shared" si="1"/>
        <v>45</v>
      </c>
    </row>
    <row r="689" ht="12.75" customHeight="1">
      <c r="A689" s="4">
        <f t="shared" si="2"/>
        <v>688</v>
      </c>
      <c r="B689" s="4" t="s">
        <v>1524</v>
      </c>
      <c r="C689" s="5" t="s">
        <v>1525</v>
      </c>
      <c r="D689" s="4"/>
      <c r="E689" s="4"/>
      <c r="F689" s="4" t="s">
        <v>22</v>
      </c>
      <c r="G689" s="21">
        <v>15.65</v>
      </c>
      <c r="H689" s="7" t="s">
        <v>708</v>
      </c>
      <c r="I689" s="7" t="s">
        <v>709</v>
      </c>
      <c r="J689" s="7" t="s">
        <v>165</v>
      </c>
      <c r="K689" s="8"/>
      <c r="L689" s="8" t="s">
        <v>33</v>
      </c>
      <c r="M689" s="9">
        <f t="shared" si="1"/>
        <v>45</v>
      </c>
    </row>
    <row r="690" ht="12.75" customHeight="1">
      <c r="A690" s="4">
        <f t="shared" si="2"/>
        <v>689</v>
      </c>
      <c r="B690" s="4" t="s">
        <v>1526</v>
      </c>
      <c r="C690" s="5" t="s">
        <v>1527</v>
      </c>
      <c r="D690" s="4"/>
      <c r="E690" s="4"/>
      <c r="F690" s="4" t="s">
        <v>22</v>
      </c>
      <c r="G690" s="21">
        <v>10.78</v>
      </c>
      <c r="H690" s="7" t="s">
        <v>708</v>
      </c>
      <c r="I690" s="7" t="s">
        <v>709</v>
      </c>
      <c r="J690" s="7" t="s">
        <v>736</v>
      </c>
      <c r="K690" s="8"/>
      <c r="L690" s="8" t="s">
        <v>33</v>
      </c>
      <c r="M690" s="9">
        <f t="shared" si="1"/>
        <v>18</v>
      </c>
    </row>
    <row r="691" ht="12.75" customHeight="1">
      <c r="A691" s="4">
        <f t="shared" si="2"/>
        <v>690</v>
      </c>
      <c r="B691" s="4" t="s">
        <v>1528</v>
      </c>
      <c r="C691" s="5" t="s">
        <v>1529</v>
      </c>
      <c r="D691" s="4"/>
      <c r="E691" s="4"/>
      <c r="F691" s="4" t="s">
        <v>22</v>
      </c>
      <c r="G691" s="21">
        <v>13.68</v>
      </c>
      <c r="H691" s="7" t="s">
        <v>708</v>
      </c>
      <c r="I691" s="7" t="s">
        <v>709</v>
      </c>
      <c r="J691" s="7" t="s">
        <v>742</v>
      </c>
      <c r="K691" s="8"/>
      <c r="L691" s="8" t="s">
        <v>33</v>
      </c>
      <c r="M691" s="9">
        <f t="shared" si="1"/>
        <v>78</v>
      </c>
    </row>
    <row r="692" ht="12.75" customHeight="1">
      <c r="A692" s="4">
        <f t="shared" si="2"/>
        <v>691</v>
      </c>
      <c r="B692" s="4" t="s">
        <v>1530</v>
      </c>
      <c r="C692" s="5" t="s">
        <v>1531</v>
      </c>
      <c r="D692" s="4"/>
      <c r="E692" s="4"/>
      <c r="F692" s="4" t="s">
        <v>22</v>
      </c>
      <c r="G692" s="21">
        <v>34.03</v>
      </c>
      <c r="H692" s="7" t="s">
        <v>708</v>
      </c>
      <c r="I692" s="7" t="s">
        <v>709</v>
      </c>
      <c r="J692" s="7" t="s">
        <v>736</v>
      </c>
      <c r="K692" s="8"/>
      <c r="L692" s="8" t="s">
        <v>33</v>
      </c>
      <c r="M692" s="9">
        <f t="shared" si="1"/>
        <v>24</v>
      </c>
    </row>
    <row r="693" ht="12.75" customHeight="1">
      <c r="A693" s="4">
        <f t="shared" si="2"/>
        <v>692</v>
      </c>
      <c r="B693" s="4" t="s">
        <v>1532</v>
      </c>
      <c r="C693" s="5" t="s">
        <v>1533</v>
      </c>
      <c r="D693" s="4"/>
      <c r="E693" s="4"/>
      <c r="F693" s="4" t="s">
        <v>22</v>
      </c>
      <c r="G693" s="21">
        <v>25.65</v>
      </c>
      <c r="H693" s="7" t="s">
        <v>708</v>
      </c>
      <c r="I693" s="7" t="s">
        <v>709</v>
      </c>
      <c r="J693" s="7" t="s">
        <v>736</v>
      </c>
      <c r="K693" s="8"/>
      <c r="L693" s="8" t="s">
        <v>577</v>
      </c>
      <c r="M693" s="9">
        <f t="shared" si="1"/>
        <v>11</v>
      </c>
    </row>
    <row r="694" ht="12.75" customHeight="1">
      <c r="A694" s="4">
        <f t="shared" si="2"/>
        <v>693</v>
      </c>
      <c r="B694" s="4" t="s">
        <v>1534</v>
      </c>
      <c r="C694" s="5" t="s">
        <v>1535</v>
      </c>
      <c r="D694" s="4"/>
      <c r="E694" s="4"/>
      <c r="F694" s="4" t="s">
        <v>22</v>
      </c>
      <c r="G694" s="21">
        <v>7.81</v>
      </c>
      <c r="H694" s="7" t="s">
        <v>708</v>
      </c>
      <c r="I694" s="7" t="s">
        <v>709</v>
      </c>
      <c r="J694" s="7" t="s">
        <v>742</v>
      </c>
      <c r="K694" s="8"/>
      <c r="L694" s="8" t="s">
        <v>33</v>
      </c>
      <c r="M694" s="9">
        <f t="shared" si="1"/>
        <v>29</v>
      </c>
    </row>
    <row r="695" ht="12.75" customHeight="1">
      <c r="A695" s="4">
        <f t="shared" si="2"/>
        <v>694</v>
      </c>
      <c r="B695" s="4" t="s">
        <v>1536</v>
      </c>
      <c r="C695" s="5" t="s">
        <v>1537</v>
      </c>
      <c r="D695" s="4"/>
      <c r="E695" s="4"/>
      <c r="F695" s="4" t="s">
        <v>371</v>
      </c>
      <c r="G695" s="21">
        <v>35.41</v>
      </c>
      <c r="H695" s="7" t="s">
        <v>708</v>
      </c>
      <c r="I695" s="7" t="s">
        <v>709</v>
      </c>
      <c r="J695" s="7" t="s">
        <v>710</v>
      </c>
      <c r="K695" s="8"/>
      <c r="L695" s="8" t="s">
        <v>507</v>
      </c>
      <c r="M695" s="9">
        <f t="shared" si="1"/>
        <v>79</v>
      </c>
    </row>
    <row r="696" ht="12.75" customHeight="1">
      <c r="A696" s="4">
        <f t="shared" si="2"/>
        <v>695</v>
      </c>
      <c r="B696" s="4" t="s">
        <v>1538</v>
      </c>
      <c r="C696" s="5" t="s">
        <v>1539</v>
      </c>
      <c r="D696" s="4"/>
      <c r="E696" s="4"/>
      <c r="F696" s="4" t="s">
        <v>371</v>
      </c>
      <c r="G696" s="21">
        <v>18.9</v>
      </c>
      <c r="H696" s="7" t="s">
        <v>708</v>
      </c>
      <c r="I696" s="7" t="s">
        <v>709</v>
      </c>
      <c r="J696" s="7" t="s">
        <v>710</v>
      </c>
      <c r="K696" s="8"/>
      <c r="L696" s="8" t="s">
        <v>1222</v>
      </c>
      <c r="M696" s="9">
        <f t="shared" si="1"/>
        <v>50</v>
      </c>
    </row>
    <row r="697" ht="12.75" customHeight="1">
      <c r="A697" s="4">
        <f t="shared" si="2"/>
        <v>696</v>
      </c>
      <c r="B697" s="4" t="s">
        <v>1540</v>
      </c>
      <c r="C697" s="5" t="s">
        <v>1541</v>
      </c>
      <c r="D697" s="4"/>
      <c r="E697" s="4"/>
      <c r="F697" s="4" t="s">
        <v>371</v>
      </c>
      <c r="G697" s="21">
        <v>81.08</v>
      </c>
      <c r="H697" s="7" t="s">
        <v>708</v>
      </c>
      <c r="I697" s="7" t="s">
        <v>709</v>
      </c>
      <c r="J697" s="7" t="s">
        <v>710</v>
      </c>
      <c r="K697" s="8"/>
      <c r="L697" s="8" t="s">
        <v>512</v>
      </c>
      <c r="M697" s="9">
        <f t="shared" si="1"/>
        <v>76</v>
      </c>
    </row>
    <row r="698" ht="12.75" customHeight="1">
      <c r="A698" s="4">
        <f t="shared" si="2"/>
        <v>697</v>
      </c>
      <c r="B698" s="4" t="s">
        <v>1542</v>
      </c>
      <c r="C698" s="5" t="s">
        <v>1543</v>
      </c>
      <c r="D698" s="4"/>
      <c r="E698" s="4"/>
      <c r="F698" s="4" t="s">
        <v>22</v>
      </c>
      <c r="G698" s="21">
        <v>83.1</v>
      </c>
      <c r="H698" s="7" t="s">
        <v>708</v>
      </c>
      <c r="I698" s="7" t="s">
        <v>709</v>
      </c>
      <c r="J698" s="7" t="s">
        <v>1544</v>
      </c>
      <c r="K698" s="8"/>
      <c r="L698" s="8" t="s">
        <v>33</v>
      </c>
      <c r="M698" s="9">
        <f t="shared" si="1"/>
        <v>26</v>
      </c>
    </row>
    <row r="699" ht="12.75" customHeight="1">
      <c r="A699" s="4">
        <f t="shared" si="2"/>
        <v>698</v>
      </c>
      <c r="B699" s="4" t="s">
        <v>1545</v>
      </c>
      <c r="C699" s="5" t="s">
        <v>1546</v>
      </c>
      <c r="D699" s="4"/>
      <c r="E699" s="4"/>
      <c r="F699" s="4" t="s">
        <v>22</v>
      </c>
      <c r="G699" s="21">
        <v>82.11</v>
      </c>
      <c r="H699" s="7" t="s">
        <v>708</v>
      </c>
      <c r="I699" s="7" t="s">
        <v>709</v>
      </c>
      <c r="J699" s="7" t="s">
        <v>1544</v>
      </c>
      <c r="K699" s="8"/>
      <c r="L699" s="8" t="s">
        <v>33</v>
      </c>
      <c r="M699" s="9">
        <f t="shared" si="1"/>
        <v>26</v>
      </c>
    </row>
    <row r="700" ht="12.75" customHeight="1">
      <c r="A700" s="4">
        <f t="shared" si="2"/>
        <v>699</v>
      </c>
      <c r="B700" s="4" t="s">
        <v>1547</v>
      </c>
      <c r="C700" s="5" t="s">
        <v>1548</v>
      </c>
      <c r="D700" s="4"/>
      <c r="E700" s="4"/>
      <c r="F700" s="4" t="s">
        <v>22</v>
      </c>
      <c r="G700" s="21">
        <v>202.47</v>
      </c>
      <c r="H700" s="7" t="s">
        <v>708</v>
      </c>
      <c r="I700" s="7" t="s">
        <v>709</v>
      </c>
      <c r="J700" s="7" t="s">
        <v>1544</v>
      </c>
      <c r="K700" s="8"/>
      <c r="L700" s="8" t="s">
        <v>33</v>
      </c>
      <c r="M700" s="9">
        <f t="shared" si="1"/>
        <v>35</v>
      </c>
    </row>
    <row r="701" ht="12.75" customHeight="1">
      <c r="A701" s="4">
        <f t="shared" si="2"/>
        <v>700</v>
      </c>
      <c r="B701" s="4" t="s">
        <v>1549</v>
      </c>
      <c r="C701" s="5" t="s">
        <v>1550</v>
      </c>
      <c r="D701" s="4"/>
      <c r="E701" s="4"/>
      <c r="F701" s="4" t="s">
        <v>22</v>
      </c>
      <c r="G701" s="21">
        <v>94.4</v>
      </c>
      <c r="H701" s="7" t="s">
        <v>708</v>
      </c>
      <c r="I701" s="7" t="s">
        <v>709</v>
      </c>
      <c r="J701" s="7" t="s">
        <v>1544</v>
      </c>
      <c r="K701" s="8"/>
      <c r="L701" s="8" t="s">
        <v>33</v>
      </c>
      <c r="M701" s="9">
        <f t="shared" si="1"/>
        <v>35</v>
      </c>
    </row>
    <row r="702" ht="12.75" customHeight="1">
      <c r="A702" s="4">
        <f t="shared" si="2"/>
        <v>701</v>
      </c>
      <c r="B702" s="4" t="s">
        <v>1551</v>
      </c>
      <c r="C702" s="5" t="s">
        <v>1552</v>
      </c>
      <c r="D702" s="4"/>
      <c r="E702" s="4"/>
      <c r="F702" s="4" t="s">
        <v>22</v>
      </c>
      <c r="G702" s="21">
        <v>15.65</v>
      </c>
      <c r="H702" s="7" t="s">
        <v>708</v>
      </c>
      <c r="I702" s="7" t="s">
        <v>709</v>
      </c>
      <c r="J702" s="7" t="s">
        <v>710</v>
      </c>
      <c r="K702" s="8"/>
      <c r="L702" s="8" t="s">
        <v>577</v>
      </c>
      <c r="M702" s="9">
        <f t="shared" si="1"/>
        <v>17</v>
      </c>
    </row>
    <row r="703" ht="12.75" customHeight="1">
      <c r="A703" s="4">
        <f t="shared" si="2"/>
        <v>702</v>
      </c>
      <c r="B703" s="4" t="s">
        <v>1553</v>
      </c>
      <c r="C703" s="5" t="s">
        <v>1554</v>
      </c>
      <c r="D703" s="4"/>
      <c r="E703" s="4"/>
      <c r="F703" s="4" t="s">
        <v>22</v>
      </c>
      <c r="G703" s="21">
        <v>4.17</v>
      </c>
      <c r="H703" s="7" t="s">
        <v>708</v>
      </c>
      <c r="I703" s="7" t="s">
        <v>709</v>
      </c>
      <c r="J703" s="7" t="s">
        <v>742</v>
      </c>
      <c r="K703" s="8"/>
      <c r="L703" s="8" t="s">
        <v>33</v>
      </c>
      <c r="M703" s="9">
        <f t="shared" si="1"/>
        <v>36</v>
      </c>
    </row>
    <row r="704" ht="12.75" customHeight="1">
      <c r="A704" s="4">
        <f t="shared" si="2"/>
        <v>703</v>
      </c>
      <c r="B704" s="4" t="s">
        <v>1555</v>
      </c>
      <c r="C704" s="5" t="s">
        <v>1556</v>
      </c>
      <c r="D704" s="4"/>
      <c r="E704" s="4"/>
      <c r="F704" s="4" t="s">
        <v>22</v>
      </c>
      <c r="G704" s="6">
        <v>5.41</v>
      </c>
      <c r="H704" s="7" t="s">
        <v>708</v>
      </c>
      <c r="I704" s="4" t="s">
        <v>709</v>
      </c>
      <c r="J704" s="4" t="s">
        <v>736</v>
      </c>
      <c r="K704" s="8"/>
      <c r="L704" s="8" t="s">
        <v>33</v>
      </c>
      <c r="M704" s="9">
        <f t="shared" si="1"/>
        <v>46</v>
      </c>
    </row>
    <row r="705" ht="12.75" customHeight="1">
      <c r="A705" s="4">
        <f t="shared" si="2"/>
        <v>704</v>
      </c>
      <c r="B705" s="4" t="s">
        <v>1557</v>
      </c>
      <c r="C705" s="5" t="s">
        <v>1558</v>
      </c>
      <c r="D705" s="4"/>
      <c r="E705" s="4"/>
      <c r="F705" s="4" t="s">
        <v>22</v>
      </c>
      <c r="G705" s="6">
        <v>5.41</v>
      </c>
      <c r="H705" s="7" t="s">
        <v>708</v>
      </c>
      <c r="I705" s="4" t="s">
        <v>709</v>
      </c>
      <c r="J705" s="4" t="s">
        <v>736</v>
      </c>
      <c r="K705" s="8"/>
      <c r="L705" s="8" t="s">
        <v>33</v>
      </c>
      <c r="M705" s="9">
        <f t="shared" si="1"/>
        <v>46</v>
      </c>
    </row>
    <row r="706" ht="12.75" customHeight="1">
      <c r="A706" s="4">
        <f t="shared" si="2"/>
        <v>705</v>
      </c>
      <c r="B706" s="4" t="s">
        <v>1559</v>
      </c>
      <c r="C706" s="5" t="s">
        <v>1560</v>
      </c>
      <c r="D706" s="4"/>
      <c r="E706" s="4"/>
      <c r="F706" s="4" t="s">
        <v>22</v>
      </c>
      <c r="G706" s="6">
        <v>5.41</v>
      </c>
      <c r="H706" s="7" t="s">
        <v>708</v>
      </c>
      <c r="I706" s="4" t="s">
        <v>709</v>
      </c>
      <c r="J706" s="4" t="s">
        <v>736</v>
      </c>
      <c r="K706" s="8"/>
      <c r="L706" s="8" t="s">
        <v>33</v>
      </c>
      <c r="M706" s="9">
        <f t="shared" si="1"/>
        <v>46</v>
      </c>
    </row>
    <row r="707" ht="12.75" customHeight="1">
      <c r="A707" s="4">
        <f t="shared" si="2"/>
        <v>706</v>
      </c>
      <c r="B707" s="4" t="s">
        <v>1561</v>
      </c>
      <c r="C707" s="5" t="s">
        <v>1562</v>
      </c>
      <c r="D707" s="4"/>
      <c r="E707" s="4"/>
      <c r="F707" s="4" t="s">
        <v>22</v>
      </c>
      <c r="G707" s="21">
        <v>2.68</v>
      </c>
      <c r="H707" s="7" t="s">
        <v>708</v>
      </c>
      <c r="I707" s="4" t="s">
        <v>709</v>
      </c>
      <c r="J707" s="4" t="s">
        <v>821</v>
      </c>
      <c r="K707" s="8"/>
      <c r="L707" s="8" t="s">
        <v>33</v>
      </c>
      <c r="M707" s="9">
        <f t="shared" si="1"/>
        <v>48</v>
      </c>
    </row>
    <row r="708" ht="12.75" customHeight="1">
      <c r="A708" s="4">
        <f t="shared" si="2"/>
        <v>707</v>
      </c>
      <c r="B708" s="4" t="s">
        <v>1563</v>
      </c>
      <c r="C708" s="5" t="s">
        <v>1564</v>
      </c>
      <c r="D708" s="4"/>
      <c r="E708" s="4"/>
      <c r="F708" s="4" t="s">
        <v>22</v>
      </c>
      <c r="G708" s="6">
        <v>12.41</v>
      </c>
      <c r="H708" s="7" t="s">
        <v>708</v>
      </c>
      <c r="I708" s="4" t="s">
        <v>709</v>
      </c>
      <c r="J708" s="4" t="s">
        <v>821</v>
      </c>
      <c r="K708" s="8"/>
      <c r="L708" s="8" t="s">
        <v>33</v>
      </c>
      <c r="M708" s="9">
        <f t="shared" si="1"/>
        <v>48</v>
      </c>
    </row>
    <row r="709" ht="12.75" customHeight="1">
      <c r="A709" s="4">
        <f t="shared" si="2"/>
        <v>708</v>
      </c>
      <c r="B709" s="4" t="s">
        <v>1565</v>
      </c>
      <c r="C709" s="5" t="s">
        <v>1566</v>
      </c>
      <c r="D709" s="4"/>
      <c r="E709" s="4"/>
      <c r="F709" s="4" t="s">
        <v>22</v>
      </c>
      <c r="G709" s="6">
        <v>11.86</v>
      </c>
      <c r="H709" s="7" t="s">
        <v>708</v>
      </c>
      <c r="I709" s="4" t="s">
        <v>709</v>
      </c>
      <c r="J709" s="4" t="s">
        <v>821</v>
      </c>
      <c r="K709" s="8"/>
      <c r="L709" s="8" t="s">
        <v>33</v>
      </c>
      <c r="M709" s="9">
        <f t="shared" si="1"/>
        <v>36</v>
      </c>
    </row>
    <row r="710" ht="12.75" customHeight="1">
      <c r="A710" s="4">
        <f t="shared" si="2"/>
        <v>709</v>
      </c>
      <c r="B710" s="4" t="s">
        <v>1567</v>
      </c>
      <c r="C710" s="5" t="s">
        <v>1568</v>
      </c>
      <c r="D710" s="4"/>
      <c r="E710" s="4"/>
      <c r="F710" s="4" t="s">
        <v>22</v>
      </c>
      <c r="G710" s="6">
        <v>14.84</v>
      </c>
      <c r="H710" s="7" t="s">
        <v>708</v>
      </c>
      <c r="I710" s="4" t="s">
        <v>709</v>
      </c>
      <c r="J710" s="4" t="s">
        <v>821</v>
      </c>
      <c r="K710" s="8"/>
      <c r="L710" s="8" t="s">
        <v>33</v>
      </c>
      <c r="M710" s="9">
        <f t="shared" si="1"/>
        <v>36</v>
      </c>
    </row>
    <row r="711" ht="12.75" customHeight="1">
      <c r="A711" s="4">
        <f t="shared" si="2"/>
        <v>710</v>
      </c>
      <c r="B711" s="4" t="s">
        <v>1569</v>
      </c>
      <c r="C711" s="5" t="s">
        <v>1570</v>
      </c>
      <c r="D711" s="4"/>
      <c r="E711" s="4"/>
      <c r="F711" s="4" t="s">
        <v>22</v>
      </c>
      <c r="G711" s="6">
        <v>25.68</v>
      </c>
      <c r="H711" s="7" t="s">
        <v>708</v>
      </c>
      <c r="I711" s="4" t="s">
        <v>709</v>
      </c>
      <c r="J711" s="4" t="s">
        <v>821</v>
      </c>
      <c r="K711" s="8"/>
      <c r="L711" s="8" t="s">
        <v>507</v>
      </c>
      <c r="M711" s="9">
        <f t="shared" si="1"/>
        <v>36</v>
      </c>
    </row>
    <row r="712" ht="12.75" customHeight="1">
      <c r="A712" s="4">
        <f t="shared" si="2"/>
        <v>711</v>
      </c>
      <c r="B712" s="10" t="s">
        <v>1571</v>
      </c>
      <c r="C712" s="11" t="s">
        <v>1572</v>
      </c>
      <c r="D712" s="4"/>
      <c r="E712" s="4"/>
      <c r="F712" s="10" t="s">
        <v>22</v>
      </c>
      <c r="G712" s="10" t="s">
        <v>1573</v>
      </c>
      <c r="H712" s="10" t="s">
        <v>708</v>
      </c>
      <c r="I712" s="10" t="s">
        <v>1574</v>
      </c>
      <c r="J712" s="10" t="s">
        <v>1575</v>
      </c>
      <c r="K712" s="8"/>
      <c r="L712" s="8" t="s">
        <v>1576</v>
      </c>
      <c r="M712" s="9">
        <f t="shared" si="1"/>
        <v>54</v>
      </c>
    </row>
    <row r="713" ht="12.75" customHeight="1">
      <c r="A713" s="4">
        <f t="shared" si="2"/>
        <v>712</v>
      </c>
      <c r="B713" s="10" t="s">
        <v>1577</v>
      </c>
      <c r="C713" s="11" t="s">
        <v>1578</v>
      </c>
      <c r="D713" s="4"/>
      <c r="E713" s="4"/>
      <c r="F713" s="10" t="s">
        <v>22</v>
      </c>
      <c r="G713" s="10" t="s">
        <v>1579</v>
      </c>
      <c r="H713" s="10" t="s">
        <v>708</v>
      </c>
      <c r="I713" s="10" t="s">
        <v>17</v>
      </c>
      <c r="J713" s="10" t="s">
        <v>1580</v>
      </c>
      <c r="K713" s="8"/>
      <c r="L713" s="8" t="s">
        <v>507</v>
      </c>
      <c r="M713" s="9">
        <f t="shared" si="1"/>
        <v>43</v>
      </c>
    </row>
    <row r="714" ht="12.75" customHeight="1">
      <c r="A714" s="4">
        <f t="shared" si="2"/>
        <v>713</v>
      </c>
      <c r="B714" s="10" t="s">
        <v>1581</v>
      </c>
      <c r="C714" s="11" t="s">
        <v>1582</v>
      </c>
      <c r="D714" s="4"/>
      <c r="E714" s="4"/>
      <c r="F714" s="10" t="s">
        <v>22</v>
      </c>
      <c r="G714" s="10" t="s">
        <v>1583</v>
      </c>
      <c r="H714" s="10" t="s">
        <v>708</v>
      </c>
      <c r="I714" s="10" t="s">
        <v>709</v>
      </c>
      <c r="J714" s="10" t="s">
        <v>821</v>
      </c>
      <c r="K714" s="8"/>
      <c r="L714" s="8" t="s">
        <v>577</v>
      </c>
      <c r="M714" s="9">
        <f t="shared" si="1"/>
        <v>43</v>
      </c>
    </row>
    <row r="715" ht="12.75" customHeight="1">
      <c r="A715" s="4">
        <f t="shared" si="2"/>
        <v>714</v>
      </c>
      <c r="B715" s="10" t="s">
        <v>1584</v>
      </c>
      <c r="C715" s="11" t="s">
        <v>1585</v>
      </c>
      <c r="D715" s="4"/>
      <c r="E715" s="4"/>
      <c r="F715" s="10" t="s">
        <v>371</v>
      </c>
      <c r="G715" s="10" t="s">
        <v>1586</v>
      </c>
      <c r="H715" s="10" t="s">
        <v>708</v>
      </c>
      <c r="I715" s="10" t="s">
        <v>709</v>
      </c>
      <c r="J715" s="10" t="s">
        <v>1544</v>
      </c>
      <c r="K715" s="8"/>
      <c r="L715" s="8" t="s">
        <v>33</v>
      </c>
      <c r="M715" s="9">
        <f t="shared" si="1"/>
        <v>41</v>
      </c>
    </row>
    <row r="716" ht="12.75" customHeight="1">
      <c r="A716" s="4">
        <f t="shared" si="2"/>
        <v>715</v>
      </c>
      <c r="B716" s="10" t="s">
        <v>1587</v>
      </c>
      <c r="C716" s="11" t="s">
        <v>1588</v>
      </c>
      <c r="D716" s="4"/>
      <c r="E716" s="4"/>
      <c r="F716" s="10" t="s">
        <v>22</v>
      </c>
      <c r="G716" s="10" t="s">
        <v>1589</v>
      </c>
      <c r="H716" s="10" t="s">
        <v>708</v>
      </c>
      <c r="I716" s="10" t="s">
        <v>709</v>
      </c>
      <c r="J716" s="10" t="s">
        <v>821</v>
      </c>
      <c r="K716" s="8"/>
      <c r="L716" s="8" t="s">
        <v>507</v>
      </c>
      <c r="M716" s="9">
        <f t="shared" si="1"/>
        <v>49</v>
      </c>
    </row>
    <row r="717" ht="12.75" customHeight="1">
      <c r="A717" s="4">
        <f t="shared" si="2"/>
        <v>716</v>
      </c>
      <c r="B717" s="10" t="s">
        <v>1590</v>
      </c>
      <c r="C717" s="11" t="s">
        <v>1591</v>
      </c>
      <c r="D717" s="4"/>
      <c r="E717" s="4"/>
      <c r="F717" s="10" t="s">
        <v>22</v>
      </c>
      <c r="G717" s="10" t="s">
        <v>1592</v>
      </c>
      <c r="H717" s="10" t="s">
        <v>708</v>
      </c>
      <c r="I717" s="10" t="s">
        <v>709</v>
      </c>
      <c r="J717" s="10" t="s">
        <v>710</v>
      </c>
      <c r="K717" s="8"/>
      <c r="L717" s="8" t="s">
        <v>577</v>
      </c>
      <c r="M717" s="9">
        <f t="shared" si="1"/>
        <v>35</v>
      </c>
    </row>
    <row r="718" ht="12.75" customHeight="1">
      <c r="A718" s="4">
        <f t="shared" si="2"/>
        <v>717</v>
      </c>
      <c r="B718" s="10" t="s">
        <v>1593</v>
      </c>
      <c r="C718" s="11" t="s">
        <v>1594</v>
      </c>
      <c r="D718" s="4"/>
      <c r="E718" s="4"/>
      <c r="F718" s="10" t="s">
        <v>22</v>
      </c>
      <c r="G718" s="10" t="s">
        <v>1595</v>
      </c>
      <c r="H718" s="10" t="s">
        <v>708</v>
      </c>
      <c r="I718" s="10" t="s">
        <v>709</v>
      </c>
      <c r="J718" s="10" t="s">
        <v>710</v>
      </c>
      <c r="K718" s="8"/>
      <c r="L718" s="8" t="s">
        <v>577</v>
      </c>
      <c r="M718" s="9">
        <f t="shared" si="1"/>
        <v>56</v>
      </c>
    </row>
    <row r="719" ht="12.75" customHeight="1">
      <c r="A719" s="4">
        <f t="shared" si="2"/>
        <v>718</v>
      </c>
      <c r="B719" s="10" t="s">
        <v>1596</v>
      </c>
      <c r="C719" s="11" t="s">
        <v>1597</v>
      </c>
      <c r="D719" s="4"/>
      <c r="E719" s="4"/>
      <c r="F719" s="10" t="s">
        <v>22</v>
      </c>
      <c r="G719" s="10" t="s">
        <v>1598</v>
      </c>
      <c r="H719" s="10" t="s">
        <v>708</v>
      </c>
      <c r="I719" s="10" t="s">
        <v>709</v>
      </c>
      <c r="J719" s="10" t="s">
        <v>710</v>
      </c>
      <c r="K719" s="8"/>
      <c r="L719" s="8" t="s">
        <v>577</v>
      </c>
      <c r="M719" s="9">
        <f t="shared" si="1"/>
        <v>56</v>
      </c>
    </row>
    <row r="720" ht="12.75" customHeight="1">
      <c r="A720" s="4">
        <f t="shared" si="2"/>
        <v>719</v>
      </c>
      <c r="B720" s="10" t="s">
        <v>1599</v>
      </c>
      <c r="C720" s="11" t="s">
        <v>1600</v>
      </c>
      <c r="D720" s="4"/>
      <c r="E720" s="4"/>
      <c r="F720" s="10" t="s">
        <v>22</v>
      </c>
      <c r="G720" s="10" t="s">
        <v>1598</v>
      </c>
      <c r="H720" s="10" t="s">
        <v>708</v>
      </c>
      <c r="I720" s="10" t="s">
        <v>709</v>
      </c>
      <c r="J720" s="10" t="s">
        <v>710</v>
      </c>
      <c r="K720" s="8"/>
      <c r="L720" s="8" t="s">
        <v>577</v>
      </c>
      <c r="M720" s="9">
        <f t="shared" si="1"/>
        <v>56</v>
      </c>
    </row>
    <row r="721" ht="12.75" customHeight="1">
      <c r="A721" s="4">
        <f t="shared" si="2"/>
        <v>720</v>
      </c>
      <c r="B721" s="10" t="s">
        <v>1601</v>
      </c>
      <c r="C721" s="11" t="s">
        <v>1602</v>
      </c>
      <c r="D721" s="4"/>
      <c r="E721" s="4"/>
      <c r="F721" s="10" t="s">
        <v>22</v>
      </c>
      <c r="G721" s="10" t="s">
        <v>1603</v>
      </c>
      <c r="H721" s="10" t="s">
        <v>708</v>
      </c>
      <c r="I721" s="10" t="s">
        <v>709</v>
      </c>
      <c r="J721" s="10" t="s">
        <v>742</v>
      </c>
      <c r="K721" s="8"/>
      <c r="L721" s="8" t="s">
        <v>36</v>
      </c>
      <c r="M721" s="9">
        <f t="shared" si="1"/>
        <v>32</v>
      </c>
    </row>
    <row r="722" ht="12.75" customHeight="1">
      <c r="A722" s="4">
        <f t="shared" si="2"/>
        <v>721</v>
      </c>
      <c r="B722" s="4" t="s">
        <v>1604</v>
      </c>
      <c r="C722" s="5" t="s">
        <v>1605</v>
      </c>
      <c r="D722" s="4"/>
      <c r="E722" s="4"/>
      <c r="F722" s="4" t="s">
        <v>22</v>
      </c>
      <c r="G722" s="6">
        <v>2.04</v>
      </c>
      <c r="H722" s="7" t="s">
        <v>1606</v>
      </c>
      <c r="I722" s="4" t="s">
        <v>1607</v>
      </c>
      <c r="J722" s="4" t="s">
        <v>1608</v>
      </c>
      <c r="K722" s="8"/>
      <c r="L722" s="8" t="s">
        <v>33</v>
      </c>
      <c r="M722" s="9">
        <f t="shared" si="1"/>
        <v>41</v>
      </c>
    </row>
    <row r="723" ht="12.75" customHeight="1">
      <c r="A723" s="4">
        <f t="shared" si="2"/>
        <v>722</v>
      </c>
      <c r="B723" s="4" t="s">
        <v>1609</v>
      </c>
      <c r="C723" s="5" t="s">
        <v>1610</v>
      </c>
      <c r="D723" s="4"/>
      <c r="E723" s="4"/>
      <c r="F723" s="4" t="s">
        <v>22</v>
      </c>
      <c r="G723" s="6">
        <v>1.19</v>
      </c>
      <c r="H723" s="7" t="s">
        <v>1606</v>
      </c>
      <c r="I723" s="4" t="s">
        <v>1607</v>
      </c>
      <c r="J723" s="4" t="s">
        <v>1608</v>
      </c>
      <c r="K723" s="8"/>
      <c r="L723" s="8" t="s">
        <v>33</v>
      </c>
      <c r="M723" s="9">
        <f t="shared" si="1"/>
        <v>37</v>
      </c>
    </row>
    <row r="724" ht="12.75" customHeight="1">
      <c r="A724" s="4">
        <f t="shared" si="2"/>
        <v>723</v>
      </c>
      <c r="B724" s="4" t="s">
        <v>1611</v>
      </c>
      <c r="C724" s="5" t="s">
        <v>1612</v>
      </c>
      <c r="D724" s="4"/>
      <c r="E724" s="4"/>
      <c r="F724" s="4" t="s">
        <v>22</v>
      </c>
      <c r="G724" s="6">
        <v>0.84</v>
      </c>
      <c r="H724" s="7" t="s">
        <v>1606</v>
      </c>
      <c r="I724" s="4" t="s">
        <v>1607</v>
      </c>
      <c r="J724" s="4" t="s">
        <v>1608</v>
      </c>
      <c r="K724" s="8"/>
      <c r="L724" s="8" t="s">
        <v>33</v>
      </c>
      <c r="M724" s="9">
        <f t="shared" si="1"/>
        <v>39</v>
      </c>
    </row>
    <row r="725" ht="12.75" customHeight="1">
      <c r="A725" s="4">
        <f t="shared" si="2"/>
        <v>724</v>
      </c>
      <c r="B725" s="4" t="s">
        <v>1613</v>
      </c>
      <c r="C725" s="5" t="s">
        <v>1614</v>
      </c>
      <c r="D725" s="4"/>
      <c r="E725" s="4"/>
      <c r="F725" s="4" t="s">
        <v>22</v>
      </c>
      <c r="G725" s="6">
        <v>2.54</v>
      </c>
      <c r="H725" s="7" t="s">
        <v>1606</v>
      </c>
      <c r="I725" s="4" t="s">
        <v>1607</v>
      </c>
      <c r="J725" s="4" t="s">
        <v>1608</v>
      </c>
      <c r="K725" s="8"/>
      <c r="L725" s="8" t="s">
        <v>33</v>
      </c>
      <c r="M725" s="9">
        <f t="shared" si="1"/>
        <v>37</v>
      </c>
    </row>
    <row r="726" ht="12.75" customHeight="1">
      <c r="A726" s="4">
        <f t="shared" si="2"/>
        <v>725</v>
      </c>
      <c r="B726" s="4" t="s">
        <v>1615</v>
      </c>
      <c r="C726" s="5" t="s">
        <v>1616</v>
      </c>
      <c r="D726" s="4"/>
      <c r="E726" s="4"/>
      <c r="F726" s="4" t="s">
        <v>22</v>
      </c>
      <c r="G726" s="6">
        <v>3.04</v>
      </c>
      <c r="H726" s="7" t="s">
        <v>1606</v>
      </c>
      <c r="I726" s="4" t="s">
        <v>1607</v>
      </c>
      <c r="J726" s="4" t="s">
        <v>1608</v>
      </c>
      <c r="K726" s="8"/>
      <c r="L726" s="8" t="s">
        <v>33</v>
      </c>
      <c r="M726" s="9">
        <f t="shared" si="1"/>
        <v>37</v>
      </c>
    </row>
    <row r="727" ht="12.75" customHeight="1">
      <c r="A727" s="4">
        <f t="shared" si="2"/>
        <v>726</v>
      </c>
      <c r="B727" s="4" t="s">
        <v>1617</v>
      </c>
      <c r="C727" s="5" t="s">
        <v>1618</v>
      </c>
      <c r="D727" s="4"/>
      <c r="E727" s="4"/>
      <c r="F727" s="4" t="s">
        <v>22</v>
      </c>
      <c r="G727" s="6">
        <v>0.95</v>
      </c>
      <c r="H727" s="7" t="s">
        <v>1606</v>
      </c>
      <c r="I727" s="4" t="s">
        <v>1607</v>
      </c>
      <c r="J727" s="4" t="s">
        <v>1608</v>
      </c>
      <c r="K727" s="8"/>
      <c r="L727" s="8" t="s">
        <v>33</v>
      </c>
      <c r="M727" s="9">
        <f t="shared" si="1"/>
        <v>39</v>
      </c>
    </row>
    <row r="728" ht="12.75" customHeight="1">
      <c r="A728" s="4">
        <f t="shared" si="2"/>
        <v>727</v>
      </c>
      <c r="B728" s="4" t="s">
        <v>1619</v>
      </c>
      <c r="C728" s="5" t="s">
        <v>1620</v>
      </c>
      <c r="D728" s="4"/>
      <c r="E728" s="4"/>
      <c r="F728" s="4" t="s">
        <v>22</v>
      </c>
      <c r="G728" s="6">
        <v>3.65</v>
      </c>
      <c r="H728" s="7" t="s">
        <v>1606</v>
      </c>
      <c r="I728" s="4" t="s">
        <v>1607</v>
      </c>
      <c r="J728" s="4" t="s">
        <v>1608</v>
      </c>
      <c r="K728" s="8"/>
      <c r="L728" s="8" t="s">
        <v>33</v>
      </c>
      <c r="M728" s="9">
        <f t="shared" si="1"/>
        <v>37</v>
      </c>
    </row>
    <row r="729" ht="12.75" customHeight="1">
      <c r="A729" s="4">
        <f t="shared" si="2"/>
        <v>728</v>
      </c>
      <c r="B729" s="4" t="s">
        <v>1621</v>
      </c>
      <c r="C729" s="5" t="s">
        <v>1622</v>
      </c>
      <c r="D729" s="4"/>
      <c r="E729" s="4"/>
      <c r="F729" s="4" t="s">
        <v>22</v>
      </c>
      <c r="G729" s="6">
        <v>25.95</v>
      </c>
      <c r="H729" s="7" t="s">
        <v>1606</v>
      </c>
      <c r="I729" s="4" t="s">
        <v>1623</v>
      </c>
      <c r="J729" s="4" t="s">
        <v>1624</v>
      </c>
      <c r="K729" s="8"/>
      <c r="L729" s="8" t="s">
        <v>33</v>
      </c>
      <c r="M729" s="9">
        <f t="shared" si="1"/>
        <v>48</v>
      </c>
    </row>
    <row r="730" ht="12.75" customHeight="1">
      <c r="A730" s="4">
        <f t="shared" si="2"/>
        <v>729</v>
      </c>
      <c r="B730" s="4" t="s">
        <v>1625</v>
      </c>
      <c r="C730" s="5" t="s">
        <v>1626</v>
      </c>
      <c r="D730" s="4"/>
      <c r="E730" s="4"/>
      <c r="F730" s="4" t="s">
        <v>22</v>
      </c>
      <c r="G730" s="6">
        <v>22.97</v>
      </c>
      <c r="H730" s="7" t="s">
        <v>1606</v>
      </c>
      <c r="I730" s="4" t="s">
        <v>1623</v>
      </c>
      <c r="J730" s="4" t="s">
        <v>1624</v>
      </c>
      <c r="K730" s="8"/>
      <c r="L730" s="8" t="s">
        <v>33</v>
      </c>
      <c r="M730" s="9">
        <f t="shared" si="1"/>
        <v>44</v>
      </c>
    </row>
    <row r="731" ht="12.75" customHeight="1">
      <c r="A731" s="4">
        <f t="shared" si="2"/>
        <v>730</v>
      </c>
      <c r="B731" s="4" t="s">
        <v>1627</v>
      </c>
      <c r="C731" s="5" t="s">
        <v>1628</v>
      </c>
      <c r="D731" s="13"/>
      <c r="E731" s="4"/>
      <c r="F731" s="4" t="s">
        <v>22</v>
      </c>
      <c r="G731" s="6">
        <v>21.62</v>
      </c>
      <c r="H731" s="7" t="s">
        <v>1606</v>
      </c>
      <c r="I731" s="4" t="s">
        <v>1623</v>
      </c>
      <c r="J731" s="4" t="s">
        <v>1624</v>
      </c>
      <c r="K731" s="8"/>
      <c r="L731" s="8" t="s">
        <v>33</v>
      </c>
      <c r="M731" s="9">
        <f t="shared" si="1"/>
        <v>46</v>
      </c>
    </row>
    <row r="732" ht="12.75" customHeight="1">
      <c r="A732" s="4">
        <f t="shared" si="2"/>
        <v>731</v>
      </c>
      <c r="B732" s="4" t="s">
        <v>1629</v>
      </c>
      <c r="C732" s="5" t="s">
        <v>1630</v>
      </c>
      <c r="D732" s="4"/>
      <c r="E732" s="4"/>
      <c r="F732" s="4" t="s">
        <v>22</v>
      </c>
      <c r="G732" s="6">
        <v>29.73</v>
      </c>
      <c r="H732" s="7" t="s">
        <v>1606</v>
      </c>
      <c r="I732" s="4" t="s">
        <v>1623</v>
      </c>
      <c r="J732" s="4" t="s">
        <v>1624</v>
      </c>
      <c r="K732" s="8"/>
      <c r="L732" s="8" t="s">
        <v>33</v>
      </c>
      <c r="M732" s="9">
        <f t="shared" si="1"/>
        <v>44</v>
      </c>
    </row>
    <row r="733" ht="12.75" customHeight="1">
      <c r="A733" s="4">
        <f t="shared" si="2"/>
        <v>732</v>
      </c>
      <c r="B733" s="4" t="s">
        <v>1631</v>
      </c>
      <c r="C733" s="5" t="s">
        <v>1632</v>
      </c>
      <c r="D733" s="4"/>
      <c r="E733" s="4"/>
      <c r="F733" s="4" t="s">
        <v>22</v>
      </c>
      <c r="G733" s="6">
        <v>22.97</v>
      </c>
      <c r="H733" s="7" t="s">
        <v>1606</v>
      </c>
      <c r="I733" s="4" t="s">
        <v>1623</v>
      </c>
      <c r="J733" s="4" t="s">
        <v>1624</v>
      </c>
      <c r="K733" s="8"/>
      <c r="L733" s="8" t="s">
        <v>33</v>
      </c>
      <c r="M733" s="9">
        <f t="shared" si="1"/>
        <v>46</v>
      </c>
    </row>
    <row r="734" ht="12.75" customHeight="1">
      <c r="A734" s="4">
        <f t="shared" si="2"/>
        <v>733</v>
      </c>
      <c r="B734" s="4" t="s">
        <v>1633</v>
      </c>
      <c r="C734" s="5" t="s">
        <v>1634</v>
      </c>
      <c r="D734" s="4"/>
      <c r="E734" s="4"/>
      <c r="F734" s="4" t="s">
        <v>371</v>
      </c>
      <c r="G734" s="6">
        <v>5.41</v>
      </c>
      <c r="H734" s="7" t="s">
        <v>1606</v>
      </c>
      <c r="I734" s="4" t="s">
        <v>1574</v>
      </c>
      <c r="J734" s="4" t="s">
        <v>1624</v>
      </c>
      <c r="K734" s="8"/>
      <c r="L734" s="8" t="s">
        <v>33</v>
      </c>
      <c r="M734" s="9">
        <f t="shared" si="1"/>
        <v>57</v>
      </c>
    </row>
    <row r="735" ht="12.75" customHeight="1">
      <c r="A735" s="4">
        <f t="shared" si="2"/>
        <v>734</v>
      </c>
      <c r="B735" s="4" t="s">
        <v>1635</v>
      </c>
      <c r="C735" s="5" t="s">
        <v>1636</v>
      </c>
      <c r="D735" s="4"/>
      <c r="E735" s="4"/>
      <c r="F735" s="4" t="s">
        <v>22</v>
      </c>
      <c r="G735" s="6">
        <v>0.16</v>
      </c>
      <c r="H735" s="7" t="s">
        <v>1606</v>
      </c>
      <c r="I735" s="4" t="s">
        <v>1574</v>
      </c>
      <c r="J735" s="4" t="s">
        <v>1624</v>
      </c>
      <c r="K735" s="8"/>
      <c r="L735" s="8" t="s">
        <v>33</v>
      </c>
      <c r="M735" s="9">
        <f t="shared" si="1"/>
        <v>45</v>
      </c>
    </row>
    <row r="736" ht="12.75" customHeight="1">
      <c r="A736" s="4">
        <f t="shared" si="2"/>
        <v>735</v>
      </c>
      <c r="B736" s="4" t="s">
        <v>1637</v>
      </c>
      <c r="C736" s="5" t="s">
        <v>1638</v>
      </c>
      <c r="D736" s="13"/>
      <c r="E736" s="4"/>
      <c r="F736" s="4" t="s">
        <v>22</v>
      </c>
      <c r="G736" s="6">
        <v>0.16</v>
      </c>
      <c r="H736" s="7" t="s">
        <v>1606</v>
      </c>
      <c r="I736" s="4" t="s">
        <v>1574</v>
      </c>
      <c r="J736" s="4" t="s">
        <v>1624</v>
      </c>
      <c r="K736" s="8"/>
      <c r="L736" s="8" t="s">
        <v>33</v>
      </c>
      <c r="M736" s="9">
        <f t="shared" si="1"/>
        <v>41</v>
      </c>
    </row>
    <row r="737" ht="12.75" customHeight="1">
      <c r="A737" s="4">
        <f t="shared" si="2"/>
        <v>736</v>
      </c>
      <c r="B737" s="4" t="s">
        <v>1639</v>
      </c>
      <c r="C737" s="5" t="s">
        <v>1640</v>
      </c>
      <c r="D737" s="4"/>
      <c r="E737" s="4"/>
      <c r="F737" s="4" t="s">
        <v>22</v>
      </c>
      <c r="G737" s="6">
        <v>0.14</v>
      </c>
      <c r="H737" s="7" t="s">
        <v>1606</v>
      </c>
      <c r="I737" s="4" t="s">
        <v>1574</v>
      </c>
      <c r="J737" s="4" t="s">
        <v>1624</v>
      </c>
      <c r="K737" s="8"/>
      <c r="L737" s="8" t="s">
        <v>33</v>
      </c>
      <c r="M737" s="9">
        <f t="shared" si="1"/>
        <v>43</v>
      </c>
    </row>
    <row r="738" ht="12.75" customHeight="1">
      <c r="A738" s="4">
        <f t="shared" si="2"/>
        <v>737</v>
      </c>
      <c r="B738" s="4" t="s">
        <v>1641</v>
      </c>
      <c r="C738" s="5" t="s">
        <v>1642</v>
      </c>
      <c r="D738" s="4"/>
      <c r="E738" s="4"/>
      <c r="F738" s="4" t="s">
        <v>22</v>
      </c>
      <c r="G738" s="6">
        <v>0.19</v>
      </c>
      <c r="H738" s="7" t="s">
        <v>1606</v>
      </c>
      <c r="I738" s="4" t="s">
        <v>1574</v>
      </c>
      <c r="J738" s="4" t="s">
        <v>1624</v>
      </c>
      <c r="K738" s="8"/>
      <c r="L738" s="8" t="s">
        <v>33</v>
      </c>
      <c r="M738" s="9">
        <f t="shared" si="1"/>
        <v>41</v>
      </c>
    </row>
    <row r="739" ht="12.75" customHeight="1">
      <c r="A739" s="4">
        <f t="shared" si="2"/>
        <v>738</v>
      </c>
      <c r="B739" s="4" t="s">
        <v>1643</v>
      </c>
      <c r="C739" s="5" t="s">
        <v>1644</v>
      </c>
      <c r="D739" s="4"/>
      <c r="E739" s="4"/>
      <c r="F739" s="4" t="s">
        <v>22</v>
      </c>
      <c r="G739" s="6">
        <v>0.18</v>
      </c>
      <c r="H739" s="7" t="s">
        <v>1606</v>
      </c>
      <c r="I739" s="4" t="s">
        <v>1574</v>
      </c>
      <c r="J739" s="4" t="s">
        <v>1624</v>
      </c>
      <c r="K739" s="8"/>
      <c r="L739" s="8" t="s">
        <v>33</v>
      </c>
      <c r="M739" s="9">
        <f t="shared" si="1"/>
        <v>43</v>
      </c>
    </row>
    <row r="740" ht="12.75" customHeight="1">
      <c r="A740" s="4">
        <f t="shared" si="2"/>
        <v>739</v>
      </c>
      <c r="B740" s="4" t="s">
        <v>1645</v>
      </c>
      <c r="C740" s="5" t="s">
        <v>1646</v>
      </c>
      <c r="D740" s="4"/>
      <c r="E740" s="4"/>
      <c r="F740" s="4" t="s">
        <v>22</v>
      </c>
      <c r="G740" s="6">
        <v>0.62</v>
      </c>
      <c r="H740" s="7" t="s">
        <v>1606</v>
      </c>
      <c r="I740" s="4" t="s">
        <v>1574</v>
      </c>
      <c r="J740" s="4" t="s">
        <v>1624</v>
      </c>
      <c r="K740" s="8"/>
      <c r="L740" s="8" t="s">
        <v>33</v>
      </c>
      <c r="M740" s="9">
        <f t="shared" si="1"/>
        <v>45</v>
      </c>
    </row>
    <row r="741" ht="12.75" customHeight="1">
      <c r="A741" s="4">
        <f t="shared" si="2"/>
        <v>740</v>
      </c>
      <c r="B741" s="4" t="s">
        <v>1647</v>
      </c>
      <c r="C741" s="5" t="s">
        <v>1648</v>
      </c>
      <c r="D741" s="4"/>
      <c r="E741" s="4"/>
      <c r="F741" s="4" t="s">
        <v>22</v>
      </c>
      <c r="G741" s="6">
        <v>0.35</v>
      </c>
      <c r="H741" s="7" t="s">
        <v>1606</v>
      </c>
      <c r="I741" s="4" t="s">
        <v>1574</v>
      </c>
      <c r="J741" s="4" t="s">
        <v>1624</v>
      </c>
      <c r="K741" s="8"/>
      <c r="L741" s="8" t="s">
        <v>33</v>
      </c>
      <c r="M741" s="9">
        <f t="shared" si="1"/>
        <v>41</v>
      </c>
    </row>
    <row r="742" ht="12.75" customHeight="1">
      <c r="A742" s="4">
        <f t="shared" si="2"/>
        <v>741</v>
      </c>
      <c r="B742" s="4" t="s">
        <v>1649</v>
      </c>
      <c r="C742" s="5" t="s">
        <v>1650</v>
      </c>
      <c r="D742" s="4"/>
      <c r="E742" s="4"/>
      <c r="F742" s="4" t="s">
        <v>22</v>
      </c>
      <c r="G742" s="6">
        <v>0.32</v>
      </c>
      <c r="H742" s="7" t="s">
        <v>1606</v>
      </c>
      <c r="I742" s="4" t="s">
        <v>1574</v>
      </c>
      <c r="J742" s="4" t="s">
        <v>1624</v>
      </c>
      <c r="K742" s="8"/>
      <c r="L742" s="8" t="s">
        <v>33</v>
      </c>
      <c r="M742" s="9">
        <f t="shared" si="1"/>
        <v>43</v>
      </c>
    </row>
    <row r="743" ht="12.75" customHeight="1">
      <c r="A743" s="4">
        <f t="shared" si="2"/>
        <v>742</v>
      </c>
      <c r="B743" s="4" t="s">
        <v>1651</v>
      </c>
      <c r="C743" s="5" t="s">
        <v>1652</v>
      </c>
      <c r="D743" s="4"/>
      <c r="E743" s="4"/>
      <c r="F743" s="4" t="s">
        <v>22</v>
      </c>
      <c r="G743" s="6">
        <v>0.78</v>
      </c>
      <c r="H743" s="7" t="s">
        <v>1606</v>
      </c>
      <c r="I743" s="4" t="s">
        <v>1574</v>
      </c>
      <c r="J743" s="4" t="s">
        <v>1624</v>
      </c>
      <c r="K743" s="8"/>
      <c r="L743" s="8" t="s">
        <v>33</v>
      </c>
      <c r="M743" s="9">
        <f t="shared" si="1"/>
        <v>41</v>
      </c>
    </row>
    <row r="744" ht="12.75" customHeight="1">
      <c r="A744" s="4">
        <f t="shared" si="2"/>
        <v>743</v>
      </c>
      <c r="B744" s="4" t="s">
        <v>1653</v>
      </c>
      <c r="C744" s="5" t="s">
        <v>1654</v>
      </c>
      <c r="D744" s="4"/>
      <c r="E744" s="4"/>
      <c r="F744" s="4" t="s">
        <v>22</v>
      </c>
      <c r="G744" s="6">
        <v>0.48</v>
      </c>
      <c r="H744" s="7" t="s">
        <v>1606</v>
      </c>
      <c r="I744" s="4" t="s">
        <v>1574</v>
      </c>
      <c r="J744" s="4" t="s">
        <v>1624</v>
      </c>
      <c r="K744" s="8"/>
      <c r="L744" s="8" t="s">
        <v>33</v>
      </c>
      <c r="M744" s="9">
        <f t="shared" si="1"/>
        <v>43</v>
      </c>
    </row>
    <row r="745" ht="12.75" customHeight="1">
      <c r="A745" s="4">
        <f t="shared" si="2"/>
        <v>744</v>
      </c>
      <c r="B745" s="4" t="s">
        <v>1655</v>
      </c>
      <c r="C745" s="5" t="s">
        <v>1656</v>
      </c>
      <c r="D745" s="4"/>
      <c r="E745" s="4"/>
      <c r="F745" s="4" t="s">
        <v>22</v>
      </c>
      <c r="G745" s="6">
        <v>1.35</v>
      </c>
      <c r="H745" s="7" t="s">
        <v>1606</v>
      </c>
      <c r="I745" s="4" t="s">
        <v>1574</v>
      </c>
      <c r="J745" s="4" t="s">
        <v>1624</v>
      </c>
      <c r="K745" s="8"/>
      <c r="L745" s="8" t="s">
        <v>33</v>
      </c>
      <c r="M745" s="9">
        <f t="shared" si="1"/>
        <v>45</v>
      </c>
    </row>
    <row r="746" ht="12.75" customHeight="1">
      <c r="A746" s="4">
        <f t="shared" si="2"/>
        <v>745</v>
      </c>
      <c r="B746" s="4" t="s">
        <v>1657</v>
      </c>
      <c r="C746" s="5" t="s">
        <v>1658</v>
      </c>
      <c r="D746" s="4"/>
      <c r="E746" s="4"/>
      <c r="F746" s="4" t="s">
        <v>371</v>
      </c>
      <c r="G746" s="6">
        <v>4.45</v>
      </c>
      <c r="H746" s="7" t="s">
        <v>1606</v>
      </c>
      <c r="I746" s="4" t="s">
        <v>1574</v>
      </c>
      <c r="J746" s="4" t="s">
        <v>1624</v>
      </c>
      <c r="K746" s="8"/>
      <c r="L746" s="8" t="s">
        <v>1659</v>
      </c>
      <c r="M746" s="9">
        <f t="shared" si="1"/>
        <v>50</v>
      </c>
    </row>
    <row r="747" ht="12.75" customHeight="1">
      <c r="A747" s="4">
        <f t="shared" si="2"/>
        <v>746</v>
      </c>
      <c r="B747" s="4" t="s">
        <v>1660</v>
      </c>
      <c r="C747" s="5" t="s">
        <v>1661</v>
      </c>
      <c r="D747" s="4"/>
      <c r="E747" s="4"/>
      <c r="F747" s="4" t="s">
        <v>371</v>
      </c>
      <c r="G747" s="6">
        <v>9.56</v>
      </c>
      <c r="H747" s="7" t="s">
        <v>1606</v>
      </c>
      <c r="I747" s="4" t="s">
        <v>1574</v>
      </c>
      <c r="J747" s="4" t="s">
        <v>1624</v>
      </c>
      <c r="K747" s="8"/>
      <c r="L747" s="8" t="s">
        <v>1659</v>
      </c>
      <c r="M747" s="9">
        <f t="shared" si="1"/>
        <v>51</v>
      </c>
    </row>
    <row r="748" ht="12.75" customHeight="1">
      <c r="A748" s="4">
        <f t="shared" si="2"/>
        <v>747</v>
      </c>
      <c r="B748" s="4" t="s">
        <v>1662</v>
      </c>
      <c r="C748" s="5" t="s">
        <v>1663</v>
      </c>
      <c r="D748" s="4"/>
      <c r="E748" s="4"/>
      <c r="F748" s="4" t="s">
        <v>371</v>
      </c>
      <c r="G748" s="6">
        <v>6.76</v>
      </c>
      <c r="H748" s="7" t="s">
        <v>1606</v>
      </c>
      <c r="I748" s="4" t="s">
        <v>1574</v>
      </c>
      <c r="J748" s="4" t="s">
        <v>1624</v>
      </c>
      <c r="K748" s="8"/>
      <c r="L748" s="8" t="s">
        <v>1659</v>
      </c>
      <c r="M748" s="9">
        <f t="shared" si="1"/>
        <v>47</v>
      </c>
    </row>
    <row r="749" ht="12.75" customHeight="1">
      <c r="A749" s="4">
        <f t="shared" si="2"/>
        <v>748</v>
      </c>
      <c r="B749" s="4" t="s">
        <v>1664</v>
      </c>
      <c r="C749" s="5" t="s">
        <v>1665</v>
      </c>
      <c r="D749" s="4"/>
      <c r="E749" s="4"/>
      <c r="F749" s="4" t="s">
        <v>371</v>
      </c>
      <c r="G749" s="21">
        <v>4.05</v>
      </c>
      <c r="H749" s="7" t="s">
        <v>1606</v>
      </c>
      <c r="I749" s="4" t="s">
        <v>1574</v>
      </c>
      <c r="J749" s="4" t="s">
        <v>1624</v>
      </c>
      <c r="K749" s="8"/>
      <c r="L749" s="8" t="s">
        <v>1659</v>
      </c>
      <c r="M749" s="9">
        <f t="shared" si="1"/>
        <v>49</v>
      </c>
    </row>
    <row r="750" ht="12.75" customHeight="1">
      <c r="A750" s="4">
        <f t="shared" si="2"/>
        <v>749</v>
      </c>
      <c r="B750" s="4" t="s">
        <v>1666</v>
      </c>
      <c r="C750" s="5" t="s">
        <v>1667</v>
      </c>
      <c r="D750" s="4"/>
      <c r="E750" s="4"/>
      <c r="F750" s="4" t="s">
        <v>371</v>
      </c>
      <c r="G750" s="6">
        <v>13.47</v>
      </c>
      <c r="H750" s="7" t="s">
        <v>1606</v>
      </c>
      <c r="I750" s="4" t="s">
        <v>1574</v>
      </c>
      <c r="J750" s="4" t="s">
        <v>1624</v>
      </c>
      <c r="K750" s="8"/>
      <c r="L750" s="8" t="s">
        <v>1659</v>
      </c>
      <c r="M750" s="9">
        <f t="shared" si="1"/>
        <v>47</v>
      </c>
    </row>
    <row r="751" ht="12.75" customHeight="1">
      <c r="A751" s="4">
        <f t="shared" si="2"/>
        <v>750</v>
      </c>
      <c r="B751" s="4" t="s">
        <v>1668</v>
      </c>
      <c r="C751" s="5" t="s">
        <v>1669</v>
      </c>
      <c r="D751" s="4"/>
      <c r="E751" s="4"/>
      <c r="F751" s="4" t="s">
        <v>15</v>
      </c>
      <c r="G751" s="6">
        <v>0.65</v>
      </c>
      <c r="H751" s="7" t="s">
        <v>1606</v>
      </c>
      <c r="I751" s="4" t="s">
        <v>1574</v>
      </c>
      <c r="J751" s="4" t="s">
        <v>1624</v>
      </c>
      <c r="K751" s="8"/>
      <c r="L751" s="8" t="s">
        <v>33</v>
      </c>
      <c r="M751" s="9">
        <f t="shared" si="1"/>
        <v>36</v>
      </c>
    </row>
    <row r="752" ht="12.75" customHeight="1">
      <c r="A752" s="4">
        <f t="shared" si="2"/>
        <v>751</v>
      </c>
      <c r="B752" s="4" t="s">
        <v>1670</v>
      </c>
      <c r="C752" s="5" t="s">
        <v>1671</v>
      </c>
      <c r="D752" s="4"/>
      <c r="E752" s="4"/>
      <c r="F752" s="4" t="s">
        <v>15</v>
      </c>
      <c r="G752" s="6">
        <v>0.39</v>
      </c>
      <c r="H752" s="7" t="s">
        <v>1606</v>
      </c>
      <c r="I752" s="4" t="s">
        <v>1574</v>
      </c>
      <c r="J752" s="4" t="s">
        <v>1624</v>
      </c>
      <c r="K752" s="8"/>
      <c r="L752" s="8" t="s">
        <v>33</v>
      </c>
      <c r="M752" s="9">
        <f t="shared" si="1"/>
        <v>32</v>
      </c>
    </row>
    <row r="753" ht="12.75" customHeight="1">
      <c r="A753" s="4">
        <f t="shared" si="2"/>
        <v>752</v>
      </c>
      <c r="B753" s="4" t="s">
        <v>1672</v>
      </c>
      <c r="C753" s="5" t="s">
        <v>1673</v>
      </c>
      <c r="D753" s="4"/>
      <c r="E753" s="4"/>
      <c r="F753" s="4" t="s">
        <v>15</v>
      </c>
      <c r="G753" s="6">
        <v>0.35</v>
      </c>
      <c r="H753" s="7" t="s">
        <v>1606</v>
      </c>
      <c r="I753" s="4" t="s">
        <v>1574</v>
      </c>
      <c r="J753" s="4" t="s">
        <v>1624</v>
      </c>
      <c r="K753" s="8"/>
      <c r="L753" s="8" t="s">
        <v>33</v>
      </c>
      <c r="M753" s="9">
        <f t="shared" si="1"/>
        <v>34</v>
      </c>
    </row>
    <row r="754" ht="12.75" customHeight="1">
      <c r="A754" s="4">
        <f t="shared" si="2"/>
        <v>753</v>
      </c>
      <c r="B754" s="4" t="s">
        <v>1674</v>
      </c>
      <c r="C754" s="5" t="s">
        <v>1675</v>
      </c>
      <c r="D754" s="4"/>
      <c r="E754" s="4"/>
      <c r="F754" s="4" t="s">
        <v>371</v>
      </c>
      <c r="G754" s="21">
        <v>1.8</v>
      </c>
      <c r="H754" s="7" t="s">
        <v>1606</v>
      </c>
      <c r="I754" s="4" t="s">
        <v>1574</v>
      </c>
      <c r="J754" s="4" t="s">
        <v>1624</v>
      </c>
      <c r="K754" s="8"/>
      <c r="L754" s="8" t="s">
        <v>33</v>
      </c>
      <c r="M754" s="9">
        <f t="shared" si="1"/>
        <v>36</v>
      </c>
    </row>
    <row r="755" ht="12.75" customHeight="1">
      <c r="A755" s="4">
        <f t="shared" si="2"/>
        <v>754</v>
      </c>
      <c r="B755" s="4" t="s">
        <v>1676</v>
      </c>
      <c r="C755" s="5" t="s">
        <v>1677</v>
      </c>
      <c r="D755" s="4"/>
      <c r="E755" s="4"/>
      <c r="F755" s="4" t="s">
        <v>15</v>
      </c>
      <c r="G755" s="6">
        <v>1.1</v>
      </c>
      <c r="H755" s="7" t="s">
        <v>1606</v>
      </c>
      <c r="I755" s="4" t="s">
        <v>1574</v>
      </c>
      <c r="J755" s="4" t="s">
        <v>1624</v>
      </c>
      <c r="K755" s="8"/>
      <c r="L755" s="8" t="s">
        <v>33</v>
      </c>
      <c r="M755" s="9">
        <f t="shared" si="1"/>
        <v>32</v>
      </c>
    </row>
    <row r="756" ht="12.75" customHeight="1">
      <c r="A756" s="4">
        <f t="shared" si="2"/>
        <v>755</v>
      </c>
      <c r="B756" s="4" t="s">
        <v>1678</v>
      </c>
      <c r="C756" s="5" t="s">
        <v>1679</v>
      </c>
      <c r="D756" s="4"/>
      <c r="E756" s="4"/>
      <c r="F756" s="4" t="s">
        <v>15</v>
      </c>
      <c r="G756" s="6">
        <v>2.05</v>
      </c>
      <c r="H756" s="7" t="s">
        <v>1606</v>
      </c>
      <c r="I756" s="4" t="s">
        <v>1574</v>
      </c>
      <c r="J756" s="4" t="s">
        <v>1624</v>
      </c>
      <c r="K756" s="8"/>
      <c r="L756" s="8" t="s">
        <v>33</v>
      </c>
      <c r="M756" s="9">
        <f t="shared" si="1"/>
        <v>32</v>
      </c>
    </row>
    <row r="757" ht="12.75" customHeight="1">
      <c r="A757" s="4">
        <f t="shared" si="2"/>
        <v>756</v>
      </c>
      <c r="B757" s="4" t="s">
        <v>1680</v>
      </c>
      <c r="C757" s="5" t="s">
        <v>1681</v>
      </c>
      <c r="D757" s="4"/>
      <c r="E757" s="4"/>
      <c r="F757" s="4" t="s">
        <v>15</v>
      </c>
      <c r="G757" s="6">
        <v>0.37</v>
      </c>
      <c r="H757" s="7" t="s">
        <v>1606</v>
      </c>
      <c r="I757" s="4" t="s">
        <v>1574</v>
      </c>
      <c r="J757" s="4" t="s">
        <v>1624</v>
      </c>
      <c r="K757" s="8"/>
      <c r="L757" s="8" t="s">
        <v>33</v>
      </c>
      <c r="M757" s="9">
        <f t="shared" si="1"/>
        <v>34</v>
      </c>
    </row>
    <row r="758" ht="12.75" customHeight="1">
      <c r="A758" s="4">
        <f t="shared" si="2"/>
        <v>757</v>
      </c>
      <c r="B758" s="4" t="s">
        <v>1682</v>
      </c>
      <c r="C758" s="5" t="s">
        <v>1683</v>
      </c>
      <c r="D758" s="4"/>
      <c r="E758" s="4"/>
      <c r="F758" s="4" t="s">
        <v>15</v>
      </c>
      <c r="G758" s="6">
        <v>2.85</v>
      </c>
      <c r="H758" s="7" t="s">
        <v>1606</v>
      </c>
      <c r="I758" s="4" t="s">
        <v>1574</v>
      </c>
      <c r="J758" s="4" t="s">
        <v>1624</v>
      </c>
      <c r="K758" s="8"/>
      <c r="L758" s="8" t="s">
        <v>33</v>
      </c>
      <c r="M758" s="9">
        <f t="shared" si="1"/>
        <v>32</v>
      </c>
    </row>
    <row r="759" ht="12.75" customHeight="1">
      <c r="A759" s="4">
        <f t="shared" si="2"/>
        <v>758</v>
      </c>
      <c r="B759" s="4" t="s">
        <v>1684</v>
      </c>
      <c r="C759" s="5" t="s">
        <v>1685</v>
      </c>
      <c r="D759" s="4"/>
      <c r="E759" s="4"/>
      <c r="F759" s="4" t="s">
        <v>15</v>
      </c>
      <c r="G759" s="6">
        <v>2.98</v>
      </c>
      <c r="H759" s="7" t="s">
        <v>1606</v>
      </c>
      <c r="I759" s="4" t="s">
        <v>1574</v>
      </c>
      <c r="J759" s="4" t="s">
        <v>1624</v>
      </c>
      <c r="K759" s="8"/>
      <c r="L759" s="8" t="s">
        <v>33</v>
      </c>
      <c r="M759" s="9">
        <f t="shared" si="1"/>
        <v>32</v>
      </c>
    </row>
    <row r="760" ht="12.75" customHeight="1">
      <c r="A760" s="4">
        <f t="shared" si="2"/>
        <v>759</v>
      </c>
      <c r="B760" s="4" t="s">
        <v>1686</v>
      </c>
      <c r="C760" s="5" t="s">
        <v>1687</v>
      </c>
      <c r="D760" s="4"/>
      <c r="E760" s="4"/>
      <c r="F760" s="4" t="s">
        <v>22</v>
      </c>
      <c r="G760" s="6">
        <v>6.76</v>
      </c>
      <c r="H760" s="7" t="s">
        <v>1606</v>
      </c>
      <c r="I760" s="4" t="s">
        <v>1688</v>
      </c>
      <c r="J760" s="4" t="s">
        <v>1688</v>
      </c>
      <c r="K760" s="8"/>
      <c r="L760" s="8" t="s">
        <v>33</v>
      </c>
      <c r="M760" s="9">
        <f t="shared" si="1"/>
        <v>43</v>
      </c>
    </row>
    <row r="761" ht="12.75" customHeight="1">
      <c r="A761" s="4">
        <f t="shared" si="2"/>
        <v>760</v>
      </c>
      <c r="B761" s="4" t="s">
        <v>1689</v>
      </c>
      <c r="C761" s="5" t="s">
        <v>1690</v>
      </c>
      <c r="D761" s="4"/>
      <c r="E761" s="4"/>
      <c r="F761" s="4" t="s">
        <v>22</v>
      </c>
      <c r="G761" s="6">
        <v>2.97</v>
      </c>
      <c r="H761" s="7" t="s">
        <v>1606</v>
      </c>
      <c r="I761" s="4" t="s">
        <v>1688</v>
      </c>
      <c r="J761" s="4" t="s">
        <v>1688</v>
      </c>
      <c r="K761" s="8"/>
      <c r="L761" s="8" t="s">
        <v>1691</v>
      </c>
      <c r="M761" s="9">
        <f t="shared" si="1"/>
        <v>44</v>
      </c>
    </row>
    <row r="762" ht="12.75" customHeight="1">
      <c r="A762" s="4">
        <f t="shared" si="2"/>
        <v>761</v>
      </c>
      <c r="B762" s="4" t="s">
        <v>1692</v>
      </c>
      <c r="C762" s="5" t="s">
        <v>1693</v>
      </c>
      <c r="D762" s="4"/>
      <c r="E762" s="4"/>
      <c r="F762" s="4" t="s">
        <v>1694</v>
      </c>
      <c r="G762" s="6">
        <v>26.76</v>
      </c>
      <c r="H762" s="7" t="s">
        <v>1606</v>
      </c>
      <c r="I762" s="4" t="s">
        <v>1688</v>
      </c>
      <c r="J762" s="4" t="s">
        <v>1688</v>
      </c>
      <c r="K762" s="8"/>
      <c r="L762" s="8" t="s">
        <v>33</v>
      </c>
      <c r="M762" s="9">
        <f t="shared" si="1"/>
        <v>24</v>
      </c>
    </row>
    <row r="763" ht="12.75" customHeight="1">
      <c r="A763" s="4">
        <f t="shared" si="2"/>
        <v>762</v>
      </c>
      <c r="B763" s="4" t="s">
        <v>1695</v>
      </c>
      <c r="C763" s="5" t="s">
        <v>1696</v>
      </c>
      <c r="D763" s="4"/>
      <c r="E763" s="4"/>
      <c r="F763" s="4" t="s">
        <v>22</v>
      </c>
      <c r="G763" s="6">
        <v>21.08</v>
      </c>
      <c r="H763" s="7" t="s">
        <v>1606</v>
      </c>
      <c r="I763" s="4" t="s">
        <v>1697</v>
      </c>
      <c r="J763" s="4" t="s">
        <v>1698</v>
      </c>
      <c r="K763" s="8"/>
      <c r="L763" s="8" t="s">
        <v>1509</v>
      </c>
      <c r="M763" s="9">
        <f t="shared" si="1"/>
        <v>35</v>
      </c>
    </row>
    <row r="764" ht="12.75" customHeight="1">
      <c r="A764" s="4">
        <f t="shared" si="2"/>
        <v>763</v>
      </c>
      <c r="B764" s="4" t="s">
        <v>1699</v>
      </c>
      <c r="C764" s="5" t="s">
        <v>1700</v>
      </c>
      <c r="D764" s="4"/>
      <c r="E764" s="4"/>
      <c r="F764" s="4" t="s">
        <v>1694</v>
      </c>
      <c r="G764" s="6">
        <v>27.19</v>
      </c>
      <c r="H764" s="7" t="s">
        <v>1606</v>
      </c>
      <c r="I764" s="4" t="s">
        <v>1697</v>
      </c>
      <c r="J764" s="4" t="s">
        <v>1698</v>
      </c>
      <c r="K764" s="8"/>
      <c r="L764" s="8" t="s">
        <v>1701</v>
      </c>
      <c r="M764" s="9">
        <f t="shared" si="1"/>
        <v>58</v>
      </c>
    </row>
    <row r="765" ht="12.75" customHeight="1">
      <c r="A765" s="4">
        <f t="shared" si="2"/>
        <v>764</v>
      </c>
      <c r="B765" s="4" t="s">
        <v>1702</v>
      </c>
      <c r="C765" s="5" t="s">
        <v>1703</v>
      </c>
      <c r="D765" s="4"/>
      <c r="E765" s="4"/>
      <c r="F765" s="4" t="s">
        <v>22</v>
      </c>
      <c r="G765" s="6">
        <v>11.62</v>
      </c>
      <c r="H765" s="7" t="s">
        <v>1606</v>
      </c>
      <c r="I765" s="4" t="s">
        <v>1704</v>
      </c>
      <c r="J765" s="4" t="s">
        <v>1705</v>
      </c>
      <c r="K765" s="8"/>
      <c r="L765" s="8" t="s">
        <v>1706</v>
      </c>
      <c r="M765" s="9">
        <f t="shared" si="1"/>
        <v>45</v>
      </c>
    </row>
    <row r="766" ht="12.75" customHeight="1">
      <c r="A766" s="4">
        <f t="shared" si="2"/>
        <v>765</v>
      </c>
      <c r="B766" s="4" t="s">
        <v>1707</v>
      </c>
      <c r="C766" s="5" t="s">
        <v>1708</v>
      </c>
      <c r="D766" s="4"/>
      <c r="E766" s="4"/>
      <c r="F766" s="4" t="s">
        <v>22</v>
      </c>
      <c r="G766" s="6">
        <v>2.7</v>
      </c>
      <c r="H766" s="7" t="s">
        <v>1606</v>
      </c>
      <c r="I766" s="4" t="s">
        <v>1704</v>
      </c>
      <c r="J766" s="4" t="s">
        <v>1705</v>
      </c>
      <c r="K766" s="8"/>
      <c r="L766" s="8" t="s">
        <v>1706</v>
      </c>
      <c r="M766" s="9">
        <f t="shared" si="1"/>
        <v>45</v>
      </c>
    </row>
    <row r="767" ht="12.75" customHeight="1">
      <c r="A767" s="4">
        <f t="shared" si="2"/>
        <v>766</v>
      </c>
      <c r="B767" s="4" t="s">
        <v>1709</v>
      </c>
      <c r="C767" s="5" t="s">
        <v>1710</v>
      </c>
      <c r="D767" s="4"/>
      <c r="E767" s="4"/>
      <c r="F767" s="4" t="s">
        <v>22</v>
      </c>
      <c r="G767" s="6">
        <v>27.03</v>
      </c>
      <c r="H767" s="7" t="s">
        <v>1606</v>
      </c>
      <c r="I767" s="4" t="s">
        <v>1704</v>
      </c>
      <c r="J767" s="4" t="s">
        <v>1705</v>
      </c>
      <c r="K767" s="8"/>
      <c r="L767" s="8" t="s">
        <v>1706</v>
      </c>
      <c r="M767" s="9">
        <f t="shared" si="1"/>
        <v>45</v>
      </c>
    </row>
    <row r="768" ht="12.75" customHeight="1">
      <c r="A768" s="4">
        <f t="shared" si="2"/>
        <v>767</v>
      </c>
      <c r="B768" s="4" t="s">
        <v>1711</v>
      </c>
      <c r="C768" s="5" t="s">
        <v>1712</v>
      </c>
      <c r="D768" s="4"/>
      <c r="E768" s="4"/>
      <c r="F768" s="4" t="s">
        <v>22</v>
      </c>
      <c r="G768" s="6">
        <v>6.49</v>
      </c>
      <c r="H768" s="7" t="s">
        <v>1606</v>
      </c>
      <c r="I768" s="4" t="s">
        <v>1704</v>
      </c>
      <c r="J768" s="4" t="s">
        <v>1705</v>
      </c>
      <c r="K768" s="8"/>
      <c r="L768" s="8" t="s">
        <v>1706</v>
      </c>
      <c r="M768" s="9">
        <f t="shared" si="1"/>
        <v>45</v>
      </c>
    </row>
    <row r="769" ht="12.75" customHeight="1">
      <c r="A769" s="4">
        <f t="shared" si="2"/>
        <v>768</v>
      </c>
      <c r="B769" s="4" t="s">
        <v>1713</v>
      </c>
      <c r="C769" s="5" t="s">
        <v>1714</v>
      </c>
      <c r="D769" s="4"/>
      <c r="E769" s="4"/>
      <c r="F769" s="4" t="s">
        <v>22</v>
      </c>
      <c r="G769" s="6">
        <v>11.83</v>
      </c>
      <c r="H769" s="7" t="s">
        <v>1606</v>
      </c>
      <c r="I769" s="4" t="s">
        <v>1704</v>
      </c>
      <c r="J769" s="4" t="s">
        <v>1705</v>
      </c>
      <c r="K769" s="8"/>
      <c r="L769" s="8" t="s">
        <v>1706</v>
      </c>
      <c r="M769" s="9">
        <f t="shared" si="1"/>
        <v>45</v>
      </c>
    </row>
    <row r="770" ht="12.75" customHeight="1">
      <c r="A770" s="4">
        <f t="shared" si="2"/>
        <v>769</v>
      </c>
      <c r="B770" s="4" t="s">
        <v>1715</v>
      </c>
      <c r="C770" s="5" t="s">
        <v>1716</v>
      </c>
      <c r="D770" s="4"/>
      <c r="E770" s="4"/>
      <c r="F770" s="4" t="s">
        <v>1717</v>
      </c>
      <c r="G770" s="22">
        <v>9.87</v>
      </c>
      <c r="H770" s="7" t="s">
        <v>1606</v>
      </c>
      <c r="I770" s="4" t="s">
        <v>1718</v>
      </c>
      <c r="J770" s="4" t="s">
        <v>1719</v>
      </c>
      <c r="K770" s="8"/>
      <c r="L770" s="8" t="s">
        <v>33</v>
      </c>
      <c r="M770" s="9">
        <f t="shared" si="1"/>
        <v>28</v>
      </c>
    </row>
    <row r="771" ht="12.75" customHeight="1">
      <c r="A771" s="4">
        <f t="shared" si="2"/>
        <v>770</v>
      </c>
      <c r="B771" s="4" t="s">
        <v>1720</v>
      </c>
      <c r="C771" s="5" t="s">
        <v>1721</v>
      </c>
      <c r="D771" s="4"/>
      <c r="E771" s="4"/>
      <c r="F771" s="4" t="s">
        <v>22</v>
      </c>
      <c r="G771" s="6">
        <v>3.85</v>
      </c>
      <c r="H771" s="7" t="s">
        <v>1606</v>
      </c>
      <c r="I771" s="4" t="s">
        <v>1722</v>
      </c>
      <c r="J771" s="4" t="s">
        <v>1723</v>
      </c>
      <c r="K771" s="8"/>
      <c r="L771" s="8" t="s">
        <v>33</v>
      </c>
      <c r="M771" s="9">
        <f t="shared" si="1"/>
        <v>31</v>
      </c>
    </row>
    <row r="772" ht="12.75" customHeight="1">
      <c r="A772" s="4">
        <f t="shared" si="2"/>
        <v>771</v>
      </c>
      <c r="B772" s="4" t="s">
        <v>1724</v>
      </c>
      <c r="C772" s="5" t="s">
        <v>1725</v>
      </c>
      <c r="D772" s="4"/>
      <c r="E772" s="4"/>
      <c r="F772" s="4" t="s">
        <v>22</v>
      </c>
      <c r="G772" s="6">
        <v>4.25</v>
      </c>
      <c r="H772" s="7" t="s">
        <v>1606</v>
      </c>
      <c r="I772" s="4" t="s">
        <v>1722</v>
      </c>
      <c r="J772" s="4" t="s">
        <v>1723</v>
      </c>
      <c r="K772" s="8"/>
      <c r="L772" s="8" t="s">
        <v>33</v>
      </c>
      <c r="M772" s="9">
        <f t="shared" si="1"/>
        <v>31</v>
      </c>
    </row>
    <row r="773" ht="12.75" customHeight="1">
      <c r="A773" s="4">
        <f t="shared" si="2"/>
        <v>772</v>
      </c>
      <c r="B773" s="4" t="s">
        <v>1726</v>
      </c>
      <c r="C773" s="5" t="s">
        <v>1727</v>
      </c>
      <c r="D773" s="4"/>
      <c r="E773" s="4"/>
      <c r="F773" s="4" t="s">
        <v>22</v>
      </c>
      <c r="G773" s="21">
        <v>4.88</v>
      </c>
      <c r="H773" s="7" t="s">
        <v>1606</v>
      </c>
      <c r="I773" s="4" t="s">
        <v>1722</v>
      </c>
      <c r="J773" s="4" t="s">
        <v>1723</v>
      </c>
      <c r="K773" s="8"/>
      <c r="L773" s="8" t="s">
        <v>33</v>
      </c>
      <c r="M773" s="9">
        <f t="shared" si="1"/>
        <v>31</v>
      </c>
    </row>
    <row r="774" ht="12.75" customHeight="1">
      <c r="A774" s="4">
        <f t="shared" si="2"/>
        <v>773</v>
      </c>
      <c r="B774" s="4" t="s">
        <v>1728</v>
      </c>
      <c r="C774" s="5" t="s">
        <v>1729</v>
      </c>
      <c r="D774" s="4"/>
      <c r="E774" s="4"/>
      <c r="F774" s="4" t="s">
        <v>22</v>
      </c>
      <c r="G774" s="6">
        <v>6.5</v>
      </c>
      <c r="H774" s="7" t="s">
        <v>1606</v>
      </c>
      <c r="I774" s="4" t="s">
        <v>1722</v>
      </c>
      <c r="J774" s="4" t="s">
        <v>1723</v>
      </c>
      <c r="K774" s="8"/>
      <c r="L774" s="8" t="s">
        <v>33</v>
      </c>
      <c r="M774" s="9">
        <f t="shared" si="1"/>
        <v>31</v>
      </c>
    </row>
    <row r="775" ht="12.75" customHeight="1">
      <c r="A775" s="4">
        <f t="shared" si="2"/>
        <v>774</v>
      </c>
      <c r="B775" s="4" t="s">
        <v>1730</v>
      </c>
      <c r="C775" s="5" t="s">
        <v>1731</v>
      </c>
      <c r="D775" s="4"/>
      <c r="E775" s="4"/>
      <c r="F775" s="4" t="s">
        <v>22</v>
      </c>
      <c r="G775" s="21">
        <v>20.84</v>
      </c>
      <c r="H775" s="7" t="s">
        <v>1606</v>
      </c>
      <c r="I775" s="4" t="s">
        <v>1722</v>
      </c>
      <c r="J775" s="4" t="s">
        <v>1723</v>
      </c>
      <c r="K775" s="8"/>
      <c r="L775" s="8" t="s">
        <v>33</v>
      </c>
      <c r="M775" s="9">
        <f t="shared" si="1"/>
        <v>31</v>
      </c>
    </row>
    <row r="776" ht="12.75" customHeight="1">
      <c r="A776" s="4">
        <f t="shared" si="2"/>
        <v>775</v>
      </c>
      <c r="B776" s="4" t="s">
        <v>1732</v>
      </c>
      <c r="C776" s="5" t="s">
        <v>1733</v>
      </c>
      <c r="D776" s="4"/>
      <c r="E776" s="4"/>
      <c r="F776" s="4" t="s">
        <v>22</v>
      </c>
      <c r="G776" s="21">
        <v>5.26</v>
      </c>
      <c r="H776" s="7" t="s">
        <v>1606</v>
      </c>
      <c r="I776" s="4" t="s">
        <v>1607</v>
      </c>
      <c r="J776" s="4" t="s">
        <v>1608</v>
      </c>
      <c r="K776" s="8"/>
      <c r="L776" s="8" t="s">
        <v>33</v>
      </c>
      <c r="M776" s="9">
        <f t="shared" si="1"/>
        <v>40</v>
      </c>
    </row>
    <row r="777" ht="12.75" customHeight="1">
      <c r="A777" s="4">
        <f t="shared" si="2"/>
        <v>776</v>
      </c>
      <c r="B777" s="4" t="s">
        <v>1734</v>
      </c>
      <c r="C777" s="5" t="s">
        <v>1735</v>
      </c>
      <c r="D777" s="4"/>
      <c r="E777" s="4"/>
      <c r="F777" s="4" t="s">
        <v>22</v>
      </c>
      <c r="G777" s="6">
        <v>4.05</v>
      </c>
      <c r="H777" s="7" t="s">
        <v>1606</v>
      </c>
      <c r="I777" s="4" t="s">
        <v>1607</v>
      </c>
      <c r="J777" s="4" t="s">
        <v>1608</v>
      </c>
      <c r="K777" s="8"/>
      <c r="L777" s="8" t="s">
        <v>33</v>
      </c>
      <c r="M777" s="9">
        <f t="shared" si="1"/>
        <v>42</v>
      </c>
    </row>
    <row r="778" ht="12.75" customHeight="1">
      <c r="A778" s="4">
        <f t="shared" si="2"/>
        <v>777</v>
      </c>
      <c r="B778" s="4" t="s">
        <v>1736</v>
      </c>
      <c r="C778" s="5" t="s">
        <v>1737</v>
      </c>
      <c r="D778" s="4"/>
      <c r="E778" s="4"/>
      <c r="F778" s="4" t="s">
        <v>22</v>
      </c>
      <c r="G778" s="21">
        <v>4.68</v>
      </c>
      <c r="H778" s="7" t="s">
        <v>1606</v>
      </c>
      <c r="I778" s="4" t="s">
        <v>1607</v>
      </c>
      <c r="J778" s="4" t="s">
        <v>1608</v>
      </c>
      <c r="K778" s="8"/>
      <c r="L778" s="8" t="s">
        <v>33</v>
      </c>
      <c r="M778" s="9">
        <f t="shared" si="1"/>
        <v>42</v>
      </c>
    </row>
    <row r="779" ht="12.75" customHeight="1">
      <c r="A779" s="4">
        <f t="shared" si="2"/>
        <v>778</v>
      </c>
      <c r="B779" s="4" t="s">
        <v>1738</v>
      </c>
      <c r="C779" s="5" t="s">
        <v>1739</v>
      </c>
      <c r="D779" s="4"/>
      <c r="E779" s="4"/>
      <c r="F779" s="4" t="s">
        <v>22</v>
      </c>
      <c r="G779" s="6">
        <v>5.26</v>
      </c>
      <c r="H779" s="7" t="s">
        <v>1606</v>
      </c>
      <c r="I779" s="4" t="s">
        <v>1607</v>
      </c>
      <c r="J779" s="4" t="s">
        <v>1608</v>
      </c>
      <c r="K779" s="8"/>
      <c r="L779" s="8" t="s">
        <v>33</v>
      </c>
      <c r="M779" s="9">
        <f t="shared" si="1"/>
        <v>40</v>
      </c>
    </row>
    <row r="780" ht="12.75" customHeight="1">
      <c r="A780" s="4">
        <f t="shared" si="2"/>
        <v>779</v>
      </c>
      <c r="B780" s="4" t="s">
        <v>1740</v>
      </c>
      <c r="C780" s="5" t="s">
        <v>1741</v>
      </c>
      <c r="D780" s="4"/>
      <c r="E780" s="4"/>
      <c r="F780" s="4" t="s">
        <v>22</v>
      </c>
      <c r="G780" s="6">
        <v>4.05</v>
      </c>
      <c r="H780" s="7" t="s">
        <v>1606</v>
      </c>
      <c r="I780" s="4" t="s">
        <v>1607</v>
      </c>
      <c r="J780" s="4" t="s">
        <v>1608</v>
      </c>
      <c r="K780" s="8"/>
      <c r="L780" s="8" t="s">
        <v>33</v>
      </c>
      <c r="M780" s="9">
        <f t="shared" si="1"/>
        <v>42</v>
      </c>
    </row>
    <row r="781" ht="12.75" customHeight="1">
      <c r="A781" s="4">
        <f t="shared" si="2"/>
        <v>780</v>
      </c>
      <c r="B781" s="4" t="s">
        <v>1742</v>
      </c>
      <c r="C781" s="5" t="s">
        <v>1743</v>
      </c>
      <c r="D781" s="4"/>
      <c r="E781" s="4"/>
      <c r="F781" s="4" t="s">
        <v>22</v>
      </c>
      <c r="G781" s="6">
        <v>4.68</v>
      </c>
      <c r="H781" s="7" t="s">
        <v>1606</v>
      </c>
      <c r="I781" s="4" t="s">
        <v>1607</v>
      </c>
      <c r="J781" s="4" t="s">
        <v>1608</v>
      </c>
      <c r="K781" s="8"/>
      <c r="L781" s="8" t="s">
        <v>33</v>
      </c>
      <c r="M781" s="9">
        <f t="shared" si="1"/>
        <v>42</v>
      </c>
    </row>
    <row r="782" ht="12.75" customHeight="1">
      <c r="A782" s="4">
        <f t="shared" si="2"/>
        <v>781</v>
      </c>
      <c r="B782" s="4" t="s">
        <v>1744</v>
      </c>
      <c r="C782" s="5" t="s">
        <v>1745</v>
      </c>
      <c r="D782" s="4"/>
      <c r="E782" s="4"/>
      <c r="F782" s="4" t="s">
        <v>22</v>
      </c>
      <c r="G782" s="6">
        <v>4.3</v>
      </c>
      <c r="H782" s="7" t="s">
        <v>1606</v>
      </c>
      <c r="I782" s="4" t="s">
        <v>1746</v>
      </c>
      <c r="J782" s="4" t="s">
        <v>1747</v>
      </c>
      <c r="K782" s="8"/>
      <c r="L782" s="8" t="s">
        <v>33</v>
      </c>
      <c r="M782" s="9">
        <f t="shared" si="1"/>
        <v>54</v>
      </c>
    </row>
    <row r="783" ht="12.75" customHeight="1">
      <c r="A783" s="4">
        <f t="shared" si="2"/>
        <v>782</v>
      </c>
      <c r="B783" s="4" t="s">
        <v>1748</v>
      </c>
      <c r="C783" s="5" t="s">
        <v>1749</v>
      </c>
      <c r="D783" s="4"/>
      <c r="E783" s="4"/>
      <c r="F783" s="4" t="s">
        <v>22</v>
      </c>
      <c r="G783" s="6">
        <v>1.62</v>
      </c>
      <c r="H783" s="7" t="s">
        <v>1606</v>
      </c>
      <c r="I783" s="4" t="s">
        <v>1746</v>
      </c>
      <c r="J783" s="4" t="s">
        <v>1747</v>
      </c>
      <c r="K783" s="8"/>
      <c r="L783" s="8" t="s">
        <v>33</v>
      </c>
      <c r="M783" s="9">
        <f t="shared" si="1"/>
        <v>54</v>
      </c>
    </row>
    <row r="784" ht="12.75" customHeight="1">
      <c r="A784" s="4">
        <f t="shared" si="2"/>
        <v>783</v>
      </c>
      <c r="B784" s="4" t="s">
        <v>1750</v>
      </c>
      <c r="C784" s="5" t="s">
        <v>1751</v>
      </c>
      <c r="D784" s="4"/>
      <c r="E784" s="4"/>
      <c r="F784" s="4" t="s">
        <v>22</v>
      </c>
      <c r="G784" s="6">
        <v>1.62</v>
      </c>
      <c r="H784" s="7" t="s">
        <v>1606</v>
      </c>
      <c r="I784" s="4" t="s">
        <v>1746</v>
      </c>
      <c r="J784" s="4" t="s">
        <v>1747</v>
      </c>
      <c r="K784" s="8"/>
      <c r="L784" s="8" t="s">
        <v>33</v>
      </c>
      <c r="M784" s="9">
        <f t="shared" si="1"/>
        <v>55</v>
      </c>
    </row>
    <row r="785" ht="12.75" customHeight="1">
      <c r="A785" s="4">
        <f t="shared" si="2"/>
        <v>784</v>
      </c>
      <c r="B785" s="4" t="s">
        <v>1752</v>
      </c>
      <c r="C785" s="5" t="s">
        <v>1753</v>
      </c>
      <c r="D785" s="4"/>
      <c r="E785" s="4"/>
      <c r="F785" s="4" t="s">
        <v>22</v>
      </c>
      <c r="G785" s="6">
        <v>3.24</v>
      </c>
      <c r="H785" s="7" t="s">
        <v>1606</v>
      </c>
      <c r="I785" s="4" t="s">
        <v>1746</v>
      </c>
      <c r="J785" s="4" t="s">
        <v>1747</v>
      </c>
      <c r="K785" s="8"/>
      <c r="L785" s="8" t="s">
        <v>33</v>
      </c>
      <c r="M785" s="9">
        <f t="shared" si="1"/>
        <v>54</v>
      </c>
    </row>
    <row r="786" ht="12.75" customHeight="1">
      <c r="A786" s="4">
        <f t="shared" si="2"/>
        <v>785</v>
      </c>
      <c r="B786" s="4" t="s">
        <v>1754</v>
      </c>
      <c r="C786" s="5" t="s">
        <v>1755</v>
      </c>
      <c r="D786" s="4"/>
      <c r="E786" s="4"/>
      <c r="F786" s="4" t="s">
        <v>22</v>
      </c>
      <c r="G786" s="6">
        <v>2.43</v>
      </c>
      <c r="H786" s="7" t="s">
        <v>1606</v>
      </c>
      <c r="I786" s="4" t="s">
        <v>1746</v>
      </c>
      <c r="J786" s="4" t="s">
        <v>1747</v>
      </c>
      <c r="K786" s="8"/>
      <c r="L786" s="8" t="s">
        <v>33</v>
      </c>
      <c r="M786" s="9">
        <f t="shared" si="1"/>
        <v>55</v>
      </c>
    </row>
    <row r="787" ht="12.75" customHeight="1">
      <c r="A787" s="4">
        <f t="shared" si="2"/>
        <v>786</v>
      </c>
      <c r="B787" s="4" t="s">
        <v>1756</v>
      </c>
      <c r="C787" s="5" t="s">
        <v>1757</v>
      </c>
      <c r="D787" s="4"/>
      <c r="E787" s="4"/>
      <c r="F787" s="4" t="s">
        <v>22</v>
      </c>
      <c r="G787" s="6">
        <v>167.57</v>
      </c>
      <c r="H787" s="7" t="s">
        <v>1606</v>
      </c>
      <c r="I787" s="4" t="s">
        <v>1574</v>
      </c>
      <c r="J787" s="4" t="s">
        <v>1758</v>
      </c>
      <c r="K787" s="8"/>
      <c r="L787" s="8" t="s">
        <v>1759</v>
      </c>
      <c r="M787" s="9">
        <f t="shared" si="1"/>
        <v>56</v>
      </c>
    </row>
    <row r="788" ht="12.75" customHeight="1">
      <c r="A788" s="4">
        <f t="shared" si="2"/>
        <v>787</v>
      </c>
      <c r="B788" s="4" t="s">
        <v>1760</v>
      </c>
      <c r="C788" s="5" t="s">
        <v>1761</v>
      </c>
      <c r="D788" s="4"/>
      <c r="E788" s="4"/>
      <c r="F788" s="4" t="s">
        <v>22</v>
      </c>
      <c r="G788" s="6">
        <v>27.03</v>
      </c>
      <c r="H788" s="7" t="s">
        <v>1606</v>
      </c>
      <c r="I788" s="4" t="s">
        <v>1697</v>
      </c>
      <c r="J788" s="4" t="s">
        <v>1698</v>
      </c>
      <c r="K788" s="8"/>
      <c r="L788" s="8" t="s">
        <v>1509</v>
      </c>
      <c r="M788" s="9">
        <f t="shared" si="1"/>
        <v>31</v>
      </c>
    </row>
    <row r="789" ht="12.75" customHeight="1">
      <c r="A789" s="4">
        <f t="shared" si="2"/>
        <v>788</v>
      </c>
      <c r="B789" s="4" t="s">
        <v>1762</v>
      </c>
      <c r="C789" s="5" t="s">
        <v>1763</v>
      </c>
      <c r="D789" s="4"/>
      <c r="E789" s="4"/>
      <c r="F789" s="4" t="s">
        <v>1764</v>
      </c>
      <c r="G789" s="6">
        <v>47.57</v>
      </c>
      <c r="H789" s="7" t="s">
        <v>1606</v>
      </c>
      <c r="I789" s="4" t="s">
        <v>1697</v>
      </c>
      <c r="J789" s="4" t="s">
        <v>1698</v>
      </c>
      <c r="K789" s="8"/>
      <c r="L789" s="8" t="s">
        <v>1509</v>
      </c>
      <c r="M789" s="9">
        <f t="shared" si="1"/>
        <v>31</v>
      </c>
    </row>
    <row r="790" ht="12.75" customHeight="1">
      <c r="A790" s="4">
        <f t="shared" si="2"/>
        <v>789</v>
      </c>
      <c r="B790" s="4" t="s">
        <v>1765</v>
      </c>
      <c r="C790" s="5" t="s">
        <v>1766</v>
      </c>
      <c r="D790" s="4"/>
      <c r="E790" s="4"/>
      <c r="F790" s="4" t="s">
        <v>22</v>
      </c>
      <c r="G790" s="6">
        <v>102.7</v>
      </c>
      <c r="H790" s="7" t="s">
        <v>1606</v>
      </c>
      <c r="I790" s="4" t="s">
        <v>1697</v>
      </c>
      <c r="J790" s="4" t="s">
        <v>1698</v>
      </c>
      <c r="K790" s="8"/>
      <c r="L790" s="8" t="s">
        <v>1509</v>
      </c>
      <c r="M790" s="9">
        <f t="shared" si="1"/>
        <v>36</v>
      </c>
    </row>
    <row r="791" ht="12.75" customHeight="1">
      <c r="A791" s="4">
        <f t="shared" si="2"/>
        <v>790</v>
      </c>
      <c r="B791" s="4" t="s">
        <v>1767</v>
      </c>
      <c r="C791" s="5" t="s">
        <v>1768</v>
      </c>
      <c r="D791" s="4"/>
      <c r="E791" s="4"/>
      <c r="F791" s="4" t="s">
        <v>22</v>
      </c>
      <c r="G791" s="6">
        <v>7.46</v>
      </c>
      <c r="H791" s="7" t="s">
        <v>1606</v>
      </c>
      <c r="I791" s="4" t="s">
        <v>1688</v>
      </c>
      <c r="J791" s="4" t="s">
        <v>1688</v>
      </c>
      <c r="K791" s="8"/>
      <c r="L791" s="8" t="s">
        <v>1769</v>
      </c>
      <c r="M791" s="9">
        <f t="shared" si="1"/>
        <v>25</v>
      </c>
    </row>
    <row r="792" ht="12.75" customHeight="1">
      <c r="A792" s="4">
        <f t="shared" si="2"/>
        <v>791</v>
      </c>
      <c r="B792" s="4" t="s">
        <v>1770</v>
      </c>
      <c r="C792" s="5" t="s">
        <v>1771</v>
      </c>
      <c r="D792" s="4"/>
      <c r="E792" s="4"/>
      <c r="F792" s="4" t="s">
        <v>1772</v>
      </c>
      <c r="G792" s="6">
        <v>6.55</v>
      </c>
      <c r="H792" s="7" t="s">
        <v>1606</v>
      </c>
      <c r="I792" s="4" t="s">
        <v>1773</v>
      </c>
      <c r="J792" s="4" t="s">
        <v>1774</v>
      </c>
      <c r="K792" s="8"/>
      <c r="L792" s="8" t="s">
        <v>33</v>
      </c>
      <c r="M792" s="9">
        <f t="shared" si="1"/>
        <v>21</v>
      </c>
    </row>
    <row r="793" ht="12.75" customHeight="1">
      <c r="A793" s="4">
        <f t="shared" si="2"/>
        <v>792</v>
      </c>
      <c r="B793" s="4" t="s">
        <v>1775</v>
      </c>
      <c r="C793" s="5" t="s">
        <v>1776</v>
      </c>
      <c r="D793" s="4"/>
      <c r="E793" s="4"/>
      <c r="F793" s="4" t="s">
        <v>22</v>
      </c>
      <c r="G793" s="6">
        <v>0.45</v>
      </c>
      <c r="H793" s="7" t="s">
        <v>1606</v>
      </c>
      <c r="I793" s="4" t="s">
        <v>1773</v>
      </c>
      <c r="J793" s="4" t="s">
        <v>1774</v>
      </c>
      <c r="K793" s="8"/>
      <c r="L793" s="8" t="s">
        <v>33</v>
      </c>
      <c r="M793" s="9">
        <f t="shared" si="1"/>
        <v>21</v>
      </c>
    </row>
    <row r="794" ht="12.75" customHeight="1">
      <c r="A794" s="4">
        <f t="shared" si="2"/>
        <v>793</v>
      </c>
      <c r="B794" s="4" t="s">
        <v>1777</v>
      </c>
      <c r="C794" s="5" t="s">
        <v>1778</v>
      </c>
      <c r="D794" s="4"/>
      <c r="E794" s="4"/>
      <c r="F794" s="4" t="s">
        <v>1779</v>
      </c>
      <c r="G794" s="6">
        <v>1.75</v>
      </c>
      <c r="H794" s="7" t="s">
        <v>1606</v>
      </c>
      <c r="I794" s="4" t="s">
        <v>1704</v>
      </c>
      <c r="J794" s="4" t="s">
        <v>1780</v>
      </c>
      <c r="K794" s="8"/>
      <c r="L794" s="8" t="s">
        <v>33</v>
      </c>
      <c r="M794" s="9">
        <f t="shared" si="1"/>
        <v>34</v>
      </c>
    </row>
    <row r="795" ht="12.75" customHeight="1">
      <c r="A795" s="4">
        <f t="shared" si="2"/>
        <v>794</v>
      </c>
      <c r="B795" s="4" t="s">
        <v>1781</v>
      </c>
      <c r="C795" s="5" t="s">
        <v>1782</v>
      </c>
      <c r="D795" s="4"/>
      <c r="E795" s="4"/>
      <c r="F795" s="4" t="s">
        <v>22</v>
      </c>
      <c r="G795" s="6">
        <v>1.9</v>
      </c>
      <c r="H795" s="7" t="s">
        <v>1606</v>
      </c>
      <c r="I795" s="4" t="s">
        <v>1704</v>
      </c>
      <c r="J795" s="4" t="s">
        <v>1780</v>
      </c>
      <c r="K795" s="8"/>
      <c r="L795" s="8" t="s">
        <v>33</v>
      </c>
      <c r="M795" s="9">
        <f t="shared" si="1"/>
        <v>34</v>
      </c>
    </row>
    <row r="796" ht="12.75" customHeight="1">
      <c r="A796" s="4">
        <f t="shared" si="2"/>
        <v>795</v>
      </c>
      <c r="B796" s="4" t="s">
        <v>1783</v>
      </c>
      <c r="C796" s="5" t="s">
        <v>1784</v>
      </c>
      <c r="D796" s="4"/>
      <c r="E796" s="4"/>
      <c r="F796" s="4" t="s">
        <v>1779</v>
      </c>
      <c r="G796" s="6">
        <v>2.1</v>
      </c>
      <c r="H796" s="7" t="s">
        <v>1606</v>
      </c>
      <c r="I796" s="4" t="s">
        <v>1704</v>
      </c>
      <c r="J796" s="4" t="s">
        <v>1780</v>
      </c>
      <c r="K796" s="8"/>
      <c r="L796" s="8" t="s">
        <v>33</v>
      </c>
      <c r="M796" s="9">
        <f t="shared" si="1"/>
        <v>33</v>
      </c>
    </row>
    <row r="797" ht="12.75" customHeight="1">
      <c r="A797" s="4">
        <f t="shared" si="2"/>
        <v>796</v>
      </c>
      <c r="B797" s="4" t="s">
        <v>1785</v>
      </c>
      <c r="C797" s="5" t="s">
        <v>1786</v>
      </c>
      <c r="D797" s="4"/>
      <c r="E797" s="4"/>
      <c r="F797" s="4" t="s">
        <v>1779</v>
      </c>
      <c r="G797" s="6">
        <v>1.89</v>
      </c>
      <c r="H797" s="7" t="s">
        <v>1606</v>
      </c>
      <c r="I797" s="4" t="s">
        <v>1704</v>
      </c>
      <c r="J797" s="4" t="s">
        <v>1780</v>
      </c>
      <c r="K797" s="8"/>
      <c r="L797" s="8" t="s">
        <v>33</v>
      </c>
      <c r="M797" s="9">
        <f t="shared" si="1"/>
        <v>30</v>
      </c>
    </row>
    <row r="798" ht="12.75" customHeight="1">
      <c r="A798" s="4">
        <f t="shared" si="2"/>
        <v>797</v>
      </c>
      <c r="B798" s="4" t="s">
        <v>1787</v>
      </c>
      <c r="C798" s="5" t="s">
        <v>1788</v>
      </c>
      <c r="D798" s="4"/>
      <c r="E798" s="4"/>
      <c r="F798" s="4" t="s">
        <v>1779</v>
      </c>
      <c r="G798" s="6">
        <v>1.89</v>
      </c>
      <c r="H798" s="7" t="s">
        <v>1606</v>
      </c>
      <c r="I798" s="4" t="s">
        <v>1704</v>
      </c>
      <c r="J798" s="4" t="s">
        <v>1780</v>
      </c>
      <c r="K798" s="8"/>
      <c r="L798" s="8" t="s">
        <v>33</v>
      </c>
      <c r="M798" s="9">
        <f t="shared" si="1"/>
        <v>30</v>
      </c>
    </row>
    <row r="799" ht="12.75" customHeight="1">
      <c r="A799" s="4">
        <f t="shared" si="2"/>
        <v>798</v>
      </c>
      <c r="B799" s="4" t="s">
        <v>1789</v>
      </c>
      <c r="C799" s="5" t="s">
        <v>1790</v>
      </c>
      <c r="D799" s="4"/>
      <c r="E799" s="4"/>
      <c r="F799" s="4" t="s">
        <v>1791</v>
      </c>
      <c r="G799" s="6">
        <v>18.92</v>
      </c>
      <c r="H799" s="7" t="s">
        <v>1606</v>
      </c>
      <c r="I799" s="4" t="s">
        <v>1704</v>
      </c>
      <c r="J799" s="4" t="s">
        <v>1780</v>
      </c>
      <c r="K799" s="8"/>
      <c r="L799" s="8" t="s">
        <v>33</v>
      </c>
      <c r="M799" s="9">
        <f t="shared" si="1"/>
        <v>23</v>
      </c>
    </row>
    <row r="800" ht="12.75" customHeight="1">
      <c r="A800" s="4">
        <f t="shared" si="2"/>
        <v>799</v>
      </c>
      <c r="B800" s="4" t="s">
        <v>1792</v>
      </c>
      <c r="C800" s="5" t="s">
        <v>1793</v>
      </c>
      <c r="D800" s="4"/>
      <c r="E800" s="4"/>
      <c r="F800" s="4" t="s">
        <v>1772</v>
      </c>
      <c r="G800" s="6">
        <v>46.49</v>
      </c>
      <c r="H800" s="7" t="s">
        <v>1606</v>
      </c>
      <c r="I800" s="4" t="s">
        <v>1794</v>
      </c>
      <c r="J800" s="4" t="s">
        <v>1795</v>
      </c>
      <c r="K800" s="8"/>
      <c r="L800" s="8" t="s">
        <v>33</v>
      </c>
      <c r="M800" s="9">
        <f t="shared" si="1"/>
        <v>48</v>
      </c>
    </row>
    <row r="801" ht="12.75" customHeight="1">
      <c r="A801" s="4">
        <f t="shared" si="2"/>
        <v>800</v>
      </c>
      <c r="B801" s="4" t="s">
        <v>1796</v>
      </c>
      <c r="C801" s="5" t="s">
        <v>1797</v>
      </c>
      <c r="D801" s="4"/>
      <c r="E801" s="4"/>
      <c r="F801" s="4" t="s">
        <v>22</v>
      </c>
      <c r="G801" s="6">
        <v>18.65</v>
      </c>
      <c r="H801" s="7" t="s">
        <v>1606</v>
      </c>
      <c r="I801" s="4" t="s">
        <v>1475</v>
      </c>
      <c r="J801" s="4" t="s">
        <v>1476</v>
      </c>
      <c r="K801" s="8"/>
      <c r="L801" s="8" t="s">
        <v>33</v>
      </c>
      <c r="M801" s="9">
        <f t="shared" si="1"/>
        <v>28</v>
      </c>
    </row>
    <row r="802" ht="12.75" customHeight="1">
      <c r="A802" s="4">
        <f t="shared" si="2"/>
        <v>801</v>
      </c>
      <c r="B802" s="4" t="s">
        <v>1798</v>
      </c>
      <c r="C802" s="5" t="s">
        <v>1799</v>
      </c>
      <c r="D802" s="4"/>
      <c r="E802" s="4"/>
      <c r="F802" s="4" t="s">
        <v>22</v>
      </c>
      <c r="G802" s="6">
        <v>8.11</v>
      </c>
      <c r="H802" s="7" t="s">
        <v>1606</v>
      </c>
      <c r="I802" s="4" t="s">
        <v>1800</v>
      </c>
      <c r="J802" s="4" t="s">
        <v>1801</v>
      </c>
      <c r="K802" s="8"/>
      <c r="L802" s="8" t="s">
        <v>33</v>
      </c>
      <c r="M802" s="9">
        <f t="shared" si="1"/>
        <v>38</v>
      </c>
    </row>
    <row r="803" ht="12.75" customHeight="1">
      <c r="A803" s="4">
        <f t="shared" si="2"/>
        <v>802</v>
      </c>
      <c r="B803" s="4" t="s">
        <v>1802</v>
      </c>
      <c r="C803" s="5" t="s">
        <v>1803</v>
      </c>
      <c r="D803" s="4"/>
      <c r="E803" s="4"/>
      <c r="F803" s="4" t="s">
        <v>22</v>
      </c>
      <c r="G803" s="6">
        <v>4.05</v>
      </c>
      <c r="H803" s="7" t="s">
        <v>1606</v>
      </c>
      <c r="I803" s="4" t="s">
        <v>1800</v>
      </c>
      <c r="J803" s="4" t="s">
        <v>1801</v>
      </c>
      <c r="K803" s="8"/>
      <c r="L803" s="8" t="s">
        <v>33</v>
      </c>
      <c r="M803" s="9">
        <f t="shared" si="1"/>
        <v>38</v>
      </c>
    </row>
    <row r="804" ht="12.75" customHeight="1">
      <c r="A804" s="4">
        <f t="shared" si="2"/>
        <v>803</v>
      </c>
      <c r="B804" s="4" t="s">
        <v>1804</v>
      </c>
      <c r="C804" s="5" t="s">
        <v>1805</v>
      </c>
      <c r="D804" s="4"/>
      <c r="E804" s="4"/>
      <c r="F804" s="4" t="s">
        <v>22</v>
      </c>
      <c r="G804" s="6">
        <v>1.89</v>
      </c>
      <c r="H804" s="7" t="s">
        <v>1606</v>
      </c>
      <c r="I804" s="4" t="s">
        <v>1475</v>
      </c>
      <c r="J804" s="4" t="s">
        <v>1476</v>
      </c>
      <c r="K804" s="8"/>
      <c r="L804" s="8" t="s">
        <v>33</v>
      </c>
      <c r="M804" s="9">
        <f t="shared" si="1"/>
        <v>37</v>
      </c>
    </row>
    <row r="805" ht="12.75" customHeight="1">
      <c r="A805" s="4">
        <f t="shared" si="2"/>
        <v>804</v>
      </c>
      <c r="B805" s="4" t="s">
        <v>1806</v>
      </c>
      <c r="C805" s="5" t="s">
        <v>1807</v>
      </c>
      <c r="D805" s="4"/>
      <c r="E805" s="4"/>
      <c r="F805" s="4" t="s">
        <v>22</v>
      </c>
      <c r="G805" s="6">
        <v>63.78</v>
      </c>
      <c r="H805" s="7" t="s">
        <v>1606</v>
      </c>
      <c r="I805" s="4" t="s">
        <v>1475</v>
      </c>
      <c r="J805" s="4" t="s">
        <v>1808</v>
      </c>
      <c r="K805" s="8"/>
      <c r="L805" s="8" t="s">
        <v>33</v>
      </c>
      <c r="M805" s="9">
        <f t="shared" si="1"/>
        <v>46</v>
      </c>
    </row>
    <row r="806" ht="12.75" customHeight="1">
      <c r="A806" s="4">
        <f t="shared" si="2"/>
        <v>805</v>
      </c>
      <c r="B806" s="4" t="s">
        <v>1809</v>
      </c>
      <c r="C806" s="5" t="s">
        <v>1810</v>
      </c>
      <c r="D806" s="4"/>
      <c r="E806" s="4"/>
      <c r="F806" s="4" t="s">
        <v>22</v>
      </c>
      <c r="G806" s="6">
        <v>40.56</v>
      </c>
      <c r="H806" s="7" t="s">
        <v>1606</v>
      </c>
      <c r="I806" s="4" t="s">
        <v>1697</v>
      </c>
      <c r="J806" s="4" t="s">
        <v>1811</v>
      </c>
      <c r="K806" s="8"/>
      <c r="L806" s="8" t="s">
        <v>739</v>
      </c>
      <c r="M806" s="9">
        <f t="shared" si="1"/>
        <v>34</v>
      </c>
    </row>
    <row r="807" ht="12.75" customHeight="1">
      <c r="A807" s="4">
        <f t="shared" si="2"/>
        <v>806</v>
      </c>
      <c r="B807" s="4" t="s">
        <v>1812</v>
      </c>
      <c r="C807" s="5" t="s">
        <v>1813</v>
      </c>
      <c r="D807" s="4"/>
      <c r="E807" s="4"/>
      <c r="F807" s="4" t="s">
        <v>22</v>
      </c>
      <c r="G807" s="6">
        <v>31.89</v>
      </c>
      <c r="H807" s="7" t="s">
        <v>1606</v>
      </c>
      <c r="I807" s="4" t="s">
        <v>1697</v>
      </c>
      <c r="J807" s="4" t="s">
        <v>1811</v>
      </c>
      <c r="K807" s="8"/>
      <c r="L807" s="8" t="s">
        <v>739</v>
      </c>
      <c r="M807" s="9">
        <f t="shared" si="1"/>
        <v>22</v>
      </c>
    </row>
    <row r="808" ht="12.75" customHeight="1">
      <c r="A808" s="4">
        <f t="shared" si="2"/>
        <v>807</v>
      </c>
      <c r="B808" s="4" t="s">
        <v>1814</v>
      </c>
      <c r="C808" s="5" t="s">
        <v>1815</v>
      </c>
      <c r="D808" s="4"/>
      <c r="E808" s="4"/>
      <c r="F808" s="4" t="s">
        <v>22</v>
      </c>
      <c r="G808" s="6">
        <v>26.4</v>
      </c>
      <c r="H808" s="7" t="s">
        <v>1606</v>
      </c>
      <c r="I808" s="4" t="s">
        <v>1816</v>
      </c>
      <c r="J808" s="4" t="s">
        <v>1817</v>
      </c>
      <c r="K808" s="8"/>
      <c r="L808" s="8" t="s">
        <v>33</v>
      </c>
      <c r="M808" s="9">
        <f t="shared" si="1"/>
        <v>34</v>
      </c>
    </row>
    <row r="809" ht="12.75" customHeight="1">
      <c r="A809" s="4">
        <f t="shared" si="2"/>
        <v>808</v>
      </c>
      <c r="B809" s="4" t="s">
        <v>1818</v>
      </c>
      <c r="C809" s="5" t="s">
        <v>1819</v>
      </c>
      <c r="D809" s="4"/>
      <c r="E809" s="4"/>
      <c r="F809" s="4" t="s">
        <v>22</v>
      </c>
      <c r="G809" s="6">
        <v>22.6</v>
      </c>
      <c r="H809" s="7" t="s">
        <v>1606</v>
      </c>
      <c r="I809" s="4" t="s">
        <v>1816</v>
      </c>
      <c r="J809" s="4" t="s">
        <v>1817</v>
      </c>
      <c r="K809" s="8"/>
      <c r="L809" s="8" t="s">
        <v>33</v>
      </c>
      <c r="M809" s="9">
        <f t="shared" si="1"/>
        <v>30</v>
      </c>
    </row>
    <row r="810" ht="12.75" customHeight="1">
      <c r="A810" s="4">
        <f t="shared" si="2"/>
        <v>809</v>
      </c>
      <c r="B810" s="4" t="s">
        <v>1820</v>
      </c>
      <c r="C810" s="5" t="s">
        <v>1821</v>
      </c>
      <c r="D810" s="4"/>
      <c r="E810" s="4"/>
      <c r="F810" s="4" t="s">
        <v>22</v>
      </c>
      <c r="G810" s="21">
        <v>31.33</v>
      </c>
      <c r="H810" s="7" t="s">
        <v>1606</v>
      </c>
      <c r="I810" s="4" t="s">
        <v>1816</v>
      </c>
      <c r="J810" s="4" t="s">
        <v>1817</v>
      </c>
      <c r="K810" s="8"/>
      <c r="L810" s="8" t="s">
        <v>33</v>
      </c>
      <c r="M810" s="9">
        <f t="shared" si="1"/>
        <v>30</v>
      </c>
    </row>
    <row r="811" ht="12.75" customHeight="1">
      <c r="A811" s="4">
        <f t="shared" si="2"/>
        <v>810</v>
      </c>
      <c r="B811" s="4" t="s">
        <v>1822</v>
      </c>
      <c r="C811" s="5" t="s">
        <v>1823</v>
      </c>
      <c r="D811" s="4"/>
      <c r="E811" s="4"/>
      <c r="F811" s="4" t="s">
        <v>22</v>
      </c>
      <c r="G811" s="6">
        <v>47.52</v>
      </c>
      <c r="H811" s="7" t="s">
        <v>1606</v>
      </c>
      <c r="I811" s="4" t="s">
        <v>1816</v>
      </c>
      <c r="J811" s="4" t="s">
        <v>1817</v>
      </c>
      <c r="K811" s="8"/>
      <c r="L811" s="8" t="s">
        <v>33</v>
      </c>
      <c r="M811" s="9">
        <f t="shared" si="1"/>
        <v>30</v>
      </c>
    </row>
    <row r="812" ht="12.75" customHeight="1">
      <c r="A812" s="4">
        <f t="shared" si="2"/>
        <v>811</v>
      </c>
      <c r="B812" s="4" t="s">
        <v>1824</v>
      </c>
      <c r="C812" s="5" t="s">
        <v>1825</v>
      </c>
      <c r="D812" s="4"/>
      <c r="E812" s="4"/>
      <c r="F812" s="4" t="s">
        <v>22</v>
      </c>
      <c r="G812" s="6">
        <v>64.71</v>
      </c>
      <c r="H812" s="7" t="s">
        <v>1606</v>
      </c>
      <c r="I812" s="4" t="s">
        <v>1816</v>
      </c>
      <c r="J812" s="4" t="s">
        <v>1817</v>
      </c>
      <c r="K812" s="8"/>
      <c r="L812" s="8" t="s">
        <v>33</v>
      </c>
      <c r="M812" s="9">
        <f t="shared" si="1"/>
        <v>30</v>
      </c>
    </row>
    <row r="813" ht="12.75" customHeight="1">
      <c r="A813" s="4">
        <f t="shared" si="2"/>
        <v>812</v>
      </c>
      <c r="B813" s="4" t="s">
        <v>1826</v>
      </c>
      <c r="C813" s="5" t="s">
        <v>1827</v>
      </c>
      <c r="D813" s="4"/>
      <c r="E813" s="4"/>
      <c r="F813" s="4" t="s">
        <v>22</v>
      </c>
      <c r="G813" s="6">
        <v>11.84</v>
      </c>
      <c r="H813" s="7" t="s">
        <v>1606</v>
      </c>
      <c r="I813" s="4" t="s">
        <v>1816</v>
      </c>
      <c r="J813" s="4" t="s">
        <v>1817</v>
      </c>
      <c r="K813" s="8"/>
      <c r="L813" s="8" t="s">
        <v>33</v>
      </c>
      <c r="M813" s="9">
        <f t="shared" si="1"/>
        <v>34</v>
      </c>
    </row>
    <row r="814" ht="12.75" customHeight="1">
      <c r="A814" s="4">
        <f t="shared" si="2"/>
        <v>813</v>
      </c>
      <c r="B814" s="4" t="s">
        <v>1828</v>
      </c>
      <c r="C814" s="5" t="s">
        <v>1829</v>
      </c>
      <c r="D814" s="4"/>
      <c r="E814" s="4"/>
      <c r="F814" s="4" t="s">
        <v>22</v>
      </c>
      <c r="G814" s="6">
        <v>8.92</v>
      </c>
      <c r="H814" s="7" t="s">
        <v>1606</v>
      </c>
      <c r="I814" s="4" t="s">
        <v>1816</v>
      </c>
      <c r="J814" s="4" t="s">
        <v>1817</v>
      </c>
      <c r="K814" s="8"/>
      <c r="L814" s="8" t="s">
        <v>33</v>
      </c>
      <c r="M814" s="9">
        <f t="shared" si="1"/>
        <v>30</v>
      </c>
    </row>
    <row r="815" ht="12.75" customHeight="1">
      <c r="A815" s="4">
        <f t="shared" si="2"/>
        <v>814</v>
      </c>
      <c r="B815" s="4" t="s">
        <v>1830</v>
      </c>
      <c r="C815" s="5" t="s">
        <v>1831</v>
      </c>
      <c r="D815" s="4"/>
      <c r="E815" s="4"/>
      <c r="F815" s="4" t="s">
        <v>22</v>
      </c>
      <c r="G815" s="6">
        <v>12.5</v>
      </c>
      <c r="H815" s="7" t="s">
        <v>1606</v>
      </c>
      <c r="I815" s="4" t="s">
        <v>1816</v>
      </c>
      <c r="J815" s="4" t="s">
        <v>1817</v>
      </c>
      <c r="K815" s="8"/>
      <c r="L815" s="8" t="s">
        <v>33</v>
      </c>
      <c r="M815" s="9">
        <f t="shared" si="1"/>
        <v>30</v>
      </c>
    </row>
    <row r="816" ht="12.75" customHeight="1">
      <c r="A816" s="4">
        <f t="shared" si="2"/>
        <v>815</v>
      </c>
      <c r="B816" s="4" t="s">
        <v>1832</v>
      </c>
      <c r="C816" s="5" t="s">
        <v>1833</v>
      </c>
      <c r="D816" s="4"/>
      <c r="E816" s="4"/>
      <c r="F816" s="4" t="s">
        <v>22</v>
      </c>
      <c r="G816" s="6">
        <v>13.66</v>
      </c>
      <c r="H816" s="7" t="s">
        <v>1606</v>
      </c>
      <c r="I816" s="4" t="s">
        <v>1816</v>
      </c>
      <c r="J816" s="4" t="s">
        <v>1817</v>
      </c>
      <c r="K816" s="8"/>
      <c r="L816" s="8" t="s">
        <v>33</v>
      </c>
      <c r="M816" s="9">
        <f t="shared" si="1"/>
        <v>30</v>
      </c>
    </row>
    <row r="817" ht="12.75" customHeight="1">
      <c r="A817" s="4">
        <f t="shared" si="2"/>
        <v>816</v>
      </c>
      <c r="B817" s="4" t="s">
        <v>1834</v>
      </c>
      <c r="C817" s="5" t="s">
        <v>1835</v>
      </c>
      <c r="D817" s="4"/>
      <c r="E817" s="4"/>
      <c r="F817" s="4" t="s">
        <v>22</v>
      </c>
      <c r="G817" s="6">
        <v>7.98</v>
      </c>
      <c r="H817" s="7" t="s">
        <v>1606</v>
      </c>
      <c r="I817" s="4" t="s">
        <v>1816</v>
      </c>
      <c r="J817" s="4" t="s">
        <v>1817</v>
      </c>
      <c r="K817" s="8"/>
      <c r="L817" s="8" t="s">
        <v>33</v>
      </c>
      <c r="M817" s="9">
        <f t="shared" si="1"/>
        <v>32</v>
      </c>
    </row>
    <row r="818" ht="12.75" customHeight="1">
      <c r="A818" s="4">
        <f t="shared" si="2"/>
        <v>817</v>
      </c>
      <c r="B818" s="4" t="s">
        <v>1836</v>
      </c>
      <c r="C818" s="5" t="s">
        <v>1837</v>
      </c>
      <c r="D818" s="4"/>
      <c r="E818" s="4"/>
      <c r="F818" s="4" t="s">
        <v>371</v>
      </c>
      <c r="G818" s="6">
        <v>16.5</v>
      </c>
      <c r="H818" s="7" t="s">
        <v>1606</v>
      </c>
      <c r="I818" s="4" t="s">
        <v>1574</v>
      </c>
      <c r="J818" s="4" t="s">
        <v>1758</v>
      </c>
      <c r="K818" s="8"/>
      <c r="L818" s="8" t="s">
        <v>33</v>
      </c>
      <c r="M818" s="9">
        <f t="shared" si="1"/>
        <v>30</v>
      </c>
    </row>
    <row r="819" ht="12.75" customHeight="1">
      <c r="A819" s="4">
        <f t="shared" si="2"/>
        <v>818</v>
      </c>
      <c r="B819" s="4" t="s">
        <v>1838</v>
      </c>
      <c r="C819" s="5" t="s">
        <v>1839</v>
      </c>
      <c r="D819" s="4"/>
      <c r="E819" s="4"/>
      <c r="F819" s="4" t="s">
        <v>22</v>
      </c>
      <c r="G819" s="6">
        <v>13.6</v>
      </c>
      <c r="H819" s="7" t="s">
        <v>1606</v>
      </c>
      <c r="I819" s="4" t="s">
        <v>1816</v>
      </c>
      <c r="J819" s="4" t="s">
        <v>1817</v>
      </c>
      <c r="K819" s="8"/>
      <c r="L819" s="8" t="s">
        <v>33</v>
      </c>
      <c r="M819" s="9">
        <f t="shared" si="1"/>
        <v>35</v>
      </c>
    </row>
    <row r="820" ht="12.75" customHeight="1">
      <c r="A820" s="4">
        <f t="shared" si="2"/>
        <v>819</v>
      </c>
      <c r="B820" s="4" t="s">
        <v>1840</v>
      </c>
      <c r="C820" s="5" t="s">
        <v>1841</v>
      </c>
      <c r="D820" s="4"/>
      <c r="E820" s="4"/>
      <c r="F820" s="4" t="s">
        <v>22</v>
      </c>
      <c r="G820" s="6">
        <v>12.5</v>
      </c>
      <c r="H820" s="7" t="s">
        <v>1606</v>
      </c>
      <c r="I820" s="4" t="s">
        <v>1816</v>
      </c>
      <c r="J820" s="4" t="s">
        <v>1817</v>
      </c>
      <c r="K820" s="8"/>
      <c r="L820" s="8" t="s">
        <v>33</v>
      </c>
      <c r="M820" s="9">
        <f t="shared" si="1"/>
        <v>31</v>
      </c>
    </row>
    <row r="821" ht="12.75" customHeight="1">
      <c r="A821" s="4">
        <f t="shared" si="2"/>
        <v>820</v>
      </c>
      <c r="B821" s="4" t="s">
        <v>1842</v>
      </c>
      <c r="C821" s="5" t="s">
        <v>1843</v>
      </c>
      <c r="D821" s="4"/>
      <c r="E821" s="4"/>
      <c r="F821" s="4" t="s">
        <v>22</v>
      </c>
      <c r="G821" s="6">
        <v>15.5</v>
      </c>
      <c r="H821" s="7" t="s">
        <v>1606</v>
      </c>
      <c r="I821" s="4" t="s">
        <v>1816</v>
      </c>
      <c r="J821" s="4" t="s">
        <v>1817</v>
      </c>
      <c r="K821" s="8"/>
      <c r="L821" s="8" t="s">
        <v>33</v>
      </c>
      <c r="M821" s="9">
        <f t="shared" si="1"/>
        <v>31</v>
      </c>
    </row>
    <row r="822" ht="12.75" customHeight="1">
      <c r="A822" s="4">
        <f t="shared" si="2"/>
        <v>821</v>
      </c>
      <c r="B822" s="4" t="s">
        <v>1844</v>
      </c>
      <c r="C822" s="5" t="s">
        <v>1845</v>
      </c>
      <c r="D822" s="4"/>
      <c r="E822" s="4"/>
      <c r="F822" s="4" t="s">
        <v>22</v>
      </c>
      <c r="G822" s="6">
        <v>29.57</v>
      </c>
      <c r="H822" s="7" t="s">
        <v>1606</v>
      </c>
      <c r="I822" s="4" t="s">
        <v>1816</v>
      </c>
      <c r="J822" s="4" t="s">
        <v>1817</v>
      </c>
      <c r="K822" s="8"/>
      <c r="L822" s="8" t="s">
        <v>33</v>
      </c>
      <c r="M822" s="9">
        <f t="shared" si="1"/>
        <v>31</v>
      </c>
    </row>
    <row r="823" ht="12.75" customHeight="1">
      <c r="A823" s="4">
        <f t="shared" si="2"/>
        <v>822</v>
      </c>
      <c r="B823" s="4" t="s">
        <v>1846</v>
      </c>
      <c r="C823" s="5" t="s">
        <v>1847</v>
      </c>
      <c r="D823" s="4"/>
      <c r="E823" s="4"/>
      <c r="F823" s="4" t="s">
        <v>22</v>
      </c>
      <c r="G823" s="6">
        <v>26.4</v>
      </c>
      <c r="H823" s="7" t="s">
        <v>1606</v>
      </c>
      <c r="I823" s="4" t="s">
        <v>1816</v>
      </c>
      <c r="J823" s="4" t="s">
        <v>1817</v>
      </c>
      <c r="K823" s="8"/>
      <c r="L823" s="8" t="s">
        <v>33</v>
      </c>
      <c r="M823" s="9">
        <f t="shared" si="1"/>
        <v>30</v>
      </c>
    </row>
    <row r="824" ht="12.75" customHeight="1">
      <c r="A824" s="4">
        <f t="shared" si="2"/>
        <v>823</v>
      </c>
      <c r="B824" s="4" t="s">
        <v>1848</v>
      </c>
      <c r="C824" s="5" t="s">
        <v>1849</v>
      </c>
      <c r="D824" s="4"/>
      <c r="E824" s="4"/>
      <c r="F824" s="4" t="s">
        <v>22</v>
      </c>
      <c r="G824" s="21">
        <v>36.85</v>
      </c>
      <c r="H824" s="7" t="s">
        <v>1606</v>
      </c>
      <c r="I824" s="4" t="s">
        <v>1816</v>
      </c>
      <c r="J824" s="4" t="s">
        <v>1817</v>
      </c>
      <c r="K824" s="8"/>
      <c r="L824" s="8" t="s">
        <v>33</v>
      </c>
      <c r="M824" s="9">
        <f t="shared" si="1"/>
        <v>30</v>
      </c>
    </row>
    <row r="825" ht="12.75" customHeight="1">
      <c r="A825" s="4">
        <f t="shared" si="2"/>
        <v>824</v>
      </c>
      <c r="B825" s="4" t="s">
        <v>1850</v>
      </c>
      <c r="C825" s="5" t="s">
        <v>1851</v>
      </c>
      <c r="D825" s="4"/>
      <c r="E825" s="4"/>
      <c r="F825" s="4" t="s">
        <v>22</v>
      </c>
      <c r="G825" s="6">
        <v>72.37</v>
      </c>
      <c r="H825" s="7" t="s">
        <v>1606</v>
      </c>
      <c r="I825" s="4" t="s">
        <v>1816</v>
      </c>
      <c r="J825" s="4" t="s">
        <v>1817</v>
      </c>
      <c r="K825" s="8"/>
      <c r="L825" s="8" t="s">
        <v>33</v>
      </c>
      <c r="M825" s="9">
        <f t="shared" si="1"/>
        <v>30</v>
      </c>
    </row>
    <row r="826" ht="12.75" customHeight="1">
      <c r="A826" s="4">
        <f t="shared" si="2"/>
        <v>825</v>
      </c>
      <c r="B826" s="4" t="s">
        <v>1852</v>
      </c>
      <c r="C826" s="5" t="s">
        <v>1853</v>
      </c>
      <c r="D826" s="4"/>
      <c r="E826" s="4"/>
      <c r="F826" s="4" t="s">
        <v>22</v>
      </c>
      <c r="G826" s="6">
        <v>91.54</v>
      </c>
      <c r="H826" s="7" t="s">
        <v>1606</v>
      </c>
      <c r="I826" s="4" t="s">
        <v>1816</v>
      </c>
      <c r="J826" s="4" t="s">
        <v>1817</v>
      </c>
      <c r="K826" s="8"/>
      <c r="L826" s="8" t="s">
        <v>33</v>
      </c>
      <c r="M826" s="9">
        <f t="shared" si="1"/>
        <v>30</v>
      </c>
    </row>
    <row r="827" ht="12.75" customHeight="1">
      <c r="A827" s="4">
        <f t="shared" si="2"/>
        <v>826</v>
      </c>
      <c r="B827" s="4" t="s">
        <v>1854</v>
      </c>
      <c r="C827" s="5" t="s">
        <v>1855</v>
      </c>
      <c r="D827" s="4"/>
      <c r="E827" s="4"/>
      <c r="F827" s="4" t="s">
        <v>22</v>
      </c>
      <c r="G827" s="6">
        <v>1.86</v>
      </c>
      <c r="H827" s="7" t="s">
        <v>1606</v>
      </c>
      <c r="I827" s="4" t="s">
        <v>1704</v>
      </c>
      <c r="J827" s="4" t="s">
        <v>1856</v>
      </c>
      <c r="K827" s="8"/>
      <c r="L827" s="8" t="s">
        <v>33</v>
      </c>
      <c r="M827" s="9">
        <f t="shared" si="1"/>
        <v>51</v>
      </c>
    </row>
    <row r="828" ht="12.75" customHeight="1">
      <c r="A828" s="4">
        <f t="shared" si="2"/>
        <v>827</v>
      </c>
      <c r="B828" s="4" t="s">
        <v>1857</v>
      </c>
      <c r="C828" s="5" t="s">
        <v>1858</v>
      </c>
      <c r="D828" s="4"/>
      <c r="E828" s="4"/>
      <c r="F828" s="4" t="s">
        <v>22</v>
      </c>
      <c r="G828" s="6">
        <v>3.4</v>
      </c>
      <c r="H828" s="7" t="s">
        <v>1606</v>
      </c>
      <c r="I828" s="4" t="s">
        <v>1607</v>
      </c>
      <c r="J828" s="4" t="s">
        <v>1608</v>
      </c>
      <c r="K828" s="8"/>
      <c r="L828" s="8" t="s">
        <v>33</v>
      </c>
      <c r="M828" s="9">
        <f t="shared" si="1"/>
        <v>33</v>
      </c>
    </row>
    <row r="829" ht="12.75" customHeight="1">
      <c r="A829" s="4">
        <f t="shared" si="2"/>
        <v>828</v>
      </c>
      <c r="B829" s="4" t="s">
        <v>1859</v>
      </c>
      <c r="C829" s="5" t="s">
        <v>1860</v>
      </c>
      <c r="D829" s="4"/>
      <c r="E829" s="4"/>
      <c r="F829" s="4" t="s">
        <v>22</v>
      </c>
      <c r="G829" s="6">
        <v>1.52</v>
      </c>
      <c r="H829" s="7" t="s">
        <v>1606</v>
      </c>
      <c r="I829" s="4" t="s">
        <v>1800</v>
      </c>
      <c r="J829" s="4" t="s">
        <v>1801</v>
      </c>
      <c r="K829" s="8"/>
      <c r="L829" s="8" t="s">
        <v>33</v>
      </c>
      <c r="M829" s="9">
        <f t="shared" si="1"/>
        <v>31</v>
      </c>
    </row>
    <row r="830" ht="12.75" customHeight="1">
      <c r="A830" s="4">
        <f t="shared" si="2"/>
        <v>829</v>
      </c>
      <c r="B830" s="4" t="s">
        <v>1861</v>
      </c>
      <c r="C830" s="5" t="s">
        <v>1862</v>
      </c>
      <c r="D830" s="4"/>
      <c r="E830" s="4"/>
      <c r="F830" s="4" t="s">
        <v>22</v>
      </c>
      <c r="G830" s="6">
        <v>0.81</v>
      </c>
      <c r="H830" s="7" t="s">
        <v>1606</v>
      </c>
      <c r="I830" s="4" t="s">
        <v>1800</v>
      </c>
      <c r="J830" s="4" t="s">
        <v>1801</v>
      </c>
      <c r="K830" s="8"/>
      <c r="L830" s="8" t="s">
        <v>33</v>
      </c>
      <c r="M830" s="9">
        <f t="shared" si="1"/>
        <v>32</v>
      </c>
    </row>
    <row r="831" ht="12.75" customHeight="1">
      <c r="A831" s="4">
        <f t="shared" si="2"/>
        <v>830</v>
      </c>
      <c r="B831" s="4" t="s">
        <v>1863</v>
      </c>
      <c r="C831" s="5" t="s">
        <v>1864</v>
      </c>
      <c r="D831" s="4"/>
      <c r="E831" s="4"/>
      <c r="F831" s="4" t="s">
        <v>22</v>
      </c>
      <c r="G831" s="6">
        <v>0.41</v>
      </c>
      <c r="H831" s="7" t="s">
        <v>1606</v>
      </c>
      <c r="I831" s="4" t="s">
        <v>1800</v>
      </c>
      <c r="J831" s="4" t="s">
        <v>1801</v>
      </c>
      <c r="K831" s="8"/>
      <c r="L831" s="8" t="s">
        <v>33</v>
      </c>
      <c r="M831" s="9">
        <f t="shared" si="1"/>
        <v>34</v>
      </c>
    </row>
    <row r="832" ht="12.75" customHeight="1">
      <c r="A832" s="4">
        <f t="shared" si="2"/>
        <v>831</v>
      </c>
      <c r="B832" s="4" t="s">
        <v>1865</v>
      </c>
      <c r="C832" s="5" t="s">
        <v>1866</v>
      </c>
      <c r="D832" s="4"/>
      <c r="E832" s="4"/>
      <c r="F832" s="4" t="s">
        <v>22</v>
      </c>
      <c r="G832" s="6">
        <v>1.16</v>
      </c>
      <c r="H832" s="7" t="s">
        <v>1606</v>
      </c>
      <c r="I832" s="4" t="s">
        <v>1800</v>
      </c>
      <c r="J832" s="4" t="s">
        <v>1801</v>
      </c>
      <c r="K832" s="8"/>
      <c r="L832" s="8" t="s">
        <v>33</v>
      </c>
      <c r="M832" s="9">
        <f t="shared" si="1"/>
        <v>34</v>
      </c>
    </row>
    <row r="833" ht="12.75" customHeight="1">
      <c r="A833" s="4">
        <f t="shared" si="2"/>
        <v>832</v>
      </c>
      <c r="B833" s="4" t="s">
        <v>1867</v>
      </c>
      <c r="C833" s="5" t="s">
        <v>1868</v>
      </c>
      <c r="D833" s="4"/>
      <c r="E833" s="4"/>
      <c r="F833" s="4" t="s">
        <v>22</v>
      </c>
      <c r="G833" s="6">
        <v>0.08</v>
      </c>
      <c r="H833" s="7" t="s">
        <v>1606</v>
      </c>
      <c r="I833" s="4" t="s">
        <v>1869</v>
      </c>
      <c r="J833" s="4" t="s">
        <v>1870</v>
      </c>
      <c r="K833" s="8"/>
      <c r="L833" s="8" t="s">
        <v>33</v>
      </c>
      <c r="M833" s="9">
        <f t="shared" si="1"/>
        <v>33</v>
      </c>
    </row>
    <row r="834" ht="12.75" customHeight="1">
      <c r="A834" s="4">
        <f t="shared" si="2"/>
        <v>833</v>
      </c>
      <c r="B834" s="4" t="s">
        <v>1871</v>
      </c>
      <c r="C834" s="5" t="s">
        <v>1872</v>
      </c>
      <c r="D834" s="4"/>
      <c r="E834" s="4"/>
      <c r="F834" s="4" t="s">
        <v>22</v>
      </c>
      <c r="G834" s="6">
        <v>0.06</v>
      </c>
      <c r="H834" s="7" t="s">
        <v>1606</v>
      </c>
      <c r="I834" s="4" t="s">
        <v>1869</v>
      </c>
      <c r="J834" s="4" t="s">
        <v>1870</v>
      </c>
      <c r="K834" s="8"/>
      <c r="L834" s="8" t="s">
        <v>33</v>
      </c>
      <c r="M834" s="9">
        <f t="shared" si="1"/>
        <v>35</v>
      </c>
    </row>
    <row r="835" ht="12.75" customHeight="1">
      <c r="A835" s="4">
        <f t="shared" si="2"/>
        <v>834</v>
      </c>
      <c r="B835" s="4" t="s">
        <v>1873</v>
      </c>
      <c r="C835" s="5" t="s">
        <v>1874</v>
      </c>
      <c r="D835" s="4"/>
      <c r="E835" s="4"/>
      <c r="F835" s="4" t="s">
        <v>22</v>
      </c>
      <c r="G835" s="6">
        <v>0.02</v>
      </c>
      <c r="H835" s="7" t="s">
        <v>1606</v>
      </c>
      <c r="I835" s="4" t="s">
        <v>1869</v>
      </c>
      <c r="J835" s="4" t="s">
        <v>1870</v>
      </c>
      <c r="K835" s="8"/>
      <c r="L835" s="8" t="s">
        <v>33</v>
      </c>
      <c r="M835" s="9">
        <f t="shared" si="1"/>
        <v>35</v>
      </c>
    </row>
    <row r="836" ht="12.75" customHeight="1">
      <c r="A836" s="4">
        <f t="shared" si="2"/>
        <v>835</v>
      </c>
      <c r="B836" s="4" t="s">
        <v>1875</v>
      </c>
      <c r="C836" s="5" t="s">
        <v>1876</v>
      </c>
      <c r="D836" s="4"/>
      <c r="E836" s="4"/>
      <c r="F836" s="4" t="s">
        <v>22</v>
      </c>
      <c r="G836" s="6">
        <v>0.01</v>
      </c>
      <c r="H836" s="7" t="s">
        <v>1606</v>
      </c>
      <c r="I836" s="4" t="s">
        <v>1869</v>
      </c>
      <c r="J836" s="4" t="s">
        <v>1870</v>
      </c>
      <c r="K836" s="8"/>
      <c r="L836" s="8" t="s">
        <v>33</v>
      </c>
      <c r="M836" s="9">
        <f t="shared" si="1"/>
        <v>35</v>
      </c>
    </row>
    <row r="837" ht="12.75" customHeight="1">
      <c r="A837" s="4">
        <f t="shared" si="2"/>
        <v>836</v>
      </c>
      <c r="B837" s="4" t="s">
        <v>1877</v>
      </c>
      <c r="C837" s="5" t="s">
        <v>1878</v>
      </c>
      <c r="D837" s="4"/>
      <c r="E837" s="4"/>
      <c r="F837" s="4" t="s">
        <v>22</v>
      </c>
      <c r="G837" s="6">
        <v>0.07</v>
      </c>
      <c r="H837" s="7" t="s">
        <v>1606</v>
      </c>
      <c r="I837" s="4" t="s">
        <v>1869</v>
      </c>
      <c r="J837" s="4" t="s">
        <v>1870</v>
      </c>
      <c r="K837" s="8"/>
      <c r="L837" s="8" t="s">
        <v>33</v>
      </c>
      <c r="M837" s="9">
        <f t="shared" si="1"/>
        <v>35</v>
      </c>
    </row>
    <row r="838" ht="12.75" customHeight="1">
      <c r="A838" s="4">
        <f t="shared" si="2"/>
        <v>837</v>
      </c>
      <c r="B838" s="4" t="s">
        <v>1879</v>
      </c>
      <c r="C838" s="5" t="s">
        <v>1880</v>
      </c>
      <c r="D838" s="4"/>
      <c r="E838" s="4"/>
      <c r="F838" s="4" t="s">
        <v>22</v>
      </c>
      <c r="G838" s="21">
        <v>0.05</v>
      </c>
      <c r="H838" s="7" t="s">
        <v>1606</v>
      </c>
      <c r="I838" s="4" t="s">
        <v>1869</v>
      </c>
      <c r="J838" s="4" t="s">
        <v>1870</v>
      </c>
      <c r="K838" s="8"/>
      <c r="L838" s="8" t="s">
        <v>33</v>
      </c>
      <c r="M838" s="9">
        <f t="shared" si="1"/>
        <v>35</v>
      </c>
    </row>
    <row r="839" ht="12.75" customHeight="1">
      <c r="A839" s="4">
        <f t="shared" si="2"/>
        <v>838</v>
      </c>
      <c r="B839" s="4" t="s">
        <v>1881</v>
      </c>
      <c r="C839" s="5" t="s">
        <v>1882</v>
      </c>
      <c r="D839" s="4"/>
      <c r="E839" s="4"/>
      <c r="F839" s="4" t="s">
        <v>22</v>
      </c>
      <c r="G839" s="6">
        <v>0.06</v>
      </c>
      <c r="H839" s="7" t="s">
        <v>1606</v>
      </c>
      <c r="I839" s="4" t="s">
        <v>1869</v>
      </c>
      <c r="J839" s="4" t="s">
        <v>1870</v>
      </c>
      <c r="K839" s="8"/>
      <c r="L839" s="8" t="s">
        <v>33</v>
      </c>
      <c r="M839" s="9">
        <f t="shared" si="1"/>
        <v>35</v>
      </c>
    </row>
    <row r="840" ht="12.75" customHeight="1">
      <c r="A840" s="4">
        <f t="shared" si="2"/>
        <v>839</v>
      </c>
      <c r="B840" s="4" t="s">
        <v>1883</v>
      </c>
      <c r="C840" s="5" t="s">
        <v>1884</v>
      </c>
      <c r="D840" s="4"/>
      <c r="E840" s="4"/>
      <c r="F840" s="4" t="s">
        <v>22</v>
      </c>
      <c r="G840" s="21">
        <v>0.07</v>
      </c>
      <c r="H840" s="7" t="s">
        <v>1606</v>
      </c>
      <c r="I840" s="4" t="s">
        <v>1869</v>
      </c>
      <c r="J840" s="4" t="s">
        <v>1870</v>
      </c>
      <c r="K840" s="8"/>
      <c r="L840" s="8" t="s">
        <v>33</v>
      </c>
      <c r="M840" s="9">
        <f t="shared" si="1"/>
        <v>35</v>
      </c>
    </row>
    <row r="841" ht="12.75" customHeight="1">
      <c r="A841" s="4">
        <f t="shared" si="2"/>
        <v>840</v>
      </c>
      <c r="B841" s="4" t="s">
        <v>1885</v>
      </c>
      <c r="C841" s="5" t="s">
        <v>1886</v>
      </c>
      <c r="D841" s="4"/>
      <c r="E841" s="4"/>
      <c r="F841" s="4" t="s">
        <v>22</v>
      </c>
      <c r="G841" s="6">
        <v>0.28</v>
      </c>
      <c r="H841" s="7" t="s">
        <v>1606</v>
      </c>
      <c r="I841" s="4" t="s">
        <v>1869</v>
      </c>
      <c r="J841" s="4" t="s">
        <v>1870</v>
      </c>
      <c r="K841" s="8"/>
      <c r="L841" s="8" t="s">
        <v>33</v>
      </c>
      <c r="M841" s="9">
        <f t="shared" si="1"/>
        <v>33</v>
      </c>
    </row>
    <row r="842" ht="12.75" customHeight="1">
      <c r="A842" s="4">
        <f t="shared" si="2"/>
        <v>841</v>
      </c>
      <c r="B842" s="4" t="s">
        <v>1887</v>
      </c>
      <c r="C842" s="5" t="s">
        <v>1888</v>
      </c>
      <c r="D842" s="4"/>
      <c r="E842" s="4"/>
      <c r="F842" s="4" t="s">
        <v>22</v>
      </c>
      <c r="G842" s="6">
        <v>0.09</v>
      </c>
      <c r="H842" s="7" t="s">
        <v>1606</v>
      </c>
      <c r="I842" s="4" t="s">
        <v>1869</v>
      </c>
      <c r="J842" s="4" t="s">
        <v>1870</v>
      </c>
      <c r="K842" s="8"/>
      <c r="L842" s="8" t="s">
        <v>33</v>
      </c>
      <c r="M842" s="9">
        <f t="shared" si="1"/>
        <v>35</v>
      </c>
    </row>
    <row r="843" ht="12.75" customHeight="1">
      <c r="A843" s="4">
        <f t="shared" si="2"/>
        <v>842</v>
      </c>
      <c r="B843" s="4" t="s">
        <v>1889</v>
      </c>
      <c r="C843" s="5" t="s">
        <v>1890</v>
      </c>
      <c r="D843" s="4"/>
      <c r="E843" s="4"/>
      <c r="F843" s="4" t="s">
        <v>22</v>
      </c>
      <c r="G843" s="21">
        <v>0.08</v>
      </c>
      <c r="H843" s="7" t="s">
        <v>1606</v>
      </c>
      <c r="I843" s="4" t="s">
        <v>1869</v>
      </c>
      <c r="J843" s="4" t="s">
        <v>1870</v>
      </c>
      <c r="K843" s="8"/>
      <c r="L843" s="8" t="s">
        <v>33</v>
      </c>
      <c r="M843" s="9">
        <f t="shared" si="1"/>
        <v>35</v>
      </c>
    </row>
    <row r="844" ht="12.75" customHeight="1">
      <c r="A844" s="4">
        <f t="shared" si="2"/>
        <v>843</v>
      </c>
      <c r="B844" s="4" t="s">
        <v>1891</v>
      </c>
      <c r="C844" s="5" t="s">
        <v>1892</v>
      </c>
      <c r="D844" s="4"/>
      <c r="E844" s="4"/>
      <c r="F844" s="4" t="s">
        <v>22</v>
      </c>
      <c r="G844" s="6">
        <v>0.05</v>
      </c>
      <c r="H844" s="7" t="s">
        <v>1606</v>
      </c>
      <c r="I844" s="4" t="s">
        <v>1869</v>
      </c>
      <c r="J844" s="4" t="s">
        <v>1870</v>
      </c>
      <c r="K844" s="8"/>
      <c r="L844" s="8" t="s">
        <v>33</v>
      </c>
      <c r="M844" s="9">
        <f t="shared" si="1"/>
        <v>35</v>
      </c>
    </row>
    <row r="845" ht="12.75" customHeight="1">
      <c r="A845" s="4">
        <f t="shared" si="2"/>
        <v>844</v>
      </c>
      <c r="B845" s="4" t="s">
        <v>1893</v>
      </c>
      <c r="C845" s="5" t="s">
        <v>1894</v>
      </c>
      <c r="D845" s="4"/>
      <c r="E845" s="4"/>
      <c r="F845" s="4" t="s">
        <v>22</v>
      </c>
      <c r="G845" s="21">
        <v>0.14</v>
      </c>
      <c r="H845" s="7" t="s">
        <v>1606</v>
      </c>
      <c r="I845" s="4" t="s">
        <v>1869</v>
      </c>
      <c r="J845" s="4" t="s">
        <v>1870</v>
      </c>
      <c r="K845" s="8"/>
      <c r="L845" s="8" t="s">
        <v>33</v>
      </c>
      <c r="M845" s="9">
        <f t="shared" si="1"/>
        <v>35</v>
      </c>
    </row>
    <row r="846" ht="12.75" customHeight="1">
      <c r="A846" s="4">
        <f t="shared" si="2"/>
        <v>845</v>
      </c>
      <c r="B846" s="4" t="s">
        <v>1895</v>
      </c>
      <c r="C846" s="5" t="s">
        <v>1896</v>
      </c>
      <c r="D846" s="4"/>
      <c r="E846" s="4"/>
      <c r="F846" s="4" t="s">
        <v>22</v>
      </c>
      <c r="G846" s="21">
        <v>0.06</v>
      </c>
      <c r="H846" s="7" t="s">
        <v>1606</v>
      </c>
      <c r="I846" s="4" t="s">
        <v>1869</v>
      </c>
      <c r="J846" s="4" t="s">
        <v>1870</v>
      </c>
      <c r="K846" s="8"/>
      <c r="L846" s="8" t="s">
        <v>33</v>
      </c>
      <c r="M846" s="9">
        <f t="shared" si="1"/>
        <v>35</v>
      </c>
    </row>
    <row r="847" ht="12.75" customHeight="1">
      <c r="A847" s="4">
        <f t="shared" si="2"/>
        <v>846</v>
      </c>
      <c r="B847" s="4" t="s">
        <v>1897</v>
      </c>
      <c r="C847" s="5" t="s">
        <v>1898</v>
      </c>
      <c r="D847" s="4"/>
      <c r="E847" s="4"/>
      <c r="F847" s="4" t="s">
        <v>22</v>
      </c>
      <c r="G847" s="6">
        <v>0.12</v>
      </c>
      <c r="H847" s="7" t="s">
        <v>1606</v>
      </c>
      <c r="I847" s="4" t="s">
        <v>1869</v>
      </c>
      <c r="J847" s="4" t="s">
        <v>1870</v>
      </c>
      <c r="K847" s="8"/>
      <c r="L847" s="8" t="s">
        <v>33</v>
      </c>
      <c r="M847" s="9">
        <f t="shared" si="1"/>
        <v>35</v>
      </c>
    </row>
    <row r="848" ht="12.75" customHeight="1">
      <c r="A848" s="4">
        <f t="shared" si="2"/>
        <v>847</v>
      </c>
      <c r="B848" s="4" t="s">
        <v>1899</v>
      </c>
      <c r="C848" s="5" t="s">
        <v>1900</v>
      </c>
      <c r="D848" s="4"/>
      <c r="E848" s="4"/>
      <c r="F848" s="4" t="s">
        <v>22</v>
      </c>
      <c r="G848" s="6">
        <v>0.22</v>
      </c>
      <c r="H848" s="7" t="s">
        <v>1606</v>
      </c>
      <c r="I848" s="4" t="s">
        <v>1869</v>
      </c>
      <c r="J848" s="4" t="s">
        <v>1870</v>
      </c>
      <c r="K848" s="8"/>
      <c r="L848" s="8" t="s">
        <v>33</v>
      </c>
      <c r="M848" s="9">
        <f t="shared" si="1"/>
        <v>35</v>
      </c>
    </row>
    <row r="849" ht="12.75" customHeight="1">
      <c r="A849" s="4">
        <f t="shared" si="2"/>
        <v>848</v>
      </c>
      <c r="B849" s="4" t="s">
        <v>1901</v>
      </c>
      <c r="C849" s="5" t="s">
        <v>1902</v>
      </c>
      <c r="D849" s="4"/>
      <c r="E849" s="4"/>
      <c r="F849" s="4" t="s">
        <v>22</v>
      </c>
      <c r="G849" s="6">
        <v>0.21</v>
      </c>
      <c r="H849" s="7" t="s">
        <v>1606</v>
      </c>
      <c r="I849" s="4" t="s">
        <v>1869</v>
      </c>
      <c r="J849" s="4" t="s">
        <v>1870</v>
      </c>
      <c r="K849" s="8"/>
      <c r="L849" s="8" t="s">
        <v>33</v>
      </c>
      <c r="M849" s="9">
        <f t="shared" si="1"/>
        <v>30</v>
      </c>
    </row>
    <row r="850" ht="12.75" customHeight="1">
      <c r="A850" s="4">
        <f t="shared" si="2"/>
        <v>849</v>
      </c>
      <c r="B850" s="4" t="s">
        <v>1903</v>
      </c>
      <c r="C850" s="5" t="s">
        <v>1904</v>
      </c>
      <c r="D850" s="4"/>
      <c r="E850" s="4"/>
      <c r="F850" s="4" t="s">
        <v>22</v>
      </c>
      <c r="G850" s="6">
        <v>0.1</v>
      </c>
      <c r="H850" s="7" t="s">
        <v>1606</v>
      </c>
      <c r="I850" s="4" t="s">
        <v>1869</v>
      </c>
      <c r="J850" s="4" t="s">
        <v>1870</v>
      </c>
      <c r="K850" s="8"/>
      <c r="L850" s="8" t="s">
        <v>33</v>
      </c>
      <c r="M850" s="9">
        <f t="shared" si="1"/>
        <v>32</v>
      </c>
    </row>
    <row r="851" ht="12.75" customHeight="1">
      <c r="A851" s="4">
        <f t="shared" si="2"/>
        <v>850</v>
      </c>
      <c r="B851" s="4" t="s">
        <v>1905</v>
      </c>
      <c r="C851" s="5" t="s">
        <v>1906</v>
      </c>
      <c r="D851" s="4"/>
      <c r="E851" s="4"/>
      <c r="F851" s="4" t="s">
        <v>22</v>
      </c>
      <c r="G851" s="6">
        <v>0.07</v>
      </c>
      <c r="H851" s="7" t="s">
        <v>1606</v>
      </c>
      <c r="I851" s="4" t="s">
        <v>1869</v>
      </c>
      <c r="J851" s="4" t="s">
        <v>1870</v>
      </c>
      <c r="K851" s="8"/>
      <c r="L851" s="8" t="s">
        <v>33</v>
      </c>
      <c r="M851" s="9">
        <f t="shared" si="1"/>
        <v>32</v>
      </c>
    </row>
    <row r="852" ht="12.75" customHeight="1">
      <c r="A852" s="4">
        <f t="shared" si="2"/>
        <v>851</v>
      </c>
      <c r="B852" s="4" t="s">
        <v>1907</v>
      </c>
      <c r="C852" s="5" t="s">
        <v>1908</v>
      </c>
      <c r="D852" s="4"/>
      <c r="E852" s="4"/>
      <c r="F852" s="4" t="s">
        <v>22</v>
      </c>
      <c r="G852" s="6">
        <v>0.04</v>
      </c>
      <c r="H852" s="7" t="s">
        <v>1606</v>
      </c>
      <c r="I852" s="4" t="s">
        <v>1869</v>
      </c>
      <c r="J852" s="4" t="s">
        <v>1870</v>
      </c>
      <c r="K852" s="8"/>
      <c r="L852" s="8" t="s">
        <v>33</v>
      </c>
      <c r="M852" s="9">
        <f t="shared" si="1"/>
        <v>32</v>
      </c>
    </row>
    <row r="853" ht="12.75" customHeight="1">
      <c r="A853" s="4">
        <f t="shared" si="2"/>
        <v>852</v>
      </c>
      <c r="B853" s="4" t="s">
        <v>1909</v>
      </c>
      <c r="C853" s="5" t="s">
        <v>1910</v>
      </c>
      <c r="D853" s="4"/>
      <c r="E853" s="4"/>
      <c r="F853" s="4" t="s">
        <v>22</v>
      </c>
      <c r="G853" s="6">
        <v>0.12</v>
      </c>
      <c r="H853" s="7" t="s">
        <v>1606</v>
      </c>
      <c r="I853" s="4" t="s">
        <v>1869</v>
      </c>
      <c r="J853" s="4" t="s">
        <v>1870</v>
      </c>
      <c r="K853" s="8"/>
      <c r="L853" s="8" t="s">
        <v>33</v>
      </c>
      <c r="M853" s="9">
        <f t="shared" si="1"/>
        <v>32</v>
      </c>
    </row>
    <row r="854" ht="12.75" customHeight="1">
      <c r="A854" s="4">
        <f t="shared" si="2"/>
        <v>853</v>
      </c>
      <c r="B854" s="4" t="s">
        <v>1911</v>
      </c>
      <c r="C854" s="5" t="s">
        <v>1912</v>
      </c>
      <c r="D854" s="4"/>
      <c r="E854" s="4"/>
      <c r="F854" s="4" t="s">
        <v>22</v>
      </c>
      <c r="G854" s="6">
        <v>0.05</v>
      </c>
      <c r="H854" s="7" t="s">
        <v>1606</v>
      </c>
      <c r="I854" s="4" t="s">
        <v>1869</v>
      </c>
      <c r="J854" s="4" t="s">
        <v>1870</v>
      </c>
      <c r="K854" s="8"/>
      <c r="L854" s="8" t="s">
        <v>33</v>
      </c>
      <c r="M854" s="9">
        <f t="shared" si="1"/>
        <v>32</v>
      </c>
    </row>
    <row r="855" ht="12.75" customHeight="1">
      <c r="A855" s="4">
        <f t="shared" si="2"/>
        <v>854</v>
      </c>
      <c r="B855" s="4" t="s">
        <v>1913</v>
      </c>
      <c r="C855" s="5" t="s">
        <v>1914</v>
      </c>
      <c r="D855" s="4"/>
      <c r="E855" s="4"/>
      <c r="F855" s="4" t="s">
        <v>22</v>
      </c>
      <c r="G855" s="6">
        <v>0.18</v>
      </c>
      <c r="H855" s="7" t="s">
        <v>1606</v>
      </c>
      <c r="I855" s="4" t="s">
        <v>1869</v>
      </c>
      <c r="J855" s="4" t="s">
        <v>1870</v>
      </c>
      <c r="K855" s="8"/>
      <c r="L855" s="8" t="s">
        <v>33</v>
      </c>
      <c r="M855" s="9">
        <f t="shared" si="1"/>
        <v>32</v>
      </c>
    </row>
    <row r="856" ht="12.75" customHeight="1">
      <c r="A856" s="4">
        <f t="shared" si="2"/>
        <v>855</v>
      </c>
      <c r="B856" s="4" t="s">
        <v>1915</v>
      </c>
      <c r="C856" s="5" t="s">
        <v>1916</v>
      </c>
      <c r="D856" s="4"/>
      <c r="E856" s="4"/>
      <c r="F856" s="4" t="s">
        <v>22</v>
      </c>
      <c r="G856" s="6">
        <v>0.2</v>
      </c>
      <c r="H856" s="7" t="s">
        <v>1606</v>
      </c>
      <c r="I856" s="4" t="s">
        <v>1869</v>
      </c>
      <c r="J856" s="4" t="s">
        <v>1870</v>
      </c>
      <c r="K856" s="8"/>
      <c r="L856" s="8" t="s">
        <v>33</v>
      </c>
      <c r="M856" s="9">
        <f t="shared" si="1"/>
        <v>32</v>
      </c>
    </row>
    <row r="857" ht="12.75" customHeight="1">
      <c r="A857" s="4">
        <f t="shared" si="2"/>
        <v>856</v>
      </c>
      <c r="B857" s="4" t="s">
        <v>1917</v>
      </c>
      <c r="C857" s="5" t="s">
        <v>1918</v>
      </c>
      <c r="D857" s="4"/>
      <c r="E857" s="4"/>
      <c r="F857" s="4" t="s">
        <v>22</v>
      </c>
      <c r="G857" s="6">
        <v>0.08</v>
      </c>
      <c r="H857" s="7" t="s">
        <v>1606</v>
      </c>
      <c r="I857" s="4" t="s">
        <v>1869</v>
      </c>
      <c r="J857" s="4" t="s">
        <v>1870</v>
      </c>
      <c r="K857" s="8"/>
      <c r="L857" s="8" t="s">
        <v>33</v>
      </c>
      <c r="M857" s="9">
        <f t="shared" si="1"/>
        <v>33</v>
      </c>
    </row>
    <row r="858" ht="12.75" customHeight="1">
      <c r="A858" s="4">
        <f t="shared" si="2"/>
        <v>857</v>
      </c>
      <c r="B858" s="4" t="s">
        <v>1919</v>
      </c>
      <c r="C858" s="5" t="s">
        <v>1920</v>
      </c>
      <c r="D858" s="4"/>
      <c r="E858" s="4"/>
      <c r="F858" s="4" t="s">
        <v>22</v>
      </c>
      <c r="G858" s="6">
        <v>0.06</v>
      </c>
      <c r="H858" s="7" t="s">
        <v>1606</v>
      </c>
      <c r="I858" s="4" t="s">
        <v>1869</v>
      </c>
      <c r="J858" s="4" t="s">
        <v>1870</v>
      </c>
      <c r="K858" s="8"/>
      <c r="L858" s="8" t="s">
        <v>33</v>
      </c>
      <c r="M858" s="9">
        <f t="shared" si="1"/>
        <v>35</v>
      </c>
    </row>
    <row r="859" ht="12.75" customHeight="1">
      <c r="A859" s="4">
        <f t="shared" si="2"/>
        <v>858</v>
      </c>
      <c r="B859" s="4" t="s">
        <v>1921</v>
      </c>
      <c r="C859" s="5" t="s">
        <v>1922</v>
      </c>
      <c r="D859" s="4"/>
      <c r="E859" s="4"/>
      <c r="F859" s="4" t="s">
        <v>22</v>
      </c>
      <c r="G859" s="6">
        <v>0.02</v>
      </c>
      <c r="H859" s="7" t="s">
        <v>1606</v>
      </c>
      <c r="I859" s="4" t="s">
        <v>1869</v>
      </c>
      <c r="J859" s="4" t="s">
        <v>1870</v>
      </c>
      <c r="K859" s="8"/>
      <c r="L859" s="8" t="s">
        <v>33</v>
      </c>
      <c r="M859" s="9">
        <f t="shared" si="1"/>
        <v>35</v>
      </c>
    </row>
    <row r="860" ht="12.75" customHeight="1">
      <c r="A860" s="4">
        <f t="shared" si="2"/>
        <v>859</v>
      </c>
      <c r="B860" s="4" t="s">
        <v>1923</v>
      </c>
      <c r="C860" s="5" t="s">
        <v>1924</v>
      </c>
      <c r="D860" s="4"/>
      <c r="E860" s="4"/>
      <c r="F860" s="4" t="s">
        <v>22</v>
      </c>
      <c r="G860" s="6">
        <v>0.01</v>
      </c>
      <c r="H860" s="7" t="s">
        <v>1606</v>
      </c>
      <c r="I860" s="4" t="s">
        <v>1869</v>
      </c>
      <c r="J860" s="4" t="s">
        <v>1870</v>
      </c>
      <c r="K860" s="8"/>
      <c r="L860" s="8" t="s">
        <v>33</v>
      </c>
      <c r="M860" s="9">
        <f t="shared" si="1"/>
        <v>35</v>
      </c>
    </row>
    <row r="861" ht="12.75" customHeight="1">
      <c r="A861" s="4">
        <f t="shared" si="2"/>
        <v>860</v>
      </c>
      <c r="B861" s="4" t="s">
        <v>1925</v>
      </c>
      <c r="C861" s="5" t="s">
        <v>1926</v>
      </c>
      <c r="D861" s="4"/>
      <c r="E861" s="4"/>
      <c r="F861" s="4" t="s">
        <v>22</v>
      </c>
      <c r="G861" s="6">
        <v>0.07</v>
      </c>
      <c r="H861" s="7" t="s">
        <v>1606</v>
      </c>
      <c r="I861" s="4" t="s">
        <v>1869</v>
      </c>
      <c r="J861" s="4" t="s">
        <v>1870</v>
      </c>
      <c r="K861" s="8"/>
      <c r="L861" s="8" t="s">
        <v>33</v>
      </c>
      <c r="M861" s="9">
        <f t="shared" si="1"/>
        <v>35</v>
      </c>
    </row>
    <row r="862" ht="12.75" customHeight="1">
      <c r="A862" s="4">
        <f t="shared" si="2"/>
        <v>861</v>
      </c>
      <c r="B862" s="4" t="s">
        <v>1927</v>
      </c>
      <c r="C862" s="5" t="s">
        <v>1928</v>
      </c>
      <c r="D862" s="4"/>
      <c r="E862" s="4"/>
      <c r="F862" s="4" t="s">
        <v>22</v>
      </c>
      <c r="G862" s="21">
        <v>0.05</v>
      </c>
      <c r="H862" s="7" t="s">
        <v>1606</v>
      </c>
      <c r="I862" s="4" t="s">
        <v>1869</v>
      </c>
      <c r="J862" s="4" t="s">
        <v>1870</v>
      </c>
      <c r="K862" s="8"/>
      <c r="L862" s="8" t="s">
        <v>33</v>
      </c>
      <c r="M862" s="9">
        <f t="shared" si="1"/>
        <v>35</v>
      </c>
    </row>
    <row r="863" ht="12.75" customHeight="1">
      <c r="A863" s="4">
        <f t="shared" si="2"/>
        <v>862</v>
      </c>
      <c r="B863" s="4" t="s">
        <v>1929</v>
      </c>
      <c r="C863" s="5" t="s">
        <v>1930</v>
      </c>
      <c r="D863" s="4"/>
      <c r="E863" s="4"/>
      <c r="F863" s="4" t="s">
        <v>22</v>
      </c>
      <c r="G863" s="6">
        <v>0.06</v>
      </c>
      <c r="H863" s="7" t="s">
        <v>1606</v>
      </c>
      <c r="I863" s="4" t="s">
        <v>1869</v>
      </c>
      <c r="J863" s="4" t="s">
        <v>1870</v>
      </c>
      <c r="K863" s="8"/>
      <c r="L863" s="8" t="s">
        <v>33</v>
      </c>
      <c r="M863" s="9">
        <f t="shared" si="1"/>
        <v>35</v>
      </c>
    </row>
    <row r="864" ht="12.75" customHeight="1">
      <c r="A864" s="4">
        <f t="shared" si="2"/>
        <v>863</v>
      </c>
      <c r="B864" s="4" t="s">
        <v>1931</v>
      </c>
      <c r="C864" s="5" t="s">
        <v>1932</v>
      </c>
      <c r="D864" s="4"/>
      <c r="E864" s="4"/>
      <c r="F864" s="4" t="s">
        <v>22</v>
      </c>
      <c r="G864" s="6">
        <v>0.07</v>
      </c>
      <c r="H864" s="7" t="s">
        <v>1606</v>
      </c>
      <c r="I864" s="4" t="s">
        <v>1869</v>
      </c>
      <c r="J864" s="4" t="s">
        <v>1870</v>
      </c>
      <c r="K864" s="8"/>
      <c r="L864" s="8" t="s">
        <v>33</v>
      </c>
      <c r="M864" s="9">
        <f t="shared" si="1"/>
        <v>35</v>
      </c>
    </row>
    <row r="865" ht="12.75" customHeight="1">
      <c r="A865" s="4">
        <f t="shared" si="2"/>
        <v>864</v>
      </c>
      <c r="B865" s="4" t="s">
        <v>1933</v>
      </c>
      <c r="C865" s="5" t="s">
        <v>1934</v>
      </c>
      <c r="D865" s="4"/>
      <c r="E865" s="4"/>
      <c r="F865" s="4" t="s">
        <v>22</v>
      </c>
      <c r="G865" s="6">
        <v>0.08</v>
      </c>
      <c r="H865" s="7" t="s">
        <v>1606</v>
      </c>
      <c r="I865" s="4" t="s">
        <v>1869</v>
      </c>
      <c r="J865" s="4" t="s">
        <v>1870</v>
      </c>
      <c r="K865" s="8"/>
      <c r="L865" s="8" t="s">
        <v>33</v>
      </c>
      <c r="M865" s="9">
        <f t="shared" si="1"/>
        <v>36</v>
      </c>
    </row>
    <row r="866" ht="12.75" customHeight="1">
      <c r="A866" s="4">
        <f t="shared" si="2"/>
        <v>865</v>
      </c>
      <c r="B866" s="4" t="s">
        <v>1935</v>
      </c>
      <c r="C866" s="5" t="s">
        <v>1936</v>
      </c>
      <c r="D866" s="4"/>
      <c r="E866" s="4"/>
      <c r="F866" s="4" t="s">
        <v>22</v>
      </c>
      <c r="G866" s="6">
        <v>0.06</v>
      </c>
      <c r="H866" s="7" t="s">
        <v>1606</v>
      </c>
      <c r="I866" s="4" t="s">
        <v>1869</v>
      </c>
      <c r="J866" s="4" t="s">
        <v>1870</v>
      </c>
      <c r="K866" s="8"/>
      <c r="L866" s="8" t="s">
        <v>33</v>
      </c>
      <c r="M866" s="9">
        <f t="shared" si="1"/>
        <v>38</v>
      </c>
    </row>
    <row r="867" ht="12.75" customHeight="1">
      <c r="A867" s="4">
        <f t="shared" si="2"/>
        <v>866</v>
      </c>
      <c r="B867" s="4" t="s">
        <v>1937</v>
      </c>
      <c r="C867" s="5" t="s">
        <v>1938</v>
      </c>
      <c r="D867" s="4"/>
      <c r="E867" s="4"/>
      <c r="F867" s="4" t="s">
        <v>22</v>
      </c>
      <c r="G867" s="6">
        <v>0.02</v>
      </c>
      <c r="H867" s="7" t="s">
        <v>1606</v>
      </c>
      <c r="I867" s="4" t="s">
        <v>1869</v>
      </c>
      <c r="J867" s="4" t="s">
        <v>1870</v>
      </c>
      <c r="K867" s="8"/>
      <c r="L867" s="8" t="s">
        <v>33</v>
      </c>
      <c r="M867" s="9">
        <f t="shared" si="1"/>
        <v>38</v>
      </c>
    </row>
    <row r="868" ht="12.75" customHeight="1">
      <c r="A868" s="4">
        <f t="shared" si="2"/>
        <v>867</v>
      </c>
      <c r="B868" s="4" t="s">
        <v>1939</v>
      </c>
      <c r="C868" s="5" t="s">
        <v>1940</v>
      </c>
      <c r="D868" s="4"/>
      <c r="E868" s="4"/>
      <c r="F868" s="4" t="s">
        <v>22</v>
      </c>
      <c r="G868" s="6">
        <v>0.01</v>
      </c>
      <c r="H868" s="7" t="s">
        <v>1606</v>
      </c>
      <c r="I868" s="4" t="s">
        <v>1869</v>
      </c>
      <c r="J868" s="4" t="s">
        <v>1870</v>
      </c>
      <c r="K868" s="8"/>
      <c r="L868" s="8" t="s">
        <v>33</v>
      </c>
      <c r="M868" s="9">
        <f t="shared" si="1"/>
        <v>38</v>
      </c>
    </row>
    <row r="869" ht="12.75" customHeight="1">
      <c r="A869" s="4">
        <f t="shared" si="2"/>
        <v>868</v>
      </c>
      <c r="B869" s="4" t="s">
        <v>1941</v>
      </c>
      <c r="C869" s="5" t="s">
        <v>1942</v>
      </c>
      <c r="D869" s="4"/>
      <c r="E869" s="4"/>
      <c r="F869" s="4" t="s">
        <v>22</v>
      </c>
      <c r="G869" s="6">
        <v>0.07</v>
      </c>
      <c r="H869" s="7" t="s">
        <v>1606</v>
      </c>
      <c r="I869" s="4" t="s">
        <v>1869</v>
      </c>
      <c r="J869" s="4" t="s">
        <v>1870</v>
      </c>
      <c r="K869" s="8"/>
      <c r="L869" s="8" t="s">
        <v>33</v>
      </c>
      <c r="M869" s="9">
        <f t="shared" si="1"/>
        <v>38</v>
      </c>
    </row>
    <row r="870" ht="12.75" customHeight="1">
      <c r="A870" s="4">
        <f t="shared" si="2"/>
        <v>869</v>
      </c>
      <c r="B870" s="4" t="s">
        <v>1943</v>
      </c>
      <c r="C870" s="5" t="s">
        <v>1944</v>
      </c>
      <c r="D870" s="4"/>
      <c r="E870" s="4"/>
      <c r="F870" s="4" t="s">
        <v>22</v>
      </c>
      <c r="G870" s="21">
        <v>0.05</v>
      </c>
      <c r="H870" s="7" t="s">
        <v>1606</v>
      </c>
      <c r="I870" s="4" t="s">
        <v>1869</v>
      </c>
      <c r="J870" s="4" t="s">
        <v>1870</v>
      </c>
      <c r="K870" s="8"/>
      <c r="L870" s="8" t="s">
        <v>33</v>
      </c>
      <c r="M870" s="9">
        <f t="shared" si="1"/>
        <v>38</v>
      </c>
    </row>
    <row r="871" ht="12.75" customHeight="1">
      <c r="A871" s="4">
        <f t="shared" si="2"/>
        <v>870</v>
      </c>
      <c r="B871" s="4" t="s">
        <v>1945</v>
      </c>
      <c r="C871" s="5" t="s">
        <v>1946</v>
      </c>
      <c r="D871" s="4"/>
      <c r="E871" s="4"/>
      <c r="F871" s="4" t="s">
        <v>22</v>
      </c>
      <c r="G871" s="6">
        <v>0.06</v>
      </c>
      <c r="H871" s="7" t="s">
        <v>1606</v>
      </c>
      <c r="I871" s="4" t="s">
        <v>1869</v>
      </c>
      <c r="J871" s="4" t="s">
        <v>1870</v>
      </c>
      <c r="K871" s="8"/>
      <c r="L871" s="8" t="s">
        <v>33</v>
      </c>
      <c r="M871" s="9">
        <f t="shared" si="1"/>
        <v>38</v>
      </c>
    </row>
    <row r="872" ht="12.75" customHeight="1">
      <c r="A872" s="4">
        <f t="shared" si="2"/>
        <v>871</v>
      </c>
      <c r="B872" s="4" t="s">
        <v>1947</v>
      </c>
      <c r="C872" s="5" t="s">
        <v>1948</v>
      </c>
      <c r="D872" s="4"/>
      <c r="E872" s="4"/>
      <c r="F872" s="4" t="s">
        <v>22</v>
      </c>
      <c r="G872" s="21">
        <v>0.07</v>
      </c>
      <c r="H872" s="7" t="s">
        <v>1606</v>
      </c>
      <c r="I872" s="4" t="s">
        <v>1869</v>
      </c>
      <c r="J872" s="4" t="s">
        <v>1870</v>
      </c>
      <c r="K872" s="8"/>
      <c r="L872" s="8" t="s">
        <v>33</v>
      </c>
      <c r="M872" s="9">
        <f t="shared" si="1"/>
        <v>38</v>
      </c>
    </row>
    <row r="873" ht="12.75" customHeight="1">
      <c r="A873" s="4">
        <f t="shared" si="2"/>
        <v>872</v>
      </c>
      <c r="B873" s="4" t="s">
        <v>1949</v>
      </c>
      <c r="C873" s="5" t="s">
        <v>1950</v>
      </c>
      <c r="D873" s="4"/>
      <c r="E873" s="4"/>
      <c r="F873" s="4" t="s">
        <v>22</v>
      </c>
      <c r="G873" s="6">
        <v>0.28</v>
      </c>
      <c r="H873" s="7" t="s">
        <v>1606</v>
      </c>
      <c r="I873" s="4" t="s">
        <v>1869</v>
      </c>
      <c r="J873" s="4" t="s">
        <v>1870</v>
      </c>
      <c r="K873" s="8"/>
      <c r="L873" s="8" t="s">
        <v>33</v>
      </c>
      <c r="M873" s="9">
        <f t="shared" si="1"/>
        <v>36</v>
      </c>
    </row>
    <row r="874" ht="12.75" customHeight="1">
      <c r="A874" s="4">
        <f t="shared" si="2"/>
        <v>873</v>
      </c>
      <c r="B874" s="4" t="s">
        <v>1951</v>
      </c>
      <c r="C874" s="5" t="s">
        <v>1952</v>
      </c>
      <c r="D874" s="4"/>
      <c r="E874" s="4"/>
      <c r="F874" s="4" t="s">
        <v>22</v>
      </c>
      <c r="G874" s="6">
        <v>0.09</v>
      </c>
      <c r="H874" s="7" t="s">
        <v>1606</v>
      </c>
      <c r="I874" s="4" t="s">
        <v>1869</v>
      </c>
      <c r="J874" s="4" t="s">
        <v>1870</v>
      </c>
      <c r="K874" s="8"/>
      <c r="L874" s="8" t="s">
        <v>33</v>
      </c>
      <c r="M874" s="9">
        <f t="shared" si="1"/>
        <v>38</v>
      </c>
    </row>
    <row r="875" ht="12.75" customHeight="1">
      <c r="A875" s="4">
        <f t="shared" si="2"/>
        <v>874</v>
      </c>
      <c r="B875" s="4" t="s">
        <v>1953</v>
      </c>
      <c r="C875" s="5" t="s">
        <v>1954</v>
      </c>
      <c r="D875" s="4"/>
      <c r="E875" s="4"/>
      <c r="F875" s="4" t="s">
        <v>22</v>
      </c>
      <c r="G875" s="21">
        <v>0.08</v>
      </c>
      <c r="H875" s="7" t="s">
        <v>1606</v>
      </c>
      <c r="I875" s="4" t="s">
        <v>1869</v>
      </c>
      <c r="J875" s="4" t="s">
        <v>1870</v>
      </c>
      <c r="K875" s="8"/>
      <c r="L875" s="8" t="s">
        <v>33</v>
      </c>
      <c r="M875" s="9">
        <f t="shared" si="1"/>
        <v>38</v>
      </c>
    </row>
    <row r="876" ht="12.75" customHeight="1">
      <c r="A876" s="4">
        <f t="shared" si="2"/>
        <v>875</v>
      </c>
      <c r="B876" s="4" t="s">
        <v>1955</v>
      </c>
      <c r="C876" s="5" t="s">
        <v>1956</v>
      </c>
      <c r="D876" s="4"/>
      <c r="E876" s="4"/>
      <c r="F876" s="4" t="s">
        <v>22</v>
      </c>
      <c r="G876" s="6">
        <v>0.05</v>
      </c>
      <c r="H876" s="7" t="s">
        <v>1606</v>
      </c>
      <c r="I876" s="4" t="s">
        <v>1869</v>
      </c>
      <c r="J876" s="4" t="s">
        <v>1870</v>
      </c>
      <c r="K876" s="8"/>
      <c r="L876" s="8" t="s">
        <v>33</v>
      </c>
      <c r="M876" s="9">
        <f t="shared" si="1"/>
        <v>38</v>
      </c>
    </row>
    <row r="877" ht="12.75" customHeight="1">
      <c r="A877" s="4">
        <f t="shared" si="2"/>
        <v>876</v>
      </c>
      <c r="B877" s="4" t="s">
        <v>1957</v>
      </c>
      <c r="C877" s="5" t="s">
        <v>1958</v>
      </c>
      <c r="D877" s="4"/>
      <c r="E877" s="4"/>
      <c r="F877" s="4" t="s">
        <v>22</v>
      </c>
      <c r="G877" s="21">
        <v>0.14</v>
      </c>
      <c r="H877" s="7" t="s">
        <v>1606</v>
      </c>
      <c r="I877" s="4" t="s">
        <v>1869</v>
      </c>
      <c r="J877" s="4" t="s">
        <v>1870</v>
      </c>
      <c r="K877" s="8"/>
      <c r="L877" s="8" t="s">
        <v>33</v>
      </c>
      <c r="M877" s="9">
        <f t="shared" si="1"/>
        <v>38</v>
      </c>
    </row>
    <row r="878" ht="12.75" customHeight="1">
      <c r="A878" s="4">
        <f t="shared" si="2"/>
        <v>877</v>
      </c>
      <c r="B878" s="4" t="s">
        <v>1959</v>
      </c>
      <c r="C878" s="5" t="s">
        <v>1960</v>
      </c>
      <c r="D878" s="4"/>
      <c r="E878" s="4"/>
      <c r="F878" s="4" t="s">
        <v>22</v>
      </c>
      <c r="G878" s="21">
        <v>0.06</v>
      </c>
      <c r="H878" s="7" t="s">
        <v>1606</v>
      </c>
      <c r="I878" s="4" t="s">
        <v>1869</v>
      </c>
      <c r="J878" s="4" t="s">
        <v>1870</v>
      </c>
      <c r="K878" s="8"/>
      <c r="L878" s="8" t="s">
        <v>33</v>
      </c>
      <c r="M878" s="9">
        <f t="shared" si="1"/>
        <v>38</v>
      </c>
    </row>
    <row r="879" ht="12.75" customHeight="1">
      <c r="A879" s="4">
        <f t="shared" si="2"/>
        <v>878</v>
      </c>
      <c r="B879" s="4" t="s">
        <v>1961</v>
      </c>
      <c r="C879" s="5" t="s">
        <v>1962</v>
      </c>
      <c r="D879" s="4"/>
      <c r="E879" s="4"/>
      <c r="F879" s="4" t="s">
        <v>22</v>
      </c>
      <c r="G879" s="6">
        <v>0.12</v>
      </c>
      <c r="H879" s="7" t="s">
        <v>1606</v>
      </c>
      <c r="I879" s="4" t="s">
        <v>1869</v>
      </c>
      <c r="J879" s="4" t="s">
        <v>1870</v>
      </c>
      <c r="K879" s="8"/>
      <c r="L879" s="8" t="s">
        <v>33</v>
      </c>
      <c r="M879" s="9">
        <f t="shared" si="1"/>
        <v>38</v>
      </c>
    </row>
    <row r="880" ht="12.75" customHeight="1">
      <c r="A880" s="4">
        <f t="shared" si="2"/>
        <v>879</v>
      </c>
      <c r="B880" s="4" t="s">
        <v>1963</v>
      </c>
      <c r="C880" s="5" t="s">
        <v>1964</v>
      </c>
      <c r="D880" s="4"/>
      <c r="E880" s="4"/>
      <c r="F880" s="4" t="s">
        <v>22</v>
      </c>
      <c r="G880" s="6">
        <v>0.22</v>
      </c>
      <c r="H880" s="7" t="s">
        <v>1606</v>
      </c>
      <c r="I880" s="4" t="s">
        <v>1869</v>
      </c>
      <c r="J880" s="4" t="s">
        <v>1870</v>
      </c>
      <c r="K880" s="8"/>
      <c r="L880" s="8" t="s">
        <v>33</v>
      </c>
      <c r="M880" s="9">
        <f t="shared" si="1"/>
        <v>38</v>
      </c>
    </row>
    <row r="881" ht="12.75" customHeight="1">
      <c r="A881" s="4">
        <f t="shared" si="2"/>
        <v>880</v>
      </c>
      <c r="B881" s="4" t="s">
        <v>1965</v>
      </c>
      <c r="C881" s="5" t="s">
        <v>1966</v>
      </c>
      <c r="D881" s="4"/>
      <c r="E881" s="4"/>
      <c r="F881" s="4" t="s">
        <v>22</v>
      </c>
      <c r="G881" s="6">
        <v>0.21</v>
      </c>
      <c r="H881" s="7" t="s">
        <v>1606</v>
      </c>
      <c r="I881" s="4" t="s">
        <v>1869</v>
      </c>
      <c r="J881" s="4" t="s">
        <v>1870</v>
      </c>
      <c r="K881" s="8"/>
      <c r="L881" s="8" t="s">
        <v>33</v>
      </c>
      <c r="M881" s="9">
        <f t="shared" si="1"/>
        <v>33</v>
      </c>
    </row>
    <row r="882" ht="12.75" customHeight="1">
      <c r="A882" s="4">
        <f t="shared" si="2"/>
        <v>881</v>
      </c>
      <c r="B882" s="4" t="s">
        <v>1967</v>
      </c>
      <c r="C882" s="5" t="s">
        <v>1968</v>
      </c>
      <c r="D882" s="4"/>
      <c r="E882" s="4"/>
      <c r="F882" s="4" t="s">
        <v>22</v>
      </c>
      <c r="G882" s="6">
        <v>0.1</v>
      </c>
      <c r="H882" s="7" t="s">
        <v>1606</v>
      </c>
      <c r="I882" s="4" t="s">
        <v>1869</v>
      </c>
      <c r="J882" s="4" t="s">
        <v>1870</v>
      </c>
      <c r="K882" s="8"/>
      <c r="L882" s="8" t="s">
        <v>33</v>
      </c>
      <c r="M882" s="9">
        <f t="shared" si="1"/>
        <v>35</v>
      </c>
    </row>
    <row r="883" ht="12.75" customHeight="1">
      <c r="A883" s="4">
        <f t="shared" si="2"/>
        <v>882</v>
      </c>
      <c r="B883" s="4" t="s">
        <v>1969</v>
      </c>
      <c r="C883" s="5" t="s">
        <v>1970</v>
      </c>
      <c r="D883" s="4"/>
      <c r="E883" s="4"/>
      <c r="F883" s="4" t="s">
        <v>22</v>
      </c>
      <c r="G883" s="6">
        <v>0.07</v>
      </c>
      <c r="H883" s="7" t="s">
        <v>1606</v>
      </c>
      <c r="I883" s="4" t="s">
        <v>1869</v>
      </c>
      <c r="J883" s="4" t="s">
        <v>1870</v>
      </c>
      <c r="K883" s="8"/>
      <c r="L883" s="8" t="s">
        <v>33</v>
      </c>
      <c r="M883" s="9">
        <f t="shared" si="1"/>
        <v>35</v>
      </c>
    </row>
    <row r="884" ht="12.75" customHeight="1">
      <c r="A884" s="4">
        <f t="shared" si="2"/>
        <v>883</v>
      </c>
      <c r="B884" s="4" t="s">
        <v>1971</v>
      </c>
      <c r="C884" s="5" t="s">
        <v>1972</v>
      </c>
      <c r="D884" s="4"/>
      <c r="E884" s="4"/>
      <c r="F884" s="4" t="s">
        <v>22</v>
      </c>
      <c r="G884" s="6">
        <v>0.04</v>
      </c>
      <c r="H884" s="7" t="s">
        <v>1606</v>
      </c>
      <c r="I884" s="4" t="s">
        <v>1869</v>
      </c>
      <c r="J884" s="4" t="s">
        <v>1870</v>
      </c>
      <c r="K884" s="8"/>
      <c r="L884" s="8" t="s">
        <v>33</v>
      </c>
      <c r="M884" s="9">
        <f t="shared" si="1"/>
        <v>35</v>
      </c>
    </row>
    <row r="885" ht="12.75" customHeight="1">
      <c r="A885" s="4">
        <f t="shared" si="2"/>
        <v>884</v>
      </c>
      <c r="B885" s="4" t="s">
        <v>1973</v>
      </c>
      <c r="C885" s="5" t="s">
        <v>1974</v>
      </c>
      <c r="D885" s="4"/>
      <c r="E885" s="4"/>
      <c r="F885" s="4" t="s">
        <v>22</v>
      </c>
      <c r="G885" s="6">
        <v>0.12</v>
      </c>
      <c r="H885" s="7" t="s">
        <v>1606</v>
      </c>
      <c r="I885" s="4" t="s">
        <v>1869</v>
      </c>
      <c r="J885" s="4" t="s">
        <v>1870</v>
      </c>
      <c r="K885" s="8"/>
      <c r="L885" s="8" t="s">
        <v>33</v>
      </c>
      <c r="M885" s="9">
        <f t="shared" si="1"/>
        <v>35</v>
      </c>
    </row>
    <row r="886" ht="12.75" customHeight="1">
      <c r="A886" s="4">
        <f t="shared" si="2"/>
        <v>885</v>
      </c>
      <c r="B886" s="4" t="s">
        <v>1975</v>
      </c>
      <c r="C886" s="5" t="s">
        <v>1976</v>
      </c>
      <c r="D886" s="4"/>
      <c r="E886" s="4"/>
      <c r="F886" s="4" t="s">
        <v>22</v>
      </c>
      <c r="G886" s="6">
        <v>0.05</v>
      </c>
      <c r="H886" s="7" t="s">
        <v>1606</v>
      </c>
      <c r="I886" s="4" t="s">
        <v>1869</v>
      </c>
      <c r="J886" s="4" t="s">
        <v>1870</v>
      </c>
      <c r="K886" s="8"/>
      <c r="L886" s="8" t="s">
        <v>33</v>
      </c>
      <c r="M886" s="9">
        <f t="shared" si="1"/>
        <v>35</v>
      </c>
    </row>
    <row r="887" ht="12.75" customHeight="1">
      <c r="A887" s="4">
        <f t="shared" si="2"/>
        <v>886</v>
      </c>
      <c r="B887" s="4" t="s">
        <v>1977</v>
      </c>
      <c r="C887" s="5" t="s">
        <v>1978</v>
      </c>
      <c r="D887" s="4"/>
      <c r="E887" s="4"/>
      <c r="F887" s="4" t="s">
        <v>22</v>
      </c>
      <c r="G887" s="6">
        <v>0.18</v>
      </c>
      <c r="H887" s="7" t="s">
        <v>1606</v>
      </c>
      <c r="I887" s="4" t="s">
        <v>1869</v>
      </c>
      <c r="J887" s="4" t="s">
        <v>1870</v>
      </c>
      <c r="K887" s="8"/>
      <c r="L887" s="8" t="s">
        <v>33</v>
      </c>
      <c r="M887" s="9">
        <f t="shared" si="1"/>
        <v>35</v>
      </c>
    </row>
    <row r="888" ht="12.75" customHeight="1">
      <c r="A888" s="4">
        <f t="shared" si="2"/>
        <v>887</v>
      </c>
      <c r="B888" s="4" t="s">
        <v>1979</v>
      </c>
      <c r="C888" s="5" t="s">
        <v>1980</v>
      </c>
      <c r="D888" s="4"/>
      <c r="E888" s="4"/>
      <c r="F888" s="4" t="s">
        <v>22</v>
      </c>
      <c r="G888" s="6">
        <v>0.2</v>
      </c>
      <c r="H888" s="7" t="s">
        <v>1606</v>
      </c>
      <c r="I888" s="4" t="s">
        <v>1869</v>
      </c>
      <c r="J888" s="4" t="s">
        <v>1870</v>
      </c>
      <c r="K888" s="8"/>
      <c r="L888" s="8" t="s">
        <v>33</v>
      </c>
      <c r="M888" s="9">
        <f t="shared" si="1"/>
        <v>35</v>
      </c>
    </row>
    <row r="889" ht="12.75" customHeight="1">
      <c r="A889" s="4">
        <f t="shared" si="2"/>
        <v>888</v>
      </c>
      <c r="B889" s="4" t="s">
        <v>1981</v>
      </c>
      <c r="C889" s="5" t="s">
        <v>1982</v>
      </c>
      <c r="D889" s="4"/>
      <c r="E889" s="4"/>
      <c r="F889" s="4" t="s">
        <v>22</v>
      </c>
      <c r="G889" s="6">
        <v>0.08</v>
      </c>
      <c r="H889" s="7" t="s">
        <v>1606</v>
      </c>
      <c r="I889" s="4" t="s">
        <v>1869</v>
      </c>
      <c r="J889" s="4" t="s">
        <v>1870</v>
      </c>
      <c r="K889" s="8"/>
      <c r="L889" s="8" t="s">
        <v>33</v>
      </c>
      <c r="M889" s="9">
        <f t="shared" si="1"/>
        <v>36</v>
      </c>
    </row>
    <row r="890" ht="12.75" customHeight="1">
      <c r="A890" s="4">
        <f t="shared" si="2"/>
        <v>889</v>
      </c>
      <c r="B890" s="4" t="s">
        <v>1983</v>
      </c>
      <c r="C890" s="5" t="s">
        <v>1984</v>
      </c>
      <c r="D890" s="4"/>
      <c r="E890" s="4"/>
      <c r="F890" s="4" t="s">
        <v>22</v>
      </c>
      <c r="G890" s="6">
        <v>0.06</v>
      </c>
      <c r="H890" s="7" t="s">
        <v>1606</v>
      </c>
      <c r="I890" s="4" t="s">
        <v>1869</v>
      </c>
      <c r="J890" s="4" t="s">
        <v>1870</v>
      </c>
      <c r="K890" s="8"/>
      <c r="L890" s="8" t="s">
        <v>33</v>
      </c>
      <c r="M890" s="9">
        <f t="shared" si="1"/>
        <v>38</v>
      </c>
    </row>
    <row r="891" ht="12.75" customHeight="1">
      <c r="A891" s="4">
        <f t="shared" si="2"/>
        <v>890</v>
      </c>
      <c r="B891" s="4" t="s">
        <v>1985</v>
      </c>
      <c r="C891" s="5" t="s">
        <v>1986</v>
      </c>
      <c r="D891" s="4"/>
      <c r="E891" s="4"/>
      <c r="F891" s="4" t="s">
        <v>22</v>
      </c>
      <c r="G891" s="6">
        <v>0.02</v>
      </c>
      <c r="H891" s="7" t="s">
        <v>1606</v>
      </c>
      <c r="I891" s="4" t="s">
        <v>1869</v>
      </c>
      <c r="J891" s="4" t="s">
        <v>1870</v>
      </c>
      <c r="K891" s="8"/>
      <c r="L891" s="8" t="s">
        <v>33</v>
      </c>
      <c r="M891" s="9">
        <f t="shared" si="1"/>
        <v>38</v>
      </c>
    </row>
    <row r="892" ht="12.75" customHeight="1">
      <c r="A892" s="4">
        <f t="shared" si="2"/>
        <v>891</v>
      </c>
      <c r="B892" s="4" t="s">
        <v>1987</v>
      </c>
      <c r="C892" s="5" t="s">
        <v>1988</v>
      </c>
      <c r="D892" s="4"/>
      <c r="E892" s="4"/>
      <c r="F892" s="4" t="s">
        <v>22</v>
      </c>
      <c r="G892" s="6">
        <v>0.01</v>
      </c>
      <c r="H892" s="7" t="s">
        <v>1606</v>
      </c>
      <c r="I892" s="4" t="s">
        <v>1869</v>
      </c>
      <c r="J892" s="4" t="s">
        <v>1870</v>
      </c>
      <c r="K892" s="8"/>
      <c r="L892" s="8" t="s">
        <v>33</v>
      </c>
      <c r="M892" s="9">
        <f t="shared" si="1"/>
        <v>38</v>
      </c>
    </row>
    <row r="893" ht="12.75" customHeight="1">
      <c r="A893" s="4">
        <f t="shared" si="2"/>
        <v>892</v>
      </c>
      <c r="B893" s="4" t="s">
        <v>1989</v>
      </c>
      <c r="C893" s="5" t="s">
        <v>1990</v>
      </c>
      <c r="D893" s="4"/>
      <c r="E893" s="4"/>
      <c r="F893" s="4" t="s">
        <v>22</v>
      </c>
      <c r="G893" s="6">
        <v>0.07</v>
      </c>
      <c r="H893" s="7" t="s">
        <v>1606</v>
      </c>
      <c r="I893" s="4" t="s">
        <v>1869</v>
      </c>
      <c r="J893" s="4" t="s">
        <v>1870</v>
      </c>
      <c r="K893" s="8"/>
      <c r="L893" s="8" t="s">
        <v>33</v>
      </c>
      <c r="M893" s="9">
        <f t="shared" si="1"/>
        <v>38</v>
      </c>
    </row>
    <row r="894" ht="12.75" customHeight="1">
      <c r="A894" s="4">
        <f t="shared" si="2"/>
        <v>893</v>
      </c>
      <c r="B894" s="4" t="s">
        <v>1991</v>
      </c>
      <c r="C894" s="5" t="s">
        <v>1992</v>
      </c>
      <c r="D894" s="4"/>
      <c r="E894" s="4"/>
      <c r="F894" s="4" t="s">
        <v>22</v>
      </c>
      <c r="G894" s="21">
        <v>0.05</v>
      </c>
      <c r="H894" s="7" t="s">
        <v>1606</v>
      </c>
      <c r="I894" s="4" t="s">
        <v>1869</v>
      </c>
      <c r="J894" s="4" t="s">
        <v>1870</v>
      </c>
      <c r="K894" s="8"/>
      <c r="L894" s="8" t="s">
        <v>33</v>
      </c>
      <c r="M894" s="9">
        <f t="shared" si="1"/>
        <v>38</v>
      </c>
    </row>
    <row r="895" ht="12.75" customHeight="1">
      <c r="A895" s="4">
        <f t="shared" si="2"/>
        <v>894</v>
      </c>
      <c r="B895" s="4" t="s">
        <v>1993</v>
      </c>
      <c r="C895" s="5" t="s">
        <v>1994</v>
      </c>
      <c r="D895" s="4"/>
      <c r="E895" s="4"/>
      <c r="F895" s="4" t="s">
        <v>22</v>
      </c>
      <c r="G895" s="6">
        <v>0.06</v>
      </c>
      <c r="H895" s="7" t="s">
        <v>1606</v>
      </c>
      <c r="I895" s="4" t="s">
        <v>1869</v>
      </c>
      <c r="J895" s="4" t="s">
        <v>1870</v>
      </c>
      <c r="K895" s="8"/>
      <c r="L895" s="8" t="s">
        <v>33</v>
      </c>
      <c r="M895" s="9">
        <f t="shared" si="1"/>
        <v>38</v>
      </c>
    </row>
    <row r="896" ht="12.75" customHeight="1">
      <c r="A896" s="4">
        <f t="shared" si="2"/>
        <v>895</v>
      </c>
      <c r="B896" s="4" t="s">
        <v>1995</v>
      </c>
      <c r="C896" s="5" t="s">
        <v>1996</v>
      </c>
      <c r="D896" s="4"/>
      <c r="E896" s="4"/>
      <c r="F896" s="4" t="s">
        <v>22</v>
      </c>
      <c r="G896" s="6">
        <v>0.07</v>
      </c>
      <c r="H896" s="7" t="s">
        <v>1606</v>
      </c>
      <c r="I896" s="4" t="s">
        <v>1869</v>
      </c>
      <c r="J896" s="4" t="s">
        <v>1870</v>
      </c>
      <c r="K896" s="8"/>
      <c r="L896" s="8" t="s">
        <v>33</v>
      </c>
      <c r="M896" s="9">
        <f t="shared" si="1"/>
        <v>38</v>
      </c>
    </row>
    <row r="897" ht="12.75" customHeight="1">
      <c r="A897" s="4">
        <f t="shared" si="2"/>
        <v>896</v>
      </c>
      <c r="B897" s="4" t="s">
        <v>1997</v>
      </c>
      <c r="C897" s="5" t="s">
        <v>1998</v>
      </c>
      <c r="D897" s="4"/>
      <c r="E897" s="4"/>
      <c r="F897" s="4" t="s">
        <v>22</v>
      </c>
      <c r="G897" s="6">
        <v>0.86</v>
      </c>
      <c r="H897" s="7" t="s">
        <v>1606</v>
      </c>
      <c r="I897" s="4" t="s">
        <v>1773</v>
      </c>
      <c r="J897" s="4" t="s">
        <v>1774</v>
      </c>
      <c r="K897" s="8"/>
      <c r="L897" s="8" t="s">
        <v>33</v>
      </c>
      <c r="M897" s="9">
        <f t="shared" si="1"/>
        <v>39</v>
      </c>
    </row>
    <row r="898" ht="12.75" customHeight="1">
      <c r="A898" s="4">
        <f t="shared" si="2"/>
        <v>897</v>
      </c>
      <c r="B898" s="4" t="s">
        <v>1999</v>
      </c>
      <c r="C898" s="5" t="s">
        <v>2000</v>
      </c>
      <c r="D898" s="4"/>
      <c r="E898" s="4"/>
      <c r="F898" s="4" t="s">
        <v>22</v>
      </c>
      <c r="G898" s="6">
        <v>0.84</v>
      </c>
      <c r="H898" s="7" t="s">
        <v>1606</v>
      </c>
      <c r="I898" s="4" t="s">
        <v>1773</v>
      </c>
      <c r="J898" s="4" t="s">
        <v>1774</v>
      </c>
      <c r="K898" s="8"/>
      <c r="L898" s="8" t="s">
        <v>33</v>
      </c>
      <c r="M898" s="9">
        <f t="shared" si="1"/>
        <v>35</v>
      </c>
    </row>
    <row r="899" ht="12.75" customHeight="1">
      <c r="A899" s="4">
        <f t="shared" si="2"/>
        <v>898</v>
      </c>
      <c r="B899" s="4" t="s">
        <v>2001</v>
      </c>
      <c r="C899" s="5" t="s">
        <v>2002</v>
      </c>
      <c r="D899" s="4"/>
      <c r="E899" s="4"/>
      <c r="F899" s="4" t="s">
        <v>2003</v>
      </c>
      <c r="G899" s="6">
        <v>17.71</v>
      </c>
      <c r="H899" s="7" t="s">
        <v>1606</v>
      </c>
      <c r="I899" s="4" t="s">
        <v>1704</v>
      </c>
      <c r="J899" s="4" t="s">
        <v>2004</v>
      </c>
      <c r="K899" s="8"/>
      <c r="L899" s="8" t="s">
        <v>33</v>
      </c>
      <c r="M899" s="9">
        <f t="shared" si="1"/>
        <v>10</v>
      </c>
    </row>
    <row r="900" ht="12.75" customHeight="1">
      <c r="A900" s="4">
        <f t="shared" si="2"/>
        <v>899</v>
      </c>
      <c r="B900" s="4" t="s">
        <v>2005</v>
      </c>
      <c r="C900" s="5" t="s">
        <v>2006</v>
      </c>
      <c r="D900" s="4"/>
      <c r="E900" s="4"/>
      <c r="F900" s="4" t="s">
        <v>2003</v>
      </c>
      <c r="G900" s="6">
        <v>54.05</v>
      </c>
      <c r="H900" s="7" t="s">
        <v>1606</v>
      </c>
      <c r="I900" s="4" t="s">
        <v>1704</v>
      </c>
      <c r="J900" s="4" t="s">
        <v>2004</v>
      </c>
      <c r="K900" s="8"/>
      <c r="L900" s="8" t="s">
        <v>33</v>
      </c>
      <c r="M900" s="9">
        <f t="shared" si="1"/>
        <v>30</v>
      </c>
    </row>
    <row r="901" ht="12.75" customHeight="1">
      <c r="A901" s="4">
        <f t="shared" si="2"/>
        <v>900</v>
      </c>
      <c r="B901" s="4" t="s">
        <v>2007</v>
      </c>
      <c r="C901" s="5" t="s">
        <v>2008</v>
      </c>
      <c r="D901" s="4"/>
      <c r="E901" s="4"/>
      <c r="F901" s="4" t="s">
        <v>1717</v>
      </c>
      <c r="G901" s="6">
        <v>94.59</v>
      </c>
      <c r="H901" s="7" t="s">
        <v>1606</v>
      </c>
      <c r="I901" s="4" t="s">
        <v>1718</v>
      </c>
      <c r="J901" s="4" t="s">
        <v>1719</v>
      </c>
      <c r="K901" s="8"/>
      <c r="L901" s="8" t="s">
        <v>33</v>
      </c>
      <c r="M901" s="9">
        <f t="shared" si="1"/>
        <v>14</v>
      </c>
    </row>
    <row r="902" ht="12.75" customHeight="1">
      <c r="A902" s="4">
        <f t="shared" si="2"/>
        <v>901</v>
      </c>
      <c r="B902" s="4" t="s">
        <v>2009</v>
      </c>
      <c r="C902" s="5" t="s">
        <v>2010</v>
      </c>
      <c r="D902" s="4"/>
      <c r="E902" s="4"/>
      <c r="F902" s="4" t="s">
        <v>1779</v>
      </c>
      <c r="G902" s="6">
        <v>0.66</v>
      </c>
      <c r="H902" s="7" t="s">
        <v>1606</v>
      </c>
      <c r="I902" s="4" t="s">
        <v>2011</v>
      </c>
      <c r="J902" s="4" t="s">
        <v>2012</v>
      </c>
      <c r="K902" s="8"/>
      <c r="L902" s="8" t="s">
        <v>33</v>
      </c>
      <c r="M902" s="9">
        <f t="shared" si="1"/>
        <v>12</v>
      </c>
    </row>
    <row r="903" ht="12.75" customHeight="1">
      <c r="A903" s="4">
        <f t="shared" si="2"/>
        <v>902</v>
      </c>
      <c r="B903" s="4" t="s">
        <v>2013</v>
      </c>
      <c r="C903" s="5" t="s">
        <v>2014</v>
      </c>
      <c r="D903" s="4"/>
      <c r="E903" s="4"/>
      <c r="F903" s="4" t="s">
        <v>22</v>
      </c>
      <c r="G903" s="6">
        <v>22.97</v>
      </c>
      <c r="H903" s="7" t="s">
        <v>1606</v>
      </c>
      <c r="I903" s="4" t="s">
        <v>2015</v>
      </c>
      <c r="J903" s="4" t="s">
        <v>2016</v>
      </c>
      <c r="K903" s="8"/>
      <c r="L903" s="8" t="s">
        <v>33</v>
      </c>
      <c r="M903" s="9">
        <f t="shared" si="1"/>
        <v>25</v>
      </c>
    </row>
    <row r="904" ht="12.75" customHeight="1">
      <c r="A904" s="4">
        <f t="shared" si="2"/>
        <v>903</v>
      </c>
      <c r="B904" s="4" t="s">
        <v>2017</v>
      </c>
      <c r="C904" s="5" t="s">
        <v>2018</v>
      </c>
      <c r="D904" s="4"/>
      <c r="E904" s="4"/>
      <c r="F904" s="4" t="s">
        <v>22</v>
      </c>
      <c r="G904" s="6">
        <v>3.67</v>
      </c>
      <c r="H904" s="7" t="s">
        <v>1606</v>
      </c>
      <c r="I904" s="4" t="s">
        <v>1475</v>
      </c>
      <c r="J904" s="4" t="s">
        <v>1476</v>
      </c>
      <c r="K904" s="8"/>
      <c r="L904" s="8" t="s">
        <v>33</v>
      </c>
      <c r="M904" s="9">
        <f t="shared" si="1"/>
        <v>26</v>
      </c>
    </row>
    <row r="905" ht="12.75" customHeight="1">
      <c r="A905" s="4">
        <f t="shared" si="2"/>
        <v>904</v>
      </c>
      <c r="B905" s="4" t="s">
        <v>2019</v>
      </c>
      <c r="C905" s="5" t="s">
        <v>2020</v>
      </c>
      <c r="D905" s="4"/>
      <c r="E905" s="4"/>
      <c r="F905" s="4" t="s">
        <v>22</v>
      </c>
      <c r="G905" s="6">
        <v>4.9</v>
      </c>
      <c r="H905" s="7" t="s">
        <v>1606</v>
      </c>
      <c r="I905" s="4" t="s">
        <v>1475</v>
      </c>
      <c r="J905" s="4" t="s">
        <v>1476</v>
      </c>
      <c r="K905" s="8"/>
      <c r="L905" s="8" t="s">
        <v>33</v>
      </c>
      <c r="M905" s="9">
        <f t="shared" si="1"/>
        <v>27</v>
      </c>
    </row>
    <row r="906" ht="12.75" customHeight="1">
      <c r="A906" s="4">
        <f t="shared" si="2"/>
        <v>905</v>
      </c>
      <c r="B906" s="4" t="s">
        <v>2021</v>
      </c>
      <c r="C906" s="5" t="s">
        <v>2022</v>
      </c>
      <c r="D906" s="4"/>
      <c r="E906" s="4"/>
      <c r="F906" s="4" t="s">
        <v>22</v>
      </c>
      <c r="G906" s="6">
        <v>9.16</v>
      </c>
      <c r="H906" s="7" t="s">
        <v>1606</v>
      </c>
      <c r="I906" s="4" t="s">
        <v>1475</v>
      </c>
      <c r="J906" s="4" t="s">
        <v>1476</v>
      </c>
      <c r="K906" s="8"/>
      <c r="L906" s="8" t="s">
        <v>33</v>
      </c>
      <c r="M906" s="9">
        <f t="shared" si="1"/>
        <v>18</v>
      </c>
    </row>
    <row r="907" ht="12.75" customHeight="1">
      <c r="A907" s="4">
        <f t="shared" si="2"/>
        <v>906</v>
      </c>
      <c r="B907" s="4" t="s">
        <v>2023</v>
      </c>
      <c r="C907" s="5" t="s">
        <v>2024</v>
      </c>
      <c r="D907" s="4"/>
      <c r="E907" s="4"/>
      <c r="F907" s="4" t="s">
        <v>22</v>
      </c>
      <c r="G907" s="6">
        <v>25.68</v>
      </c>
      <c r="H907" s="7" t="s">
        <v>1606</v>
      </c>
      <c r="I907" s="4" t="s">
        <v>17</v>
      </c>
      <c r="J907" s="4" t="s">
        <v>2025</v>
      </c>
      <c r="K907" s="8"/>
      <c r="L907" s="8" t="s">
        <v>33</v>
      </c>
      <c r="M907" s="9">
        <f t="shared" si="1"/>
        <v>48</v>
      </c>
    </row>
    <row r="908" ht="12.75" customHeight="1">
      <c r="A908" s="4">
        <f t="shared" si="2"/>
        <v>907</v>
      </c>
      <c r="B908" s="4" t="s">
        <v>2026</v>
      </c>
      <c r="C908" s="5" t="s">
        <v>2027</v>
      </c>
      <c r="D908" s="4"/>
      <c r="E908" s="4"/>
      <c r="F908" s="4" t="s">
        <v>22</v>
      </c>
      <c r="G908" s="6">
        <v>1.76</v>
      </c>
      <c r="H908" s="7" t="s">
        <v>1606</v>
      </c>
      <c r="I908" s="4" t="s">
        <v>2028</v>
      </c>
      <c r="J908" s="4" t="s">
        <v>2029</v>
      </c>
      <c r="K908" s="8"/>
      <c r="L908" s="8" t="s">
        <v>33</v>
      </c>
      <c r="M908" s="9">
        <f t="shared" si="1"/>
        <v>36</v>
      </c>
    </row>
    <row r="909" ht="12.75" customHeight="1">
      <c r="A909" s="4">
        <f t="shared" si="2"/>
        <v>908</v>
      </c>
      <c r="B909" s="4" t="s">
        <v>2030</v>
      </c>
      <c r="C909" s="5" t="s">
        <v>2031</v>
      </c>
      <c r="D909" s="4"/>
      <c r="E909" s="4"/>
      <c r="F909" s="4" t="s">
        <v>22</v>
      </c>
      <c r="G909" s="6">
        <v>16.3</v>
      </c>
      <c r="H909" s="7" t="s">
        <v>1606</v>
      </c>
      <c r="I909" s="4" t="s">
        <v>1773</v>
      </c>
      <c r="J909" s="4" t="s">
        <v>1774</v>
      </c>
      <c r="K909" s="8"/>
      <c r="L909" s="8" t="s">
        <v>33</v>
      </c>
      <c r="M909" s="9">
        <f t="shared" si="1"/>
        <v>30</v>
      </c>
    </row>
    <row r="910" ht="12.75" customHeight="1">
      <c r="A910" s="4">
        <f t="shared" si="2"/>
        <v>909</v>
      </c>
      <c r="B910" s="4" t="s">
        <v>2032</v>
      </c>
      <c r="C910" s="5" t="s">
        <v>2033</v>
      </c>
      <c r="D910" s="4"/>
      <c r="E910" s="4"/>
      <c r="F910" s="4" t="s">
        <v>371</v>
      </c>
      <c r="G910" s="6">
        <v>1.87</v>
      </c>
      <c r="H910" s="7" t="s">
        <v>1606</v>
      </c>
      <c r="I910" s="4" t="s">
        <v>1773</v>
      </c>
      <c r="J910" s="4" t="s">
        <v>1774</v>
      </c>
      <c r="K910" s="8"/>
      <c r="L910" s="8" t="s">
        <v>2034</v>
      </c>
      <c r="M910" s="9">
        <f t="shared" si="1"/>
        <v>63</v>
      </c>
    </row>
    <row r="911" ht="12.75" customHeight="1">
      <c r="A911" s="4">
        <f t="shared" si="2"/>
        <v>910</v>
      </c>
      <c r="B911" s="4" t="s">
        <v>2035</v>
      </c>
      <c r="C911" s="5" t="s">
        <v>2036</v>
      </c>
      <c r="D911" s="4"/>
      <c r="E911" s="4"/>
      <c r="F911" s="4" t="s">
        <v>22</v>
      </c>
      <c r="G911" s="6">
        <v>8.11</v>
      </c>
      <c r="H911" s="7" t="s">
        <v>1606</v>
      </c>
      <c r="I911" s="4" t="s">
        <v>17</v>
      </c>
      <c r="J911" s="4" t="s">
        <v>2037</v>
      </c>
      <c r="K911" s="8"/>
      <c r="L911" s="8" t="s">
        <v>19</v>
      </c>
      <c r="M911" s="9">
        <f t="shared" si="1"/>
        <v>25</v>
      </c>
    </row>
    <row r="912" ht="12.75" customHeight="1">
      <c r="A912" s="4">
        <f t="shared" si="2"/>
        <v>911</v>
      </c>
      <c r="B912" s="4" t="s">
        <v>2038</v>
      </c>
      <c r="C912" s="5" t="s">
        <v>2039</v>
      </c>
      <c r="D912" s="4"/>
      <c r="E912" s="4"/>
      <c r="F912" s="4" t="s">
        <v>22</v>
      </c>
      <c r="G912" s="6">
        <v>16.22</v>
      </c>
      <c r="H912" s="7" t="s">
        <v>1606</v>
      </c>
      <c r="I912" s="4" t="s">
        <v>1574</v>
      </c>
      <c r="J912" s="4" t="s">
        <v>2040</v>
      </c>
      <c r="K912" s="8"/>
      <c r="L912" s="8" t="s">
        <v>2041</v>
      </c>
      <c r="M912" s="9">
        <f t="shared" si="1"/>
        <v>44</v>
      </c>
    </row>
    <row r="913" ht="12.75" customHeight="1">
      <c r="A913" s="4">
        <f t="shared" si="2"/>
        <v>912</v>
      </c>
      <c r="B913" s="4" t="s">
        <v>2042</v>
      </c>
      <c r="C913" s="5" t="s">
        <v>2043</v>
      </c>
      <c r="D913" s="4"/>
      <c r="E913" s="4"/>
      <c r="F913" s="4" t="s">
        <v>1694</v>
      </c>
      <c r="G913" s="6">
        <v>20.68</v>
      </c>
      <c r="H913" s="7" t="s">
        <v>1606</v>
      </c>
      <c r="I913" s="4" t="s">
        <v>2044</v>
      </c>
      <c r="J913" s="4" t="s">
        <v>2045</v>
      </c>
      <c r="K913" s="8"/>
      <c r="L913" s="8" t="s">
        <v>33</v>
      </c>
      <c r="M913" s="9">
        <f t="shared" si="1"/>
        <v>27</v>
      </c>
    </row>
    <row r="914" ht="12.75" customHeight="1">
      <c r="A914" s="4">
        <f t="shared" si="2"/>
        <v>913</v>
      </c>
      <c r="B914" s="4" t="s">
        <v>2046</v>
      </c>
      <c r="C914" s="5" t="s">
        <v>2047</v>
      </c>
      <c r="D914" s="4"/>
      <c r="E914" s="4"/>
      <c r="F914" s="4" t="s">
        <v>22</v>
      </c>
      <c r="G914" s="6">
        <v>9.46</v>
      </c>
      <c r="H914" s="7" t="s">
        <v>1606</v>
      </c>
      <c r="I914" s="4" t="s">
        <v>17</v>
      </c>
      <c r="J914" s="4" t="s">
        <v>2037</v>
      </c>
      <c r="K914" s="8"/>
      <c r="L914" s="8" t="s">
        <v>33</v>
      </c>
      <c r="M914" s="9">
        <f t="shared" si="1"/>
        <v>45</v>
      </c>
    </row>
    <row r="915" ht="12.75" customHeight="1">
      <c r="A915" s="4">
        <f t="shared" si="2"/>
        <v>914</v>
      </c>
      <c r="B915" s="4" t="s">
        <v>2048</v>
      </c>
      <c r="C915" s="5" t="s">
        <v>2049</v>
      </c>
      <c r="D915" s="4"/>
      <c r="E915" s="4"/>
      <c r="F915" s="4" t="s">
        <v>22</v>
      </c>
      <c r="G915" s="6">
        <v>9.46</v>
      </c>
      <c r="H915" s="7" t="s">
        <v>1606</v>
      </c>
      <c r="I915" s="4" t="s">
        <v>17</v>
      </c>
      <c r="J915" s="4" t="s">
        <v>2037</v>
      </c>
      <c r="K915" s="8"/>
      <c r="L915" s="8" t="s">
        <v>33</v>
      </c>
      <c r="M915" s="9">
        <f t="shared" si="1"/>
        <v>42</v>
      </c>
    </row>
    <row r="916" ht="12.75" customHeight="1">
      <c r="A916" s="4">
        <f t="shared" si="2"/>
        <v>915</v>
      </c>
      <c r="B916" s="4" t="s">
        <v>2050</v>
      </c>
      <c r="C916" s="5" t="s">
        <v>2051</v>
      </c>
      <c r="D916" s="4"/>
      <c r="E916" s="4"/>
      <c r="F916" s="4" t="s">
        <v>22</v>
      </c>
      <c r="G916" s="6">
        <v>9.46</v>
      </c>
      <c r="H916" s="7" t="s">
        <v>1606</v>
      </c>
      <c r="I916" s="4" t="s">
        <v>17</v>
      </c>
      <c r="J916" s="4" t="s">
        <v>2037</v>
      </c>
      <c r="K916" s="8"/>
      <c r="L916" s="8" t="s">
        <v>33</v>
      </c>
      <c r="M916" s="9">
        <f t="shared" si="1"/>
        <v>43</v>
      </c>
    </row>
    <row r="917" ht="12.75" customHeight="1">
      <c r="A917" s="4">
        <f t="shared" si="2"/>
        <v>916</v>
      </c>
      <c r="B917" s="4" t="s">
        <v>2052</v>
      </c>
      <c r="C917" s="5" t="s">
        <v>2053</v>
      </c>
      <c r="D917" s="4"/>
      <c r="E917" s="4"/>
      <c r="F917" s="4" t="s">
        <v>22</v>
      </c>
      <c r="G917" s="6">
        <v>9.56</v>
      </c>
      <c r="H917" s="7" t="s">
        <v>1606</v>
      </c>
      <c r="I917" s="4" t="s">
        <v>1704</v>
      </c>
      <c r="J917" s="4" t="s">
        <v>1705</v>
      </c>
      <c r="K917" s="8"/>
      <c r="L917" s="8" t="s">
        <v>33</v>
      </c>
      <c r="M917" s="9">
        <f t="shared" si="1"/>
        <v>32</v>
      </c>
    </row>
    <row r="918" ht="12.75" customHeight="1">
      <c r="A918" s="4">
        <f t="shared" si="2"/>
        <v>917</v>
      </c>
      <c r="B918" s="4" t="s">
        <v>2054</v>
      </c>
      <c r="C918" s="5" t="s">
        <v>2055</v>
      </c>
      <c r="D918" s="4"/>
      <c r="E918" s="4"/>
      <c r="F918" s="4" t="s">
        <v>22</v>
      </c>
      <c r="G918" s="6">
        <v>5.02</v>
      </c>
      <c r="H918" s="7" t="s">
        <v>1606</v>
      </c>
      <c r="I918" s="4" t="s">
        <v>1704</v>
      </c>
      <c r="J918" s="4" t="s">
        <v>1705</v>
      </c>
      <c r="K918" s="8"/>
      <c r="L918" s="8" t="s">
        <v>33</v>
      </c>
      <c r="M918" s="9">
        <f t="shared" si="1"/>
        <v>34</v>
      </c>
    </row>
    <row r="919" ht="12.75" customHeight="1">
      <c r="A919" s="4">
        <f t="shared" si="2"/>
        <v>918</v>
      </c>
      <c r="B919" s="4" t="s">
        <v>2056</v>
      </c>
      <c r="C919" s="5" t="s">
        <v>2057</v>
      </c>
      <c r="D919" s="4"/>
      <c r="E919" s="4"/>
      <c r="F919" s="4" t="s">
        <v>22</v>
      </c>
      <c r="G919" s="6">
        <v>3.02</v>
      </c>
      <c r="H919" s="7" t="s">
        <v>1606</v>
      </c>
      <c r="I919" s="4" t="s">
        <v>1704</v>
      </c>
      <c r="J919" s="4" t="s">
        <v>1705</v>
      </c>
      <c r="K919" s="8"/>
      <c r="L919" s="8" t="s">
        <v>33</v>
      </c>
      <c r="M919" s="9">
        <f t="shared" si="1"/>
        <v>34</v>
      </c>
    </row>
    <row r="920" ht="12.75" customHeight="1">
      <c r="A920" s="4">
        <f t="shared" si="2"/>
        <v>919</v>
      </c>
      <c r="B920" s="4" t="s">
        <v>2058</v>
      </c>
      <c r="C920" s="5" t="s">
        <v>2059</v>
      </c>
      <c r="D920" s="4"/>
      <c r="E920" s="4"/>
      <c r="F920" s="4" t="s">
        <v>22</v>
      </c>
      <c r="G920" s="6">
        <v>6.74</v>
      </c>
      <c r="H920" s="7" t="s">
        <v>1606</v>
      </c>
      <c r="I920" s="4" t="s">
        <v>1704</v>
      </c>
      <c r="J920" s="4" t="s">
        <v>1705</v>
      </c>
      <c r="K920" s="8"/>
      <c r="L920" s="8" t="s">
        <v>33</v>
      </c>
      <c r="M920" s="9">
        <f t="shared" si="1"/>
        <v>34</v>
      </c>
    </row>
    <row r="921" ht="12.75" customHeight="1">
      <c r="A921" s="4">
        <f t="shared" si="2"/>
        <v>920</v>
      </c>
      <c r="B921" s="4" t="s">
        <v>2060</v>
      </c>
      <c r="C921" s="5" t="s">
        <v>2061</v>
      </c>
      <c r="D921" s="4"/>
      <c r="E921" s="4"/>
      <c r="F921" s="4" t="s">
        <v>22</v>
      </c>
      <c r="G921" s="6">
        <v>3.71</v>
      </c>
      <c r="H921" s="7" t="s">
        <v>1606</v>
      </c>
      <c r="I921" s="4" t="s">
        <v>1704</v>
      </c>
      <c r="J921" s="4" t="s">
        <v>1705</v>
      </c>
      <c r="K921" s="8"/>
      <c r="L921" s="8" t="s">
        <v>33</v>
      </c>
      <c r="M921" s="9">
        <f t="shared" si="1"/>
        <v>34</v>
      </c>
    </row>
    <row r="922" ht="12.75" customHeight="1">
      <c r="A922" s="4">
        <f t="shared" si="2"/>
        <v>921</v>
      </c>
      <c r="B922" s="4" t="s">
        <v>2062</v>
      </c>
      <c r="C922" s="5" t="s">
        <v>2063</v>
      </c>
      <c r="D922" s="4"/>
      <c r="E922" s="4"/>
      <c r="F922" s="4" t="s">
        <v>22</v>
      </c>
      <c r="G922" s="6">
        <v>5.6</v>
      </c>
      <c r="H922" s="7" t="s">
        <v>1606</v>
      </c>
      <c r="I922" s="4" t="s">
        <v>1704</v>
      </c>
      <c r="J922" s="4" t="s">
        <v>1705</v>
      </c>
      <c r="K922" s="8"/>
      <c r="L922" s="8" t="s">
        <v>33</v>
      </c>
      <c r="M922" s="9">
        <f t="shared" si="1"/>
        <v>34</v>
      </c>
    </row>
    <row r="923" ht="12.75" customHeight="1">
      <c r="A923" s="4">
        <f t="shared" si="2"/>
        <v>922</v>
      </c>
      <c r="B923" s="4" t="s">
        <v>2064</v>
      </c>
      <c r="C923" s="5" t="s">
        <v>2065</v>
      </c>
      <c r="D923" s="4"/>
      <c r="E923" s="4"/>
      <c r="F923" s="4" t="s">
        <v>22</v>
      </c>
      <c r="G923" s="6">
        <v>2.97</v>
      </c>
      <c r="H923" s="7" t="s">
        <v>1606</v>
      </c>
      <c r="I923" s="4" t="s">
        <v>17</v>
      </c>
      <c r="J923" s="4" t="s">
        <v>2037</v>
      </c>
      <c r="K923" s="8"/>
      <c r="L923" s="8" t="s">
        <v>281</v>
      </c>
      <c r="M923" s="9">
        <f t="shared" si="1"/>
        <v>66</v>
      </c>
    </row>
    <row r="924" ht="12.75" customHeight="1">
      <c r="A924" s="4">
        <f t="shared" si="2"/>
        <v>923</v>
      </c>
      <c r="B924" s="4" t="s">
        <v>2066</v>
      </c>
      <c r="C924" s="5" t="s">
        <v>2067</v>
      </c>
      <c r="D924" s="4"/>
      <c r="E924" s="4"/>
      <c r="F924" s="4" t="s">
        <v>22</v>
      </c>
      <c r="G924" s="6">
        <v>62.16</v>
      </c>
      <c r="H924" s="7" t="s">
        <v>1606</v>
      </c>
      <c r="I924" s="4" t="s">
        <v>17</v>
      </c>
      <c r="J924" s="4" t="s">
        <v>2037</v>
      </c>
      <c r="K924" s="8"/>
      <c r="L924" s="8" t="s">
        <v>33</v>
      </c>
      <c r="M924" s="9">
        <f t="shared" si="1"/>
        <v>59</v>
      </c>
    </row>
    <row r="925" ht="12.75" customHeight="1">
      <c r="A925" s="4">
        <f t="shared" si="2"/>
        <v>924</v>
      </c>
      <c r="B925" s="4" t="s">
        <v>2068</v>
      </c>
      <c r="C925" s="5" t="s">
        <v>2069</v>
      </c>
      <c r="D925" s="4"/>
      <c r="E925" s="4"/>
      <c r="F925" s="4" t="s">
        <v>22</v>
      </c>
      <c r="G925" s="6">
        <v>62.16</v>
      </c>
      <c r="H925" s="7" t="s">
        <v>1606</v>
      </c>
      <c r="I925" s="4" t="s">
        <v>17</v>
      </c>
      <c r="J925" s="4" t="s">
        <v>2037</v>
      </c>
      <c r="K925" s="8"/>
      <c r="L925" s="8" t="s">
        <v>33</v>
      </c>
      <c r="M925" s="9">
        <f t="shared" si="1"/>
        <v>57</v>
      </c>
    </row>
    <row r="926" ht="12.75" customHeight="1">
      <c r="A926" s="4">
        <f t="shared" si="2"/>
        <v>925</v>
      </c>
      <c r="B926" s="4" t="s">
        <v>2070</v>
      </c>
      <c r="C926" s="5" t="s">
        <v>2071</v>
      </c>
      <c r="D926" s="4"/>
      <c r="E926" s="4"/>
      <c r="F926" s="4" t="s">
        <v>22</v>
      </c>
      <c r="G926" s="6">
        <v>13.51</v>
      </c>
      <c r="H926" s="7" t="s">
        <v>1606</v>
      </c>
      <c r="I926" s="4" t="s">
        <v>1800</v>
      </c>
      <c r="J926" s="4" t="s">
        <v>1801</v>
      </c>
      <c r="K926" s="8"/>
      <c r="L926" s="8" t="s">
        <v>33</v>
      </c>
      <c r="M926" s="9">
        <f t="shared" si="1"/>
        <v>77</v>
      </c>
    </row>
    <row r="927" ht="12.75" customHeight="1">
      <c r="A927" s="4">
        <f t="shared" si="2"/>
        <v>926</v>
      </c>
      <c r="B927" s="4" t="s">
        <v>2072</v>
      </c>
      <c r="C927" s="5" t="s">
        <v>2073</v>
      </c>
      <c r="D927" s="4"/>
      <c r="E927" s="4"/>
      <c r="F927" s="4" t="s">
        <v>1764</v>
      </c>
      <c r="G927" s="6" t="s">
        <v>2074</v>
      </c>
      <c r="H927" s="7" t="s">
        <v>1606</v>
      </c>
      <c r="I927" s="4" t="s">
        <v>1574</v>
      </c>
      <c r="J927" s="4" t="s">
        <v>2075</v>
      </c>
      <c r="K927" s="8"/>
      <c r="L927" s="8" t="s">
        <v>33</v>
      </c>
      <c r="M927" s="9">
        <f t="shared" si="1"/>
        <v>67</v>
      </c>
    </row>
    <row r="928" ht="12.75" customHeight="1">
      <c r="A928" s="4">
        <f t="shared" si="2"/>
        <v>927</v>
      </c>
      <c r="B928" s="4" t="s">
        <v>2076</v>
      </c>
      <c r="C928" s="5" t="s">
        <v>2077</v>
      </c>
      <c r="D928" s="4"/>
      <c r="E928" s="4"/>
      <c r="F928" s="4" t="s">
        <v>2078</v>
      </c>
      <c r="G928" s="6">
        <v>6.35</v>
      </c>
      <c r="H928" s="7" t="s">
        <v>1606</v>
      </c>
      <c r="I928" s="4" t="s">
        <v>1773</v>
      </c>
      <c r="J928" s="4" t="s">
        <v>1774</v>
      </c>
      <c r="K928" s="8"/>
      <c r="L928" s="8" t="s">
        <v>2079</v>
      </c>
      <c r="M928" s="9">
        <f t="shared" si="1"/>
        <v>56</v>
      </c>
    </row>
    <row r="929" ht="12.75" customHeight="1">
      <c r="A929" s="4">
        <f t="shared" si="2"/>
        <v>928</v>
      </c>
      <c r="B929" s="4" t="s">
        <v>2080</v>
      </c>
      <c r="C929" s="5" t="s">
        <v>2081</v>
      </c>
      <c r="D929" s="4"/>
      <c r="E929" s="4"/>
      <c r="F929" s="4" t="s">
        <v>1764</v>
      </c>
      <c r="G929" s="6">
        <v>3.54</v>
      </c>
      <c r="H929" s="7" t="s">
        <v>1606</v>
      </c>
      <c r="I929" s="4" t="s">
        <v>1574</v>
      </c>
      <c r="J929" s="4" t="s">
        <v>2082</v>
      </c>
      <c r="K929" s="8"/>
      <c r="L929" s="8" t="s">
        <v>33</v>
      </c>
      <c r="M929" s="9">
        <f t="shared" si="1"/>
        <v>47</v>
      </c>
    </row>
    <row r="930" ht="12.75" customHeight="1">
      <c r="A930" s="4">
        <f t="shared" si="2"/>
        <v>929</v>
      </c>
      <c r="B930" s="4" t="s">
        <v>2083</v>
      </c>
      <c r="C930" s="5" t="s">
        <v>2084</v>
      </c>
      <c r="D930" s="4"/>
      <c r="E930" s="4"/>
      <c r="F930" s="4" t="s">
        <v>22</v>
      </c>
      <c r="G930" s="6">
        <v>1.0</v>
      </c>
      <c r="H930" s="7" t="s">
        <v>1606</v>
      </c>
      <c r="I930" s="4" t="s">
        <v>2085</v>
      </c>
      <c r="J930" s="4" t="s">
        <v>2086</v>
      </c>
      <c r="K930" s="8"/>
      <c r="L930" s="8" t="s">
        <v>33</v>
      </c>
      <c r="M930" s="9">
        <f t="shared" si="1"/>
        <v>23</v>
      </c>
    </row>
    <row r="931" ht="12.75" customHeight="1">
      <c r="A931" s="4">
        <f t="shared" si="2"/>
        <v>930</v>
      </c>
      <c r="B931" s="4" t="s">
        <v>2087</v>
      </c>
      <c r="C931" s="5" t="s">
        <v>2088</v>
      </c>
      <c r="D931" s="4"/>
      <c r="E931" s="4"/>
      <c r="F931" s="4" t="s">
        <v>22</v>
      </c>
      <c r="G931" s="6">
        <v>1.0</v>
      </c>
      <c r="H931" s="7" t="s">
        <v>1606</v>
      </c>
      <c r="I931" s="4" t="s">
        <v>2085</v>
      </c>
      <c r="J931" s="4" t="s">
        <v>2086</v>
      </c>
      <c r="K931" s="8"/>
      <c r="L931" s="8" t="s">
        <v>33</v>
      </c>
      <c r="M931" s="9">
        <f t="shared" si="1"/>
        <v>23</v>
      </c>
    </row>
    <row r="932" ht="12.75" customHeight="1">
      <c r="A932" s="4">
        <f t="shared" si="2"/>
        <v>931</v>
      </c>
      <c r="B932" s="4" t="s">
        <v>2089</v>
      </c>
      <c r="C932" s="5" t="s">
        <v>2090</v>
      </c>
      <c r="D932" s="4"/>
      <c r="E932" s="4"/>
      <c r="F932" s="4" t="s">
        <v>22</v>
      </c>
      <c r="G932" s="6">
        <v>1.0</v>
      </c>
      <c r="H932" s="7" t="s">
        <v>1606</v>
      </c>
      <c r="I932" s="4" t="s">
        <v>2085</v>
      </c>
      <c r="J932" s="4" t="s">
        <v>2086</v>
      </c>
      <c r="K932" s="8"/>
      <c r="L932" s="8" t="s">
        <v>33</v>
      </c>
      <c r="M932" s="9">
        <f t="shared" si="1"/>
        <v>23</v>
      </c>
    </row>
    <row r="933" ht="12.75" customHeight="1">
      <c r="A933" s="4">
        <f t="shared" si="2"/>
        <v>932</v>
      </c>
      <c r="B933" s="4" t="s">
        <v>2091</v>
      </c>
      <c r="C933" s="5" t="s">
        <v>2092</v>
      </c>
      <c r="D933" s="4"/>
      <c r="E933" s="4"/>
      <c r="F933" s="4" t="s">
        <v>22</v>
      </c>
      <c r="G933" s="6">
        <v>7.59</v>
      </c>
      <c r="H933" s="7" t="s">
        <v>1606</v>
      </c>
      <c r="I933" s="4" t="s">
        <v>17</v>
      </c>
      <c r="J933" s="4" t="s">
        <v>23</v>
      </c>
      <c r="K933" s="8"/>
      <c r="L933" s="8" t="s">
        <v>19</v>
      </c>
      <c r="M933" s="9">
        <f t="shared" si="1"/>
        <v>55</v>
      </c>
    </row>
    <row r="934" ht="12.75" customHeight="1">
      <c r="A934" s="4">
        <f t="shared" si="2"/>
        <v>933</v>
      </c>
      <c r="B934" s="4" t="s">
        <v>2093</v>
      </c>
      <c r="C934" s="5" t="s">
        <v>2094</v>
      </c>
      <c r="D934" s="4"/>
      <c r="E934" s="4"/>
      <c r="F934" s="4" t="s">
        <v>22</v>
      </c>
      <c r="G934" s="6">
        <v>1.0</v>
      </c>
      <c r="H934" s="7" t="s">
        <v>1606</v>
      </c>
      <c r="I934" s="4" t="s">
        <v>17</v>
      </c>
      <c r="J934" s="4" t="s">
        <v>23</v>
      </c>
      <c r="K934" s="8"/>
      <c r="L934" s="8" t="s">
        <v>19</v>
      </c>
      <c r="M934" s="9">
        <f t="shared" si="1"/>
        <v>58</v>
      </c>
    </row>
    <row r="935" ht="12.75" customHeight="1">
      <c r="A935" s="4">
        <f t="shared" si="2"/>
        <v>934</v>
      </c>
      <c r="B935" s="4" t="s">
        <v>2095</v>
      </c>
      <c r="C935" s="5" t="s">
        <v>2096</v>
      </c>
      <c r="D935" s="4"/>
      <c r="E935" s="4"/>
      <c r="F935" s="4" t="s">
        <v>22</v>
      </c>
      <c r="G935" s="6">
        <v>0.14</v>
      </c>
      <c r="H935" s="7" t="s">
        <v>1606</v>
      </c>
      <c r="I935" s="4" t="s">
        <v>1773</v>
      </c>
      <c r="J935" s="4" t="s">
        <v>1774</v>
      </c>
      <c r="K935" s="8"/>
      <c r="L935" s="8" t="s">
        <v>2097</v>
      </c>
      <c r="M935" s="9">
        <f t="shared" si="1"/>
        <v>50</v>
      </c>
    </row>
    <row r="936" ht="12.75" customHeight="1">
      <c r="A936" s="4">
        <f t="shared" si="2"/>
        <v>935</v>
      </c>
      <c r="B936" s="4" t="s">
        <v>2098</v>
      </c>
      <c r="C936" s="5" t="s">
        <v>2099</v>
      </c>
      <c r="D936" s="4"/>
      <c r="E936" s="4"/>
      <c r="F936" s="4" t="s">
        <v>2078</v>
      </c>
      <c r="G936" s="6">
        <v>6.76</v>
      </c>
      <c r="H936" s="7" t="s">
        <v>1606</v>
      </c>
      <c r="I936" s="4" t="s">
        <v>1475</v>
      </c>
      <c r="J936" s="4" t="s">
        <v>1476</v>
      </c>
      <c r="K936" s="8"/>
      <c r="L936" s="8" t="s">
        <v>33</v>
      </c>
      <c r="M936" s="9">
        <f t="shared" si="1"/>
        <v>49</v>
      </c>
    </row>
    <row r="937" ht="12.75" customHeight="1">
      <c r="A937" s="4">
        <f t="shared" si="2"/>
        <v>936</v>
      </c>
      <c r="B937" s="4" t="s">
        <v>2100</v>
      </c>
      <c r="C937" s="5" t="s">
        <v>2101</v>
      </c>
      <c r="D937" s="4"/>
      <c r="E937" s="4"/>
      <c r="F937" s="4" t="s">
        <v>2078</v>
      </c>
      <c r="G937" s="6">
        <v>6.76</v>
      </c>
      <c r="H937" s="7" t="s">
        <v>1606</v>
      </c>
      <c r="I937" s="4" t="s">
        <v>1475</v>
      </c>
      <c r="J937" s="4" t="s">
        <v>1476</v>
      </c>
      <c r="K937" s="8"/>
      <c r="L937" s="8" t="s">
        <v>33</v>
      </c>
      <c r="M937" s="9">
        <f t="shared" si="1"/>
        <v>45</v>
      </c>
    </row>
    <row r="938" ht="12.75" customHeight="1">
      <c r="A938" s="4">
        <f t="shared" si="2"/>
        <v>937</v>
      </c>
      <c r="B938" s="4" t="s">
        <v>2102</v>
      </c>
      <c r="C938" s="5" t="s">
        <v>2103</v>
      </c>
      <c r="D938" s="4"/>
      <c r="E938" s="4"/>
      <c r="F938" s="4" t="s">
        <v>2078</v>
      </c>
      <c r="G938" s="6">
        <v>6.76</v>
      </c>
      <c r="H938" s="7" t="s">
        <v>1606</v>
      </c>
      <c r="I938" s="4" t="s">
        <v>1475</v>
      </c>
      <c r="J938" s="4" t="s">
        <v>1476</v>
      </c>
      <c r="K938" s="8"/>
      <c r="L938" s="8" t="s">
        <v>33</v>
      </c>
      <c r="M938" s="9">
        <f t="shared" si="1"/>
        <v>47</v>
      </c>
    </row>
    <row r="939" ht="12.75" customHeight="1">
      <c r="A939" s="4">
        <f t="shared" si="2"/>
        <v>938</v>
      </c>
      <c r="B939" s="4" t="s">
        <v>2104</v>
      </c>
      <c r="C939" s="5" t="s">
        <v>2105</v>
      </c>
      <c r="D939" s="4"/>
      <c r="E939" s="4"/>
      <c r="F939" s="4" t="s">
        <v>2078</v>
      </c>
      <c r="G939" s="6">
        <v>6.76</v>
      </c>
      <c r="H939" s="7" t="s">
        <v>1606</v>
      </c>
      <c r="I939" s="4" t="s">
        <v>1475</v>
      </c>
      <c r="J939" s="4" t="s">
        <v>1476</v>
      </c>
      <c r="K939" s="8"/>
      <c r="L939" s="8" t="s">
        <v>33</v>
      </c>
      <c r="M939" s="9">
        <f t="shared" si="1"/>
        <v>47</v>
      </c>
    </row>
    <row r="940" ht="12.75" customHeight="1">
      <c r="A940" s="4">
        <f t="shared" si="2"/>
        <v>939</v>
      </c>
      <c r="B940" s="4" t="s">
        <v>2106</v>
      </c>
      <c r="C940" s="5" t="s">
        <v>2107</v>
      </c>
      <c r="D940" s="4"/>
      <c r="E940" s="4"/>
      <c r="F940" s="4" t="s">
        <v>2078</v>
      </c>
      <c r="G940" s="6">
        <v>6.76</v>
      </c>
      <c r="H940" s="7" t="s">
        <v>1606</v>
      </c>
      <c r="I940" s="4" t="s">
        <v>1475</v>
      </c>
      <c r="J940" s="4" t="s">
        <v>1476</v>
      </c>
      <c r="K940" s="8"/>
      <c r="L940" s="8" t="s">
        <v>33</v>
      </c>
      <c r="M940" s="9">
        <f t="shared" si="1"/>
        <v>46</v>
      </c>
    </row>
    <row r="941" ht="12.75" customHeight="1">
      <c r="A941" s="4">
        <f t="shared" si="2"/>
        <v>940</v>
      </c>
      <c r="B941" s="4" t="s">
        <v>2108</v>
      </c>
      <c r="C941" s="5" t="s">
        <v>2109</v>
      </c>
      <c r="D941" s="4"/>
      <c r="E941" s="4"/>
      <c r="F941" s="4" t="s">
        <v>2078</v>
      </c>
      <c r="G941" s="6">
        <v>6.76</v>
      </c>
      <c r="H941" s="7" t="s">
        <v>1606</v>
      </c>
      <c r="I941" s="4" t="s">
        <v>1475</v>
      </c>
      <c r="J941" s="4" t="s">
        <v>1476</v>
      </c>
      <c r="K941" s="8"/>
      <c r="L941" s="8" t="s">
        <v>33</v>
      </c>
      <c r="M941" s="9">
        <f t="shared" si="1"/>
        <v>45</v>
      </c>
    </row>
    <row r="942" ht="12.75" customHeight="1">
      <c r="A942" s="4">
        <f t="shared" si="2"/>
        <v>941</v>
      </c>
      <c r="B942" s="4" t="s">
        <v>2110</v>
      </c>
      <c r="C942" s="5" t="s">
        <v>2111</v>
      </c>
      <c r="D942" s="4"/>
      <c r="E942" s="4"/>
      <c r="F942" s="4" t="s">
        <v>2078</v>
      </c>
      <c r="G942" s="6">
        <v>6.76</v>
      </c>
      <c r="H942" s="7" t="s">
        <v>1606</v>
      </c>
      <c r="I942" s="4" t="s">
        <v>1475</v>
      </c>
      <c r="J942" s="4" t="s">
        <v>1476</v>
      </c>
      <c r="K942" s="8"/>
      <c r="L942" s="8" t="s">
        <v>33</v>
      </c>
      <c r="M942" s="9">
        <f t="shared" si="1"/>
        <v>46</v>
      </c>
    </row>
    <row r="943" ht="12.75" customHeight="1">
      <c r="A943" s="4">
        <f t="shared" si="2"/>
        <v>942</v>
      </c>
      <c r="B943" s="4" t="s">
        <v>2112</v>
      </c>
      <c r="C943" s="5" t="s">
        <v>2113</v>
      </c>
      <c r="D943" s="4"/>
      <c r="E943" s="4"/>
      <c r="F943" s="4" t="s">
        <v>2078</v>
      </c>
      <c r="G943" s="6">
        <v>10.96</v>
      </c>
      <c r="H943" s="7" t="s">
        <v>1606</v>
      </c>
      <c r="I943" s="4" t="s">
        <v>1475</v>
      </c>
      <c r="J943" s="4" t="s">
        <v>1476</v>
      </c>
      <c r="K943" s="8"/>
      <c r="L943" s="8" t="s">
        <v>33</v>
      </c>
      <c r="M943" s="9">
        <f t="shared" si="1"/>
        <v>53</v>
      </c>
    </row>
    <row r="944" ht="12.75" customHeight="1">
      <c r="A944" s="4">
        <f t="shared" si="2"/>
        <v>943</v>
      </c>
      <c r="B944" s="4" t="s">
        <v>2114</v>
      </c>
      <c r="C944" s="5" t="s">
        <v>2115</v>
      </c>
      <c r="D944" s="4"/>
      <c r="E944" s="4"/>
      <c r="F944" s="4" t="s">
        <v>2078</v>
      </c>
      <c r="G944" s="6">
        <v>10.96</v>
      </c>
      <c r="H944" s="7" t="s">
        <v>1606</v>
      </c>
      <c r="I944" s="4" t="s">
        <v>1475</v>
      </c>
      <c r="J944" s="4" t="s">
        <v>1476</v>
      </c>
      <c r="K944" s="8"/>
      <c r="L944" s="8" t="s">
        <v>33</v>
      </c>
      <c r="M944" s="9">
        <f t="shared" si="1"/>
        <v>49</v>
      </c>
    </row>
    <row r="945" ht="12.75" customHeight="1">
      <c r="A945" s="4">
        <f t="shared" si="2"/>
        <v>944</v>
      </c>
      <c r="B945" s="4" t="s">
        <v>2116</v>
      </c>
      <c r="C945" s="5" t="s">
        <v>2117</v>
      </c>
      <c r="D945" s="4"/>
      <c r="E945" s="4"/>
      <c r="F945" s="4" t="s">
        <v>2078</v>
      </c>
      <c r="G945" s="6">
        <v>10.96</v>
      </c>
      <c r="H945" s="7" t="s">
        <v>1606</v>
      </c>
      <c r="I945" s="4" t="s">
        <v>1475</v>
      </c>
      <c r="J945" s="4" t="s">
        <v>1476</v>
      </c>
      <c r="K945" s="8"/>
      <c r="L945" s="8" t="s">
        <v>33</v>
      </c>
      <c r="M945" s="9">
        <f t="shared" si="1"/>
        <v>51</v>
      </c>
    </row>
    <row r="946" ht="12.75" customHeight="1">
      <c r="A946" s="4">
        <f t="shared" si="2"/>
        <v>945</v>
      </c>
      <c r="B946" s="4" t="s">
        <v>2118</v>
      </c>
      <c r="C946" s="5" t="s">
        <v>2119</v>
      </c>
      <c r="D946" s="4"/>
      <c r="E946" s="4"/>
      <c r="F946" s="4" t="s">
        <v>2078</v>
      </c>
      <c r="G946" s="6">
        <v>10.96</v>
      </c>
      <c r="H946" s="7" t="s">
        <v>1606</v>
      </c>
      <c r="I946" s="4" t="s">
        <v>1475</v>
      </c>
      <c r="J946" s="4" t="s">
        <v>1476</v>
      </c>
      <c r="K946" s="8"/>
      <c r="L946" s="8" t="s">
        <v>33</v>
      </c>
      <c r="M946" s="9">
        <f t="shared" si="1"/>
        <v>50</v>
      </c>
    </row>
    <row r="947" ht="12.75" customHeight="1">
      <c r="A947" s="4">
        <f t="shared" si="2"/>
        <v>946</v>
      </c>
      <c r="B947" s="4" t="s">
        <v>2120</v>
      </c>
      <c r="C947" s="5" t="s">
        <v>2121</v>
      </c>
      <c r="D947" s="4"/>
      <c r="E947" s="4"/>
      <c r="F947" s="4" t="s">
        <v>2078</v>
      </c>
      <c r="G947" s="6">
        <v>10.96</v>
      </c>
      <c r="H947" s="7" t="s">
        <v>1606</v>
      </c>
      <c r="I947" s="4" t="s">
        <v>1475</v>
      </c>
      <c r="J947" s="4" t="s">
        <v>1476</v>
      </c>
      <c r="K947" s="8"/>
      <c r="L947" s="8" t="s">
        <v>33</v>
      </c>
      <c r="M947" s="9">
        <f t="shared" si="1"/>
        <v>49</v>
      </c>
    </row>
    <row r="948" ht="12.75" customHeight="1">
      <c r="A948" s="4">
        <f t="shared" si="2"/>
        <v>947</v>
      </c>
      <c r="B948" s="4" t="s">
        <v>2122</v>
      </c>
      <c r="C948" s="5" t="s">
        <v>2123</v>
      </c>
      <c r="D948" s="4"/>
      <c r="E948" s="4"/>
      <c r="F948" s="4" t="s">
        <v>2078</v>
      </c>
      <c r="G948" s="6">
        <v>10.96</v>
      </c>
      <c r="H948" s="7" t="s">
        <v>1606</v>
      </c>
      <c r="I948" s="4" t="s">
        <v>1475</v>
      </c>
      <c r="J948" s="4" t="s">
        <v>1476</v>
      </c>
      <c r="K948" s="8"/>
      <c r="L948" s="8" t="s">
        <v>33</v>
      </c>
      <c r="M948" s="9">
        <f t="shared" si="1"/>
        <v>50</v>
      </c>
    </row>
    <row r="949" ht="12.75" customHeight="1">
      <c r="A949" s="4">
        <f t="shared" si="2"/>
        <v>948</v>
      </c>
      <c r="B949" s="4" t="s">
        <v>2124</v>
      </c>
      <c r="C949" s="5" t="s">
        <v>2125</v>
      </c>
      <c r="D949" s="4"/>
      <c r="E949" s="4"/>
      <c r="F949" s="4" t="s">
        <v>22</v>
      </c>
      <c r="G949" s="6">
        <v>0.62</v>
      </c>
      <c r="H949" s="7" t="s">
        <v>1606</v>
      </c>
      <c r="I949" s="4" t="s">
        <v>1475</v>
      </c>
      <c r="J949" s="4" t="s">
        <v>1476</v>
      </c>
      <c r="K949" s="8"/>
      <c r="L949" s="8" t="s">
        <v>33</v>
      </c>
      <c r="M949" s="9">
        <f t="shared" si="1"/>
        <v>58</v>
      </c>
    </row>
    <row r="950" ht="12.75" customHeight="1">
      <c r="A950" s="4">
        <f t="shared" si="2"/>
        <v>949</v>
      </c>
      <c r="B950" s="4" t="s">
        <v>2126</v>
      </c>
      <c r="C950" s="5" t="s">
        <v>2127</v>
      </c>
      <c r="D950" s="4"/>
      <c r="E950" s="4"/>
      <c r="F950" s="4" t="s">
        <v>1772</v>
      </c>
      <c r="G950" s="6">
        <v>4.05</v>
      </c>
      <c r="H950" s="7" t="s">
        <v>1606</v>
      </c>
      <c r="I950" s="4" t="s">
        <v>1794</v>
      </c>
      <c r="J950" s="4" t="s">
        <v>165</v>
      </c>
      <c r="K950" s="8"/>
      <c r="L950" s="8" t="s">
        <v>33</v>
      </c>
      <c r="M950" s="9">
        <f t="shared" si="1"/>
        <v>50</v>
      </c>
    </row>
    <row r="951" ht="12.75" customHeight="1">
      <c r="A951" s="4">
        <f t="shared" si="2"/>
        <v>950</v>
      </c>
      <c r="B951" s="4" t="s">
        <v>2128</v>
      </c>
      <c r="C951" s="5" t="s">
        <v>2129</v>
      </c>
      <c r="D951" s="4"/>
      <c r="E951" s="4"/>
      <c r="F951" s="4" t="s">
        <v>1772</v>
      </c>
      <c r="G951" s="6">
        <v>6.49</v>
      </c>
      <c r="H951" s="7" t="s">
        <v>1606</v>
      </c>
      <c r="I951" s="4" t="s">
        <v>1794</v>
      </c>
      <c r="J951" s="4" t="s">
        <v>165</v>
      </c>
      <c r="K951" s="8"/>
      <c r="L951" s="8" t="s">
        <v>33</v>
      </c>
      <c r="M951" s="9">
        <f t="shared" si="1"/>
        <v>50</v>
      </c>
    </row>
    <row r="952" ht="12.75" customHeight="1">
      <c r="A952" s="4">
        <f t="shared" si="2"/>
        <v>951</v>
      </c>
      <c r="B952" s="4" t="s">
        <v>2130</v>
      </c>
      <c r="C952" s="5" t="s">
        <v>2131</v>
      </c>
      <c r="D952" s="4"/>
      <c r="E952" s="4"/>
      <c r="F952" s="4" t="s">
        <v>1772</v>
      </c>
      <c r="G952" s="6">
        <v>6.76</v>
      </c>
      <c r="H952" s="7" t="s">
        <v>1606</v>
      </c>
      <c r="I952" s="4" t="s">
        <v>1794</v>
      </c>
      <c r="J952" s="4" t="s">
        <v>165</v>
      </c>
      <c r="K952" s="8"/>
      <c r="L952" s="8" t="s">
        <v>33</v>
      </c>
      <c r="M952" s="9">
        <f t="shared" si="1"/>
        <v>50</v>
      </c>
    </row>
    <row r="953" ht="12.75" customHeight="1">
      <c r="A953" s="4">
        <f t="shared" si="2"/>
        <v>952</v>
      </c>
      <c r="B953" s="4" t="s">
        <v>2132</v>
      </c>
      <c r="C953" s="5" t="s">
        <v>2133</v>
      </c>
      <c r="D953" s="4"/>
      <c r="E953" s="4"/>
      <c r="F953" s="4" t="s">
        <v>22</v>
      </c>
      <c r="G953" s="6">
        <v>12.49</v>
      </c>
      <c r="H953" s="7" t="s">
        <v>1606</v>
      </c>
      <c r="I953" s="4" t="s">
        <v>1794</v>
      </c>
      <c r="J953" s="4" t="s">
        <v>165</v>
      </c>
      <c r="K953" s="8"/>
      <c r="L953" s="8" t="s">
        <v>33</v>
      </c>
      <c r="M953" s="9">
        <f t="shared" si="1"/>
        <v>43</v>
      </c>
    </row>
    <row r="954" ht="12.75" customHeight="1">
      <c r="A954" s="4">
        <f t="shared" si="2"/>
        <v>953</v>
      </c>
      <c r="B954" s="4" t="s">
        <v>2134</v>
      </c>
      <c r="C954" s="5" t="s">
        <v>2135</v>
      </c>
      <c r="D954" s="4"/>
      <c r="E954" s="4"/>
      <c r="F954" s="4" t="s">
        <v>22</v>
      </c>
      <c r="G954" s="6">
        <v>12.49</v>
      </c>
      <c r="H954" s="7" t="s">
        <v>1606</v>
      </c>
      <c r="I954" s="4" t="s">
        <v>1794</v>
      </c>
      <c r="J954" s="4" t="s">
        <v>165</v>
      </c>
      <c r="K954" s="8"/>
      <c r="L954" s="8" t="s">
        <v>33</v>
      </c>
      <c r="M954" s="9">
        <f t="shared" si="1"/>
        <v>43</v>
      </c>
    </row>
    <row r="955" ht="12.75" customHeight="1">
      <c r="A955" s="4">
        <f t="shared" si="2"/>
        <v>954</v>
      </c>
      <c r="B955" s="4" t="s">
        <v>2136</v>
      </c>
      <c r="C955" s="5" t="s">
        <v>2137</v>
      </c>
      <c r="D955" s="4"/>
      <c r="E955" s="4"/>
      <c r="F955" s="4" t="s">
        <v>22</v>
      </c>
      <c r="G955" s="6">
        <v>8.85</v>
      </c>
      <c r="H955" s="7" t="s">
        <v>1606</v>
      </c>
      <c r="I955" s="4" t="s">
        <v>1794</v>
      </c>
      <c r="J955" s="4" t="s">
        <v>165</v>
      </c>
      <c r="K955" s="8"/>
      <c r="L955" s="8" t="s">
        <v>33</v>
      </c>
      <c r="M955" s="9">
        <f t="shared" si="1"/>
        <v>27</v>
      </c>
    </row>
    <row r="956" ht="12.75" customHeight="1">
      <c r="A956" s="4">
        <f t="shared" si="2"/>
        <v>955</v>
      </c>
      <c r="B956" s="4" t="s">
        <v>2138</v>
      </c>
      <c r="C956" s="5" t="s">
        <v>2139</v>
      </c>
      <c r="D956" s="4"/>
      <c r="E956" s="4"/>
      <c r="F956" s="4" t="s">
        <v>22</v>
      </c>
      <c r="G956" s="6">
        <v>10.6</v>
      </c>
      <c r="H956" s="7" t="s">
        <v>1606</v>
      </c>
      <c r="I956" s="4" t="s">
        <v>1794</v>
      </c>
      <c r="J956" s="4" t="s">
        <v>165</v>
      </c>
      <c r="K956" s="8"/>
      <c r="L956" s="8" t="s">
        <v>33</v>
      </c>
      <c r="M956" s="9">
        <f t="shared" si="1"/>
        <v>27</v>
      </c>
    </row>
    <row r="957" ht="12.75" customHeight="1">
      <c r="A957" s="4">
        <f t="shared" si="2"/>
        <v>956</v>
      </c>
      <c r="B957" s="4" t="s">
        <v>2140</v>
      </c>
      <c r="C957" s="5" t="s">
        <v>2141</v>
      </c>
      <c r="D957" s="4"/>
      <c r="E957" s="4"/>
      <c r="F957" s="4" t="s">
        <v>22</v>
      </c>
      <c r="G957" s="6">
        <v>13.43</v>
      </c>
      <c r="H957" s="7" t="s">
        <v>1606</v>
      </c>
      <c r="I957" s="4" t="s">
        <v>1794</v>
      </c>
      <c r="J957" s="4" t="s">
        <v>165</v>
      </c>
      <c r="K957" s="8"/>
      <c r="L957" s="8" t="s">
        <v>33</v>
      </c>
      <c r="M957" s="9">
        <f t="shared" si="1"/>
        <v>27</v>
      </c>
    </row>
    <row r="958" ht="12.75" customHeight="1">
      <c r="A958" s="4">
        <f t="shared" si="2"/>
        <v>957</v>
      </c>
      <c r="B958" s="4" t="s">
        <v>2142</v>
      </c>
      <c r="C958" s="5" t="s">
        <v>2143</v>
      </c>
      <c r="D958" s="4"/>
      <c r="E958" s="4"/>
      <c r="F958" s="4" t="s">
        <v>22</v>
      </c>
      <c r="G958" s="6">
        <v>11.5</v>
      </c>
      <c r="H958" s="7" t="s">
        <v>1606</v>
      </c>
      <c r="I958" s="4" t="s">
        <v>1794</v>
      </c>
      <c r="J958" s="4" t="s">
        <v>165</v>
      </c>
      <c r="K958" s="8"/>
      <c r="L958" s="8" t="s">
        <v>33</v>
      </c>
      <c r="M958" s="9">
        <f t="shared" si="1"/>
        <v>27</v>
      </c>
    </row>
    <row r="959" ht="12.75" customHeight="1">
      <c r="A959" s="4">
        <f t="shared" si="2"/>
        <v>958</v>
      </c>
      <c r="B959" s="4" t="s">
        <v>2144</v>
      </c>
      <c r="C959" s="5" t="s">
        <v>2145</v>
      </c>
      <c r="D959" s="4"/>
      <c r="E959" s="4"/>
      <c r="F959" s="4" t="s">
        <v>22</v>
      </c>
      <c r="G959" s="6">
        <v>8.85</v>
      </c>
      <c r="H959" s="7" t="s">
        <v>1606</v>
      </c>
      <c r="I959" s="4" t="s">
        <v>1794</v>
      </c>
      <c r="J959" s="4" t="s">
        <v>165</v>
      </c>
      <c r="K959" s="8"/>
      <c r="L959" s="8" t="s">
        <v>33</v>
      </c>
      <c r="M959" s="9">
        <f t="shared" si="1"/>
        <v>27</v>
      </c>
    </row>
    <row r="960" ht="12.75" customHeight="1">
      <c r="A960" s="4">
        <f t="shared" si="2"/>
        <v>959</v>
      </c>
      <c r="B960" s="4" t="s">
        <v>2146</v>
      </c>
      <c r="C960" s="5" t="s">
        <v>2147</v>
      </c>
      <c r="D960" s="4"/>
      <c r="E960" s="4"/>
      <c r="F960" s="4" t="s">
        <v>22</v>
      </c>
      <c r="G960" s="6">
        <v>10.8</v>
      </c>
      <c r="H960" s="7" t="s">
        <v>1606</v>
      </c>
      <c r="I960" s="4" t="s">
        <v>1794</v>
      </c>
      <c r="J960" s="4" t="s">
        <v>165</v>
      </c>
      <c r="K960" s="8"/>
      <c r="L960" s="8" t="s">
        <v>33</v>
      </c>
      <c r="M960" s="9">
        <f t="shared" si="1"/>
        <v>27</v>
      </c>
    </row>
    <row r="961" ht="12.75" customHeight="1">
      <c r="A961" s="4">
        <f t="shared" si="2"/>
        <v>960</v>
      </c>
      <c r="B961" s="4" t="s">
        <v>2148</v>
      </c>
      <c r="C961" s="5" t="s">
        <v>2149</v>
      </c>
      <c r="D961" s="4"/>
      <c r="E961" s="4"/>
      <c r="F961" s="4" t="s">
        <v>1772</v>
      </c>
      <c r="G961" s="6">
        <v>41.97</v>
      </c>
      <c r="H961" s="7" t="s">
        <v>1606</v>
      </c>
      <c r="I961" s="4" t="s">
        <v>1794</v>
      </c>
      <c r="J961" s="4" t="s">
        <v>165</v>
      </c>
      <c r="K961" s="8"/>
      <c r="L961" s="8" t="s">
        <v>33</v>
      </c>
      <c r="M961" s="9">
        <f t="shared" si="1"/>
        <v>52</v>
      </c>
    </row>
    <row r="962" ht="12.75" customHeight="1">
      <c r="A962" s="4">
        <f t="shared" si="2"/>
        <v>961</v>
      </c>
      <c r="B962" s="4" t="s">
        <v>2150</v>
      </c>
      <c r="C962" s="5" t="s">
        <v>2151</v>
      </c>
      <c r="D962" s="4"/>
      <c r="E962" s="4"/>
      <c r="F962" s="4" t="s">
        <v>22</v>
      </c>
      <c r="G962" s="6">
        <v>1.58</v>
      </c>
      <c r="H962" s="7" t="s">
        <v>1606</v>
      </c>
      <c r="I962" s="4" t="s">
        <v>1574</v>
      </c>
      <c r="J962" s="4" t="s">
        <v>830</v>
      </c>
      <c r="K962" s="8"/>
      <c r="L962" s="4" t="s">
        <v>2152</v>
      </c>
      <c r="M962" s="9">
        <f t="shared" si="1"/>
        <v>54</v>
      </c>
    </row>
    <row r="963" ht="12.75" customHeight="1">
      <c r="A963" s="4">
        <f t="shared" si="2"/>
        <v>962</v>
      </c>
      <c r="B963" s="4" t="s">
        <v>2153</v>
      </c>
      <c r="C963" s="5" t="s">
        <v>2154</v>
      </c>
      <c r="D963" s="4"/>
      <c r="E963" s="4"/>
      <c r="F963" s="4" t="s">
        <v>22</v>
      </c>
      <c r="G963" s="6">
        <v>2.52</v>
      </c>
      <c r="H963" s="7" t="s">
        <v>1606</v>
      </c>
      <c r="I963" s="4" t="s">
        <v>1574</v>
      </c>
      <c r="J963" s="4" t="s">
        <v>830</v>
      </c>
      <c r="K963" s="8"/>
      <c r="L963" s="4" t="s">
        <v>2152</v>
      </c>
      <c r="M963" s="9">
        <f t="shared" si="1"/>
        <v>54</v>
      </c>
    </row>
    <row r="964" ht="12.75" customHeight="1">
      <c r="A964" s="4">
        <f t="shared" si="2"/>
        <v>963</v>
      </c>
      <c r="B964" s="4" t="s">
        <v>2155</v>
      </c>
      <c r="C964" s="5" t="s">
        <v>2156</v>
      </c>
      <c r="D964" s="4"/>
      <c r="E964" s="4"/>
      <c r="F964" s="4" t="s">
        <v>22</v>
      </c>
      <c r="G964" s="6">
        <v>0.96</v>
      </c>
      <c r="H964" s="7" t="s">
        <v>1606</v>
      </c>
      <c r="I964" s="4" t="s">
        <v>1574</v>
      </c>
      <c r="J964" s="4" t="s">
        <v>830</v>
      </c>
      <c r="K964" s="8"/>
      <c r="L964" s="4" t="s">
        <v>2152</v>
      </c>
      <c r="M964" s="9">
        <f t="shared" si="1"/>
        <v>55</v>
      </c>
    </row>
    <row r="965" ht="12.75" customHeight="1">
      <c r="A965" s="4">
        <f t="shared" si="2"/>
        <v>964</v>
      </c>
      <c r="B965" s="4" t="s">
        <v>2157</v>
      </c>
      <c r="C965" s="5" t="s">
        <v>2158</v>
      </c>
      <c r="D965" s="4"/>
      <c r="E965" s="4"/>
      <c r="F965" s="4" t="s">
        <v>22</v>
      </c>
      <c r="G965" s="6">
        <v>3.45</v>
      </c>
      <c r="H965" s="7" t="s">
        <v>1606</v>
      </c>
      <c r="I965" s="4" t="s">
        <v>1574</v>
      </c>
      <c r="J965" s="4" t="s">
        <v>830</v>
      </c>
      <c r="K965" s="8"/>
      <c r="L965" s="4" t="s">
        <v>2152</v>
      </c>
      <c r="M965" s="9">
        <f t="shared" si="1"/>
        <v>56</v>
      </c>
    </row>
    <row r="966" ht="12.75" customHeight="1">
      <c r="A966" s="4">
        <f t="shared" si="2"/>
        <v>965</v>
      </c>
      <c r="B966" s="4" t="s">
        <v>2159</v>
      </c>
      <c r="C966" s="5" t="s">
        <v>2160</v>
      </c>
      <c r="D966" s="4"/>
      <c r="E966" s="4"/>
      <c r="F966" s="4" t="s">
        <v>22</v>
      </c>
      <c r="G966" s="6">
        <v>3.61</v>
      </c>
      <c r="H966" s="7" t="s">
        <v>1606</v>
      </c>
      <c r="I966" s="4" t="s">
        <v>1574</v>
      </c>
      <c r="J966" s="4" t="s">
        <v>830</v>
      </c>
      <c r="K966" s="8"/>
      <c r="L966" s="4" t="s">
        <v>2152</v>
      </c>
      <c r="M966" s="9">
        <f t="shared" si="1"/>
        <v>54</v>
      </c>
    </row>
    <row r="967" ht="12.75" customHeight="1">
      <c r="A967" s="4">
        <f t="shared" si="2"/>
        <v>966</v>
      </c>
      <c r="B967" s="4" t="s">
        <v>2161</v>
      </c>
      <c r="C967" s="5" t="s">
        <v>2162</v>
      </c>
      <c r="D967" s="4"/>
      <c r="E967" s="4"/>
      <c r="F967" s="4" t="s">
        <v>22</v>
      </c>
      <c r="G967" s="6">
        <v>0.97</v>
      </c>
      <c r="H967" s="7" t="s">
        <v>1606</v>
      </c>
      <c r="I967" s="4" t="s">
        <v>1574</v>
      </c>
      <c r="J967" s="4" t="s">
        <v>830</v>
      </c>
      <c r="K967" s="8"/>
      <c r="L967" s="4" t="s">
        <v>2152</v>
      </c>
      <c r="M967" s="9">
        <f t="shared" si="1"/>
        <v>53</v>
      </c>
    </row>
    <row r="968" ht="12.75" customHeight="1">
      <c r="A968" s="4">
        <f t="shared" si="2"/>
        <v>967</v>
      </c>
      <c r="B968" s="4" t="s">
        <v>2163</v>
      </c>
      <c r="C968" s="5" t="s">
        <v>2164</v>
      </c>
      <c r="D968" s="4"/>
      <c r="E968" s="4"/>
      <c r="F968" s="4" t="s">
        <v>22</v>
      </c>
      <c r="G968" s="6">
        <v>1.25</v>
      </c>
      <c r="H968" s="7" t="s">
        <v>1606</v>
      </c>
      <c r="I968" s="4" t="s">
        <v>1574</v>
      </c>
      <c r="J968" s="4" t="s">
        <v>830</v>
      </c>
      <c r="K968" s="8"/>
      <c r="L968" s="4" t="s">
        <v>2152</v>
      </c>
      <c r="M968" s="9">
        <f t="shared" si="1"/>
        <v>53</v>
      </c>
    </row>
    <row r="969" ht="12.75" customHeight="1">
      <c r="A969" s="4">
        <f t="shared" si="2"/>
        <v>968</v>
      </c>
      <c r="B969" s="4" t="s">
        <v>2165</v>
      </c>
      <c r="C969" s="5" t="s">
        <v>2166</v>
      </c>
      <c r="D969" s="4"/>
      <c r="E969" s="4"/>
      <c r="F969" s="4" t="s">
        <v>22</v>
      </c>
      <c r="G969" s="6">
        <v>16.16</v>
      </c>
      <c r="H969" s="7" t="s">
        <v>1606</v>
      </c>
      <c r="I969" s="4" t="s">
        <v>1574</v>
      </c>
      <c r="J969" s="4" t="s">
        <v>830</v>
      </c>
      <c r="K969" s="8"/>
      <c r="L969" s="4" t="s">
        <v>2152</v>
      </c>
      <c r="M969" s="9">
        <f t="shared" si="1"/>
        <v>54</v>
      </c>
    </row>
    <row r="970" ht="12.75" customHeight="1">
      <c r="A970" s="4">
        <f t="shared" si="2"/>
        <v>969</v>
      </c>
      <c r="B970" s="4" t="s">
        <v>2167</v>
      </c>
      <c r="C970" s="5" t="s">
        <v>2168</v>
      </c>
      <c r="D970" s="4"/>
      <c r="E970" s="4"/>
      <c r="F970" s="4" t="s">
        <v>22</v>
      </c>
      <c r="G970" s="6">
        <v>3.09</v>
      </c>
      <c r="H970" s="7" t="s">
        <v>1606</v>
      </c>
      <c r="I970" s="4" t="s">
        <v>1574</v>
      </c>
      <c r="J970" s="4" t="s">
        <v>830</v>
      </c>
      <c r="K970" s="8"/>
      <c r="L970" s="8" t="s">
        <v>2169</v>
      </c>
      <c r="M970" s="9">
        <f t="shared" si="1"/>
        <v>74</v>
      </c>
    </row>
    <row r="971" ht="12.75" customHeight="1">
      <c r="A971" s="4">
        <f t="shared" si="2"/>
        <v>970</v>
      </c>
      <c r="B971" s="4" t="s">
        <v>2170</v>
      </c>
      <c r="C971" s="5" t="s">
        <v>2171</v>
      </c>
      <c r="D971" s="4"/>
      <c r="E971" s="4"/>
      <c r="F971" s="4" t="s">
        <v>22</v>
      </c>
      <c r="G971" s="6">
        <v>1.28</v>
      </c>
      <c r="H971" s="7" t="s">
        <v>1606</v>
      </c>
      <c r="I971" s="4" t="s">
        <v>1574</v>
      </c>
      <c r="J971" s="4" t="s">
        <v>830</v>
      </c>
      <c r="K971" s="8"/>
      <c r="L971" s="8" t="s">
        <v>2169</v>
      </c>
      <c r="M971" s="9">
        <f t="shared" si="1"/>
        <v>74</v>
      </c>
    </row>
    <row r="972" ht="12.75" customHeight="1">
      <c r="A972" s="4">
        <f t="shared" si="2"/>
        <v>971</v>
      </c>
      <c r="B972" s="4" t="s">
        <v>2172</v>
      </c>
      <c r="C972" s="5" t="s">
        <v>2173</v>
      </c>
      <c r="D972" s="4"/>
      <c r="E972" s="4"/>
      <c r="F972" s="4" t="s">
        <v>22</v>
      </c>
      <c r="G972" s="6">
        <v>5.12</v>
      </c>
      <c r="H972" s="7" t="s">
        <v>1606</v>
      </c>
      <c r="I972" s="4" t="s">
        <v>1574</v>
      </c>
      <c r="J972" s="4" t="s">
        <v>830</v>
      </c>
      <c r="K972" s="8"/>
      <c r="L972" s="4" t="s">
        <v>2152</v>
      </c>
      <c r="M972" s="9">
        <f t="shared" si="1"/>
        <v>46</v>
      </c>
    </row>
    <row r="973" ht="12.75" customHeight="1">
      <c r="A973" s="4">
        <f t="shared" si="2"/>
        <v>972</v>
      </c>
      <c r="B973" s="4" t="s">
        <v>2174</v>
      </c>
      <c r="C973" s="5" t="s">
        <v>2175</v>
      </c>
      <c r="D973" s="4"/>
      <c r="E973" s="4"/>
      <c r="F973" s="4" t="s">
        <v>22</v>
      </c>
      <c r="G973" s="6">
        <v>7.34</v>
      </c>
      <c r="H973" s="7" t="s">
        <v>1606</v>
      </c>
      <c r="I973" s="4" t="s">
        <v>1574</v>
      </c>
      <c r="J973" s="4" t="s">
        <v>830</v>
      </c>
      <c r="K973" s="8"/>
      <c r="L973" s="4" t="s">
        <v>2152</v>
      </c>
      <c r="M973" s="9">
        <f t="shared" si="1"/>
        <v>46</v>
      </c>
    </row>
    <row r="974" ht="12.75" customHeight="1">
      <c r="A974" s="4">
        <f t="shared" si="2"/>
        <v>973</v>
      </c>
      <c r="B974" s="4" t="s">
        <v>2176</v>
      </c>
      <c r="C974" s="5" t="s">
        <v>2177</v>
      </c>
      <c r="D974" s="4"/>
      <c r="E974" s="4"/>
      <c r="F974" s="4" t="s">
        <v>22</v>
      </c>
      <c r="G974" s="6">
        <v>3.42</v>
      </c>
      <c r="H974" s="7" t="s">
        <v>1606</v>
      </c>
      <c r="I974" s="4" t="s">
        <v>1574</v>
      </c>
      <c r="J974" s="4" t="s">
        <v>830</v>
      </c>
      <c r="K974" s="8"/>
      <c r="L974" s="4" t="s">
        <v>2152</v>
      </c>
      <c r="M974" s="9">
        <f t="shared" si="1"/>
        <v>47</v>
      </c>
    </row>
    <row r="975" ht="12.75" customHeight="1">
      <c r="A975" s="4">
        <f t="shared" si="2"/>
        <v>974</v>
      </c>
      <c r="B975" s="4" t="s">
        <v>2178</v>
      </c>
      <c r="C975" s="5" t="s">
        <v>2179</v>
      </c>
      <c r="D975" s="4"/>
      <c r="E975" s="4"/>
      <c r="F975" s="4" t="s">
        <v>22</v>
      </c>
      <c r="G975" s="6">
        <v>7.65</v>
      </c>
      <c r="H975" s="7" t="s">
        <v>1606</v>
      </c>
      <c r="I975" s="4" t="s">
        <v>1574</v>
      </c>
      <c r="J975" s="4" t="s">
        <v>830</v>
      </c>
      <c r="K975" s="8"/>
      <c r="L975" s="4" t="s">
        <v>2152</v>
      </c>
      <c r="M975" s="9">
        <f t="shared" si="1"/>
        <v>46</v>
      </c>
    </row>
    <row r="976" ht="12.75" customHeight="1">
      <c r="A976" s="4">
        <f t="shared" si="2"/>
        <v>975</v>
      </c>
      <c r="B976" s="4" t="s">
        <v>2180</v>
      </c>
      <c r="C976" s="5" t="s">
        <v>2181</v>
      </c>
      <c r="D976" s="4"/>
      <c r="E976" s="4"/>
      <c r="F976" s="4" t="s">
        <v>22</v>
      </c>
      <c r="G976" s="6">
        <v>1.25</v>
      </c>
      <c r="H976" s="7" t="s">
        <v>1606</v>
      </c>
      <c r="I976" s="4" t="s">
        <v>1574</v>
      </c>
      <c r="J976" s="4" t="s">
        <v>830</v>
      </c>
      <c r="K976" s="8"/>
      <c r="L976" s="8" t="s">
        <v>33</v>
      </c>
      <c r="M976" s="9">
        <f t="shared" si="1"/>
        <v>55</v>
      </c>
    </row>
    <row r="977" ht="12.75" customHeight="1">
      <c r="A977" s="4">
        <f t="shared" si="2"/>
        <v>976</v>
      </c>
      <c r="B977" s="4" t="s">
        <v>2182</v>
      </c>
      <c r="C977" s="5" t="s">
        <v>2183</v>
      </c>
      <c r="D977" s="4"/>
      <c r="E977" s="4"/>
      <c r="F977" s="4" t="s">
        <v>22</v>
      </c>
      <c r="G977" s="6">
        <v>4.52</v>
      </c>
      <c r="H977" s="7" t="s">
        <v>1606</v>
      </c>
      <c r="I977" s="4" t="s">
        <v>1574</v>
      </c>
      <c r="J977" s="4" t="s">
        <v>830</v>
      </c>
      <c r="K977" s="8"/>
      <c r="L977" s="4" t="s">
        <v>2152</v>
      </c>
      <c r="M977" s="9">
        <f t="shared" si="1"/>
        <v>45</v>
      </c>
    </row>
    <row r="978" ht="12.75" customHeight="1">
      <c r="A978" s="4">
        <f t="shared" si="2"/>
        <v>977</v>
      </c>
      <c r="B978" s="4" t="s">
        <v>2184</v>
      </c>
      <c r="C978" s="5" t="s">
        <v>2185</v>
      </c>
      <c r="D978" s="4"/>
      <c r="E978" s="4"/>
      <c r="F978" s="4" t="s">
        <v>22</v>
      </c>
      <c r="G978" s="6">
        <v>3.58</v>
      </c>
      <c r="H978" s="7" t="s">
        <v>1606</v>
      </c>
      <c r="I978" s="4" t="s">
        <v>1574</v>
      </c>
      <c r="J978" s="4" t="s">
        <v>830</v>
      </c>
      <c r="K978" s="8"/>
      <c r="L978" s="8" t="s">
        <v>2169</v>
      </c>
      <c r="M978" s="9">
        <f t="shared" si="1"/>
        <v>76</v>
      </c>
    </row>
    <row r="979" ht="12.75" customHeight="1">
      <c r="A979" s="4">
        <f t="shared" si="2"/>
        <v>978</v>
      </c>
      <c r="B979" s="4" t="s">
        <v>2186</v>
      </c>
      <c r="C979" s="5" t="s">
        <v>2187</v>
      </c>
      <c r="D979" s="4"/>
      <c r="E979" s="4"/>
      <c r="F979" s="4" t="s">
        <v>22</v>
      </c>
      <c r="G979" s="6">
        <v>4.4</v>
      </c>
      <c r="H979" s="7" t="s">
        <v>1606</v>
      </c>
      <c r="I979" s="4" t="s">
        <v>1574</v>
      </c>
      <c r="J979" s="4" t="s">
        <v>830</v>
      </c>
      <c r="K979" s="8"/>
      <c r="L979" s="8" t="s">
        <v>2169</v>
      </c>
      <c r="M979" s="9">
        <f t="shared" si="1"/>
        <v>72</v>
      </c>
    </row>
    <row r="980" ht="12.75" customHeight="1">
      <c r="A980" s="4">
        <f t="shared" si="2"/>
        <v>979</v>
      </c>
      <c r="B980" s="4" t="s">
        <v>2188</v>
      </c>
      <c r="C980" s="5" t="s">
        <v>2189</v>
      </c>
      <c r="D980" s="4"/>
      <c r="E980" s="4"/>
      <c r="F980" s="4" t="s">
        <v>22</v>
      </c>
      <c r="G980" s="6">
        <v>3.98</v>
      </c>
      <c r="H980" s="7" t="s">
        <v>1606</v>
      </c>
      <c r="I980" s="4" t="s">
        <v>1574</v>
      </c>
      <c r="J980" s="4" t="s">
        <v>830</v>
      </c>
      <c r="K980" s="8"/>
      <c r="L980" s="4" t="s">
        <v>2152</v>
      </c>
      <c r="M980" s="9">
        <f t="shared" si="1"/>
        <v>42</v>
      </c>
    </row>
    <row r="981" ht="12.75" customHeight="1">
      <c r="A981" s="4">
        <f t="shared" si="2"/>
        <v>980</v>
      </c>
      <c r="B981" s="4" t="s">
        <v>2190</v>
      </c>
      <c r="C981" s="5" t="s">
        <v>2191</v>
      </c>
      <c r="D981" s="4"/>
      <c r="E981" s="4"/>
      <c r="F981" s="4" t="s">
        <v>22</v>
      </c>
      <c r="G981" s="6">
        <v>3.77</v>
      </c>
      <c r="H981" s="7" t="s">
        <v>1606</v>
      </c>
      <c r="I981" s="4" t="s">
        <v>1574</v>
      </c>
      <c r="J981" s="4" t="s">
        <v>830</v>
      </c>
      <c r="K981" s="8"/>
      <c r="L981" s="8" t="s">
        <v>2152</v>
      </c>
      <c r="M981" s="9">
        <f t="shared" si="1"/>
        <v>49</v>
      </c>
    </row>
    <row r="982" ht="12.75" customHeight="1">
      <c r="A982" s="4">
        <f t="shared" si="2"/>
        <v>981</v>
      </c>
      <c r="B982" s="4" t="s">
        <v>2192</v>
      </c>
      <c r="C982" s="5" t="s">
        <v>2193</v>
      </c>
      <c r="D982" s="4"/>
      <c r="E982" s="4"/>
      <c r="F982" s="4" t="s">
        <v>22</v>
      </c>
      <c r="G982" s="6">
        <v>2.38</v>
      </c>
      <c r="H982" s="7" t="s">
        <v>1606</v>
      </c>
      <c r="I982" s="4" t="s">
        <v>1574</v>
      </c>
      <c r="J982" s="4" t="s">
        <v>830</v>
      </c>
      <c r="K982" s="8"/>
      <c r="L982" s="8" t="s">
        <v>2152</v>
      </c>
      <c r="M982" s="9">
        <f t="shared" si="1"/>
        <v>50</v>
      </c>
    </row>
    <row r="983" ht="12.75" customHeight="1">
      <c r="A983" s="4">
        <f t="shared" si="2"/>
        <v>982</v>
      </c>
      <c r="B983" s="4" t="s">
        <v>2194</v>
      </c>
      <c r="C983" s="5" t="s">
        <v>2195</v>
      </c>
      <c r="D983" s="4"/>
      <c r="E983" s="4"/>
      <c r="F983" s="4" t="s">
        <v>22</v>
      </c>
      <c r="G983" s="6">
        <v>2.97</v>
      </c>
      <c r="H983" s="7" t="s">
        <v>1606</v>
      </c>
      <c r="I983" s="4" t="s">
        <v>1574</v>
      </c>
      <c r="J983" s="4" t="s">
        <v>830</v>
      </c>
      <c r="K983" s="8"/>
      <c r="L983" s="8" t="s">
        <v>2152</v>
      </c>
      <c r="M983" s="9">
        <f t="shared" si="1"/>
        <v>49</v>
      </c>
    </row>
    <row r="984" ht="12.75" customHeight="1">
      <c r="A984" s="4">
        <f t="shared" si="2"/>
        <v>983</v>
      </c>
      <c r="B984" s="4" t="s">
        <v>2196</v>
      </c>
      <c r="C984" s="5" t="s">
        <v>2197</v>
      </c>
      <c r="D984" s="4"/>
      <c r="E984" s="4"/>
      <c r="F984" s="4" t="s">
        <v>22</v>
      </c>
      <c r="G984" s="6">
        <v>3.61</v>
      </c>
      <c r="H984" s="7" t="s">
        <v>1606</v>
      </c>
      <c r="I984" s="4" t="s">
        <v>1574</v>
      </c>
      <c r="J984" s="4" t="s">
        <v>830</v>
      </c>
      <c r="K984" s="8"/>
      <c r="L984" s="8" t="s">
        <v>2152</v>
      </c>
      <c r="M984" s="9">
        <f t="shared" si="1"/>
        <v>47</v>
      </c>
    </row>
    <row r="985" ht="12.75" customHeight="1">
      <c r="A985" s="4">
        <f t="shared" si="2"/>
        <v>984</v>
      </c>
      <c r="B985" s="4" t="s">
        <v>2198</v>
      </c>
      <c r="C985" s="5" t="s">
        <v>2199</v>
      </c>
      <c r="D985" s="4"/>
      <c r="E985" s="4"/>
      <c r="F985" s="4" t="s">
        <v>22</v>
      </c>
      <c r="G985" s="6">
        <v>7.92</v>
      </c>
      <c r="H985" s="7" t="s">
        <v>1606</v>
      </c>
      <c r="I985" s="4" t="s">
        <v>1773</v>
      </c>
      <c r="J985" s="4" t="s">
        <v>2200</v>
      </c>
      <c r="K985" s="8"/>
      <c r="L985" s="8" t="s">
        <v>700</v>
      </c>
      <c r="M985" s="9">
        <f t="shared" si="1"/>
        <v>42</v>
      </c>
    </row>
    <row r="986" ht="12.75" customHeight="1">
      <c r="A986" s="4">
        <f t="shared" si="2"/>
        <v>985</v>
      </c>
      <c r="B986" s="4" t="s">
        <v>2201</v>
      </c>
      <c r="C986" s="5" t="s">
        <v>2202</v>
      </c>
      <c r="D986" s="4"/>
      <c r="E986" s="4"/>
      <c r="F986" s="4" t="s">
        <v>22</v>
      </c>
      <c r="G986" s="6">
        <v>7.92</v>
      </c>
      <c r="H986" s="7" t="s">
        <v>1606</v>
      </c>
      <c r="I986" s="4" t="s">
        <v>1773</v>
      </c>
      <c r="J986" s="4" t="s">
        <v>2200</v>
      </c>
      <c r="K986" s="8"/>
      <c r="L986" s="8" t="s">
        <v>700</v>
      </c>
      <c r="M986" s="9">
        <f t="shared" si="1"/>
        <v>45</v>
      </c>
    </row>
    <row r="987" ht="12.75" customHeight="1">
      <c r="A987" s="4">
        <f t="shared" si="2"/>
        <v>986</v>
      </c>
      <c r="B987" s="4" t="s">
        <v>2203</v>
      </c>
      <c r="C987" s="5" t="s">
        <v>2204</v>
      </c>
      <c r="D987" s="4"/>
      <c r="E987" s="4"/>
      <c r="F987" s="4" t="s">
        <v>22</v>
      </c>
      <c r="G987" s="6">
        <v>8.35</v>
      </c>
      <c r="H987" s="7" t="s">
        <v>1606</v>
      </c>
      <c r="I987" s="4" t="s">
        <v>1773</v>
      </c>
      <c r="J987" s="4" t="s">
        <v>2200</v>
      </c>
      <c r="K987" s="8"/>
      <c r="L987" s="8" t="s">
        <v>700</v>
      </c>
      <c r="M987" s="9">
        <f t="shared" si="1"/>
        <v>41</v>
      </c>
    </row>
    <row r="988" ht="12.75" customHeight="1">
      <c r="A988" s="4">
        <f t="shared" si="2"/>
        <v>987</v>
      </c>
      <c r="B988" s="4" t="s">
        <v>2205</v>
      </c>
      <c r="C988" s="5" t="s">
        <v>2206</v>
      </c>
      <c r="D988" s="4"/>
      <c r="E988" s="4"/>
      <c r="F988" s="4" t="s">
        <v>22</v>
      </c>
      <c r="G988" s="6">
        <v>8.35</v>
      </c>
      <c r="H988" s="7" t="s">
        <v>1606</v>
      </c>
      <c r="I988" s="4" t="s">
        <v>1773</v>
      </c>
      <c r="J988" s="4" t="s">
        <v>2200</v>
      </c>
      <c r="K988" s="8"/>
      <c r="L988" s="8" t="s">
        <v>700</v>
      </c>
      <c r="M988" s="9">
        <f t="shared" si="1"/>
        <v>44</v>
      </c>
    </row>
    <row r="989" ht="12.75" customHeight="1">
      <c r="A989" s="4">
        <f t="shared" si="2"/>
        <v>988</v>
      </c>
      <c r="B989" s="4" t="s">
        <v>2207</v>
      </c>
      <c r="C989" s="5" t="s">
        <v>2208</v>
      </c>
      <c r="D989" s="4"/>
      <c r="E989" s="4"/>
      <c r="F989" s="4" t="s">
        <v>22</v>
      </c>
      <c r="G989" s="6">
        <v>8.35</v>
      </c>
      <c r="H989" s="7" t="s">
        <v>1606</v>
      </c>
      <c r="I989" s="4" t="s">
        <v>1773</v>
      </c>
      <c r="J989" s="4" t="s">
        <v>2200</v>
      </c>
      <c r="K989" s="8"/>
      <c r="L989" s="8" t="s">
        <v>700</v>
      </c>
      <c r="M989" s="9">
        <f t="shared" si="1"/>
        <v>44</v>
      </c>
    </row>
    <row r="990" ht="12.75" customHeight="1">
      <c r="A990" s="4">
        <f t="shared" si="2"/>
        <v>989</v>
      </c>
      <c r="B990" s="4" t="s">
        <v>2209</v>
      </c>
      <c r="C990" s="5" t="s">
        <v>2210</v>
      </c>
      <c r="D990" s="4"/>
      <c r="E990" s="4"/>
      <c r="F990" s="4" t="s">
        <v>22</v>
      </c>
      <c r="G990" s="6">
        <v>8.35</v>
      </c>
      <c r="H990" s="7" t="s">
        <v>1606</v>
      </c>
      <c r="I990" s="4" t="s">
        <v>1773</v>
      </c>
      <c r="J990" s="4" t="s">
        <v>2200</v>
      </c>
      <c r="K990" s="8"/>
      <c r="L990" s="8" t="s">
        <v>700</v>
      </c>
      <c r="M990" s="9">
        <f t="shared" si="1"/>
        <v>47</v>
      </c>
    </row>
    <row r="991" ht="12.75" customHeight="1">
      <c r="A991" s="4">
        <f t="shared" si="2"/>
        <v>990</v>
      </c>
      <c r="B991" s="4" t="s">
        <v>2211</v>
      </c>
      <c r="C991" s="5" t="s">
        <v>2212</v>
      </c>
      <c r="D991" s="4"/>
      <c r="E991" s="4"/>
      <c r="F991" s="4" t="s">
        <v>22</v>
      </c>
      <c r="G991" s="6">
        <v>8.35</v>
      </c>
      <c r="H991" s="7" t="s">
        <v>1606</v>
      </c>
      <c r="I991" s="4" t="s">
        <v>1773</v>
      </c>
      <c r="J991" s="4" t="s">
        <v>2200</v>
      </c>
      <c r="K991" s="8"/>
      <c r="L991" s="8" t="s">
        <v>700</v>
      </c>
      <c r="M991" s="9">
        <f t="shared" si="1"/>
        <v>43</v>
      </c>
    </row>
    <row r="992" ht="12.75" customHeight="1">
      <c r="A992" s="4">
        <f t="shared" si="2"/>
        <v>991</v>
      </c>
      <c r="B992" s="4" t="s">
        <v>2213</v>
      </c>
      <c r="C992" s="5" t="s">
        <v>2214</v>
      </c>
      <c r="D992" s="4"/>
      <c r="E992" s="4"/>
      <c r="F992" s="4" t="s">
        <v>22</v>
      </c>
      <c r="G992" s="6">
        <v>8.35</v>
      </c>
      <c r="H992" s="7" t="s">
        <v>1606</v>
      </c>
      <c r="I992" s="4" t="s">
        <v>1773</v>
      </c>
      <c r="J992" s="4" t="s">
        <v>2200</v>
      </c>
      <c r="K992" s="8"/>
      <c r="L992" s="8" t="s">
        <v>700</v>
      </c>
      <c r="M992" s="9">
        <f t="shared" si="1"/>
        <v>46</v>
      </c>
    </row>
    <row r="993" ht="12.75" customHeight="1">
      <c r="A993" s="4">
        <f t="shared" si="2"/>
        <v>992</v>
      </c>
      <c r="B993" s="4" t="s">
        <v>2215</v>
      </c>
      <c r="C993" s="5" t="s">
        <v>2216</v>
      </c>
      <c r="D993" s="4"/>
      <c r="E993" s="4"/>
      <c r="F993" s="4" t="s">
        <v>22</v>
      </c>
      <c r="G993" s="6">
        <v>14.59</v>
      </c>
      <c r="H993" s="7" t="s">
        <v>1606</v>
      </c>
      <c r="I993" s="4" t="s">
        <v>1773</v>
      </c>
      <c r="J993" s="4" t="s">
        <v>2200</v>
      </c>
      <c r="K993" s="8"/>
      <c r="L993" s="8" t="s">
        <v>700</v>
      </c>
      <c r="M993" s="9">
        <f t="shared" si="1"/>
        <v>27</v>
      </c>
    </row>
    <row r="994" ht="12.75" customHeight="1">
      <c r="A994" s="4">
        <f t="shared" si="2"/>
        <v>993</v>
      </c>
      <c r="B994" s="4" t="s">
        <v>2217</v>
      </c>
      <c r="C994" s="5" t="s">
        <v>2218</v>
      </c>
      <c r="D994" s="4"/>
      <c r="E994" s="4"/>
      <c r="F994" s="4" t="s">
        <v>22</v>
      </c>
      <c r="G994" s="6">
        <v>12.16</v>
      </c>
      <c r="H994" s="7" t="s">
        <v>1606</v>
      </c>
      <c r="I994" s="4" t="s">
        <v>1773</v>
      </c>
      <c r="J994" s="4" t="s">
        <v>2200</v>
      </c>
      <c r="K994" s="8"/>
      <c r="L994" s="8" t="s">
        <v>700</v>
      </c>
      <c r="M994" s="9">
        <f t="shared" si="1"/>
        <v>26</v>
      </c>
    </row>
    <row r="995" ht="12.75" customHeight="1">
      <c r="A995" s="4">
        <f t="shared" si="2"/>
        <v>994</v>
      </c>
      <c r="B995" s="4" t="s">
        <v>2219</v>
      </c>
      <c r="C995" s="5" t="s">
        <v>2220</v>
      </c>
      <c r="D995" s="4"/>
      <c r="E995" s="4"/>
      <c r="F995" s="4" t="s">
        <v>22</v>
      </c>
      <c r="G995" s="6">
        <v>12.16</v>
      </c>
      <c r="H995" s="7" t="s">
        <v>1606</v>
      </c>
      <c r="I995" s="4" t="s">
        <v>1773</v>
      </c>
      <c r="J995" s="4" t="s">
        <v>2200</v>
      </c>
      <c r="K995" s="8"/>
      <c r="L995" s="8" t="s">
        <v>700</v>
      </c>
      <c r="M995" s="9">
        <f t="shared" si="1"/>
        <v>29</v>
      </c>
    </row>
    <row r="996" ht="12.75" customHeight="1">
      <c r="A996" s="4">
        <f t="shared" si="2"/>
        <v>995</v>
      </c>
      <c r="B996" s="4" t="s">
        <v>2221</v>
      </c>
      <c r="C996" s="5" t="s">
        <v>2222</v>
      </c>
      <c r="D996" s="4"/>
      <c r="E996" s="4"/>
      <c r="F996" s="4" t="s">
        <v>22</v>
      </c>
      <c r="G996" s="6">
        <v>12.16</v>
      </c>
      <c r="H996" s="7" t="s">
        <v>1606</v>
      </c>
      <c r="I996" s="4" t="s">
        <v>1773</v>
      </c>
      <c r="J996" s="4" t="s">
        <v>2200</v>
      </c>
      <c r="K996" s="8"/>
      <c r="L996" s="8" t="s">
        <v>700</v>
      </c>
      <c r="M996" s="9">
        <f t="shared" si="1"/>
        <v>28</v>
      </c>
    </row>
    <row r="997" ht="12.75" customHeight="1">
      <c r="A997" s="4">
        <f t="shared" si="2"/>
        <v>996</v>
      </c>
      <c r="B997" s="4" t="s">
        <v>2223</v>
      </c>
      <c r="C997" s="5" t="s">
        <v>2224</v>
      </c>
      <c r="D997" s="4"/>
      <c r="E997" s="4"/>
      <c r="F997" s="4" t="s">
        <v>22</v>
      </c>
      <c r="G997" s="6">
        <v>6.58</v>
      </c>
      <c r="H997" s="7" t="s">
        <v>1606</v>
      </c>
      <c r="I997" s="4" t="s">
        <v>17</v>
      </c>
      <c r="J997" s="4" t="s">
        <v>2225</v>
      </c>
      <c r="K997" s="8"/>
      <c r="L997" s="8" t="s">
        <v>33</v>
      </c>
      <c r="M997" s="9">
        <f t="shared" si="1"/>
        <v>36</v>
      </c>
    </row>
    <row r="998" ht="12.75" customHeight="1">
      <c r="A998" s="4">
        <f t="shared" si="2"/>
        <v>997</v>
      </c>
      <c r="B998" s="4" t="s">
        <v>2226</v>
      </c>
      <c r="C998" s="5" t="s">
        <v>2227</v>
      </c>
      <c r="D998" s="4"/>
      <c r="E998" s="4"/>
      <c r="F998" s="4" t="s">
        <v>22</v>
      </c>
      <c r="G998" s="6">
        <v>8.11</v>
      </c>
      <c r="H998" s="7" t="s">
        <v>1606</v>
      </c>
      <c r="I998" s="4" t="s">
        <v>17</v>
      </c>
      <c r="J998" s="4" t="s">
        <v>2225</v>
      </c>
      <c r="K998" s="8"/>
      <c r="L998" s="8" t="s">
        <v>33</v>
      </c>
      <c r="M998" s="9">
        <f t="shared" si="1"/>
        <v>48</v>
      </c>
    </row>
    <row r="999" ht="12.75" customHeight="1">
      <c r="A999" s="4">
        <f t="shared" si="2"/>
        <v>998</v>
      </c>
      <c r="B999" s="4" t="s">
        <v>2228</v>
      </c>
      <c r="C999" s="5" t="s">
        <v>2229</v>
      </c>
      <c r="D999" s="4"/>
      <c r="E999" s="4"/>
      <c r="F999" s="4" t="s">
        <v>22</v>
      </c>
      <c r="G999" s="6">
        <v>4.2</v>
      </c>
      <c r="H999" s="7" t="s">
        <v>1606</v>
      </c>
      <c r="I999" s="4" t="s">
        <v>1623</v>
      </c>
      <c r="J999" s="4" t="s">
        <v>2230</v>
      </c>
      <c r="K999" s="8"/>
      <c r="L999" s="8" t="s">
        <v>2231</v>
      </c>
      <c r="M999" s="9">
        <f t="shared" si="1"/>
        <v>45</v>
      </c>
    </row>
    <row r="1000" ht="12.75" customHeight="1">
      <c r="A1000" s="4">
        <f t="shared" si="2"/>
        <v>999</v>
      </c>
      <c r="B1000" s="4" t="s">
        <v>2232</v>
      </c>
      <c r="C1000" s="5" t="s">
        <v>2233</v>
      </c>
      <c r="D1000" s="4"/>
      <c r="E1000" s="4"/>
      <c r="F1000" s="4" t="s">
        <v>22</v>
      </c>
      <c r="G1000" s="6">
        <v>65.05</v>
      </c>
      <c r="H1000" s="7" t="s">
        <v>1606</v>
      </c>
      <c r="I1000" s="4" t="s">
        <v>1623</v>
      </c>
      <c r="J1000" s="4" t="s">
        <v>2230</v>
      </c>
      <c r="K1000" s="8"/>
      <c r="L1000" s="8" t="s">
        <v>2231</v>
      </c>
      <c r="M1000" s="9">
        <f t="shared" si="1"/>
        <v>46</v>
      </c>
    </row>
    <row r="1001" ht="12.75" customHeight="1">
      <c r="A1001" s="4">
        <f t="shared" si="2"/>
        <v>1000</v>
      </c>
      <c r="B1001" s="4" t="s">
        <v>2234</v>
      </c>
      <c r="C1001" s="5" t="s">
        <v>2235</v>
      </c>
      <c r="D1001" s="4"/>
      <c r="E1001" s="4"/>
      <c r="F1001" s="4" t="s">
        <v>22</v>
      </c>
      <c r="G1001" s="6">
        <v>8.12</v>
      </c>
      <c r="H1001" s="7" t="s">
        <v>1606</v>
      </c>
      <c r="I1001" s="4" t="s">
        <v>1623</v>
      </c>
      <c r="J1001" s="4" t="s">
        <v>2230</v>
      </c>
      <c r="K1001" s="8"/>
      <c r="L1001" s="8" t="s">
        <v>2231</v>
      </c>
      <c r="M1001" s="9">
        <f t="shared" si="1"/>
        <v>45</v>
      </c>
    </row>
    <row r="1002" ht="12.75" customHeight="1">
      <c r="A1002" s="4">
        <f t="shared" si="2"/>
        <v>1001</v>
      </c>
      <c r="B1002" s="4" t="s">
        <v>2236</v>
      </c>
      <c r="C1002" s="5" t="s">
        <v>2237</v>
      </c>
      <c r="D1002" s="4"/>
      <c r="E1002" s="4"/>
      <c r="F1002" s="4" t="s">
        <v>22</v>
      </c>
      <c r="G1002" s="6">
        <v>12.04</v>
      </c>
      <c r="H1002" s="7" t="s">
        <v>1606</v>
      </c>
      <c r="I1002" s="4" t="s">
        <v>1623</v>
      </c>
      <c r="J1002" s="4" t="s">
        <v>2230</v>
      </c>
      <c r="K1002" s="8"/>
      <c r="L1002" s="8" t="s">
        <v>2231</v>
      </c>
      <c r="M1002" s="9">
        <f t="shared" si="1"/>
        <v>45</v>
      </c>
    </row>
    <row r="1003" ht="12.75" customHeight="1">
      <c r="A1003" s="4">
        <f t="shared" si="2"/>
        <v>1002</v>
      </c>
      <c r="B1003" s="4" t="s">
        <v>2238</v>
      </c>
      <c r="C1003" s="5" t="s">
        <v>2239</v>
      </c>
      <c r="D1003" s="4"/>
      <c r="E1003" s="4"/>
      <c r="F1003" s="4" t="s">
        <v>22</v>
      </c>
      <c r="G1003" s="6">
        <v>22.5</v>
      </c>
      <c r="H1003" s="7" t="s">
        <v>1606</v>
      </c>
      <c r="I1003" s="4" t="s">
        <v>1623</v>
      </c>
      <c r="J1003" s="4" t="s">
        <v>2230</v>
      </c>
      <c r="K1003" s="8"/>
      <c r="L1003" s="8" t="s">
        <v>2231</v>
      </c>
      <c r="M1003" s="9">
        <f t="shared" si="1"/>
        <v>45</v>
      </c>
    </row>
    <row r="1004" ht="12.75" customHeight="1">
      <c r="A1004" s="4">
        <f t="shared" si="2"/>
        <v>1003</v>
      </c>
      <c r="B1004" s="4" t="s">
        <v>2240</v>
      </c>
      <c r="C1004" s="5" t="s">
        <v>2241</v>
      </c>
      <c r="D1004" s="4"/>
      <c r="E1004" s="4"/>
      <c r="F1004" s="4" t="s">
        <v>22</v>
      </c>
      <c r="G1004" s="6">
        <v>35.65</v>
      </c>
      <c r="H1004" s="7" t="s">
        <v>1606</v>
      </c>
      <c r="I1004" s="4" t="s">
        <v>1623</v>
      </c>
      <c r="J1004" s="4" t="s">
        <v>2230</v>
      </c>
      <c r="K1004" s="8"/>
      <c r="L1004" s="8" t="s">
        <v>2231</v>
      </c>
      <c r="M1004" s="9">
        <f t="shared" si="1"/>
        <v>45</v>
      </c>
    </row>
    <row r="1005" ht="12.75" customHeight="1">
      <c r="A1005" s="4">
        <f t="shared" si="2"/>
        <v>1004</v>
      </c>
      <c r="B1005" s="4" t="s">
        <v>2242</v>
      </c>
      <c r="C1005" s="5" t="s">
        <v>2243</v>
      </c>
      <c r="D1005" s="4"/>
      <c r="E1005" s="4"/>
      <c r="F1005" s="4" t="s">
        <v>22</v>
      </c>
      <c r="G1005" s="6">
        <v>42.5</v>
      </c>
      <c r="H1005" s="7" t="s">
        <v>1606</v>
      </c>
      <c r="I1005" s="4" t="s">
        <v>1623</v>
      </c>
      <c r="J1005" s="4" t="s">
        <v>2230</v>
      </c>
      <c r="K1005" s="8"/>
      <c r="L1005" s="8" t="s">
        <v>2231</v>
      </c>
      <c r="M1005" s="9">
        <f t="shared" si="1"/>
        <v>45</v>
      </c>
    </row>
    <row r="1006" ht="12.75" customHeight="1">
      <c r="A1006" s="4">
        <f t="shared" si="2"/>
        <v>1005</v>
      </c>
      <c r="B1006" s="4" t="s">
        <v>2244</v>
      </c>
      <c r="C1006" s="5" t="s">
        <v>2245</v>
      </c>
      <c r="D1006" s="4"/>
      <c r="E1006" s="4"/>
      <c r="F1006" s="4" t="s">
        <v>22</v>
      </c>
      <c r="G1006" s="6">
        <v>4.2</v>
      </c>
      <c r="H1006" s="7" t="s">
        <v>1606</v>
      </c>
      <c r="I1006" s="4" t="s">
        <v>1623</v>
      </c>
      <c r="J1006" s="4" t="s">
        <v>2230</v>
      </c>
      <c r="K1006" s="8"/>
      <c r="L1006" s="8" t="s">
        <v>2231</v>
      </c>
      <c r="M1006" s="9">
        <f t="shared" si="1"/>
        <v>42</v>
      </c>
    </row>
    <row r="1007" ht="12.75" customHeight="1">
      <c r="A1007" s="4">
        <f t="shared" si="2"/>
        <v>1006</v>
      </c>
      <c r="B1007" s="4" t="s">
        <v>2246</v>
      </c>
      <c r="C1007" s="5" t="s">
        <v>2247</v>
      </c>
      <c r="D1007" s="4"/>
      <c r="E1007" s="4"/>
      <c r="F1007" s="4" t="s">
        <v>22</v>
      </c>
      <c r="G1007" s="6">
        <v>67.57</v>
      </c>
      <c r="H1007" s="7" t="s">
        <v>1606</v>
      </c>
      <c r="I1007" s="4" t="s">
        <v>1623</v>
      </c>
      <c r="J1007" s="4" t="s">
        <v>2230</v>
      </c>
      <c r="K1007" s="8"/>
      <c r="L1007" s="8" t="s">
        <v>2231</v>
      </c>
      <c r="M1007" s="9">
        <f t="shared" si="1"/>
        <v>43</v>
      </c>
    </row>
    <row r="1008" ht="12.75" customHeight="1">
      <c r="A1008" s="4">
        <f t="shared" si="2"/>
        <v>1007</v>
      </c>
      <c r="B1008" s="4" t="s">
        <v>2248</v>
      </c>
      <c r="C1008" s="5" t="s">
        <v>2249</v>
      </c>
      <c r="D1008" s="4"/>
      <c r="E1008" s="4"/>
      <c r="F1008" s="4" t="s">
        <v>22</v>
      </c>
      <c r="G1008" s="6">
        <v>65.8</v>
      </c>
      <c r="H1008" s="7" t="s">
        <v>1606</v>
      </c>
      <c r="I1008" s="4" t="s">
        <v>1623</v>
      </c>
      <c r="J1008" s="4" t="s">
        <v>2230</v>
      </c>
      <c r="K1008" s="8"/>
      <c r="L1008" s="8" t="s">
        <v>2231</v>
      </c>
      <c r="M1008" s="9">
        <f t="shared" si="1"/>
        <v>43</v>
      </c>
    </row>
    <row r="1009" ht="12.75" customHeight="1">
      <c r="A1009" s="4">
        <f t="shared" si="2"/>
        <v>1008</v>
      </c>
      <c r="B1009" s="4" t="s">
        <v>2250</v>
      </c>
      <c r="C1009" s="5" t="s">
        <v>2251</v>
      </c>
      <c r="D1009" s="4"/>
      <c r="E1009" s="4"/>
      <c r="F1009" s="4" t="s">
        <v>22</v>
      </c>
      <c r="G1009" s="6">
        <v>6.76</v>
      </c>
      <c r="H1009" s="7" t="s">
        <v>1606</v>
      </c>
      <c r="I1009" s="4" t="s">
        <v>1623</v>
      </c>
      <c r="J1009" s="4" t="s">
        <v>2230</v>
      </c>
      <c r="K1009" s="8"/>
      <c r="L1009" s="8" t="s">
        <v>2231</v>
      </c>
      <c r="M1009" s="9">
        <f t="shared" si="1"/>
        <v>42</v>
      </c>
    </row>
    <row r="1010" ht="12.75" customHeight="1">
      <c r="A1010" s="4">
        <f t="shared" si="2"/>
        <v>1009</v>
      </c>
      <c r="B1010" s="4" t="s">
        <v>2252</v>
      </c>
      <c r="C1010" s="5" t="s">
        <v>2253</v>
      </c>
      <c r="D1010" s="4"/>
      <c r="E1010" s="4"/>
      <c r="F1010" s="4" t="s">
        <v>22</v>
      </c>
      <c r="G1010" s="6">
        <v>10.21</v>
      </c>
      <c r="H1010" s="7" t="s">
        <v>1606</v>
      </c>
      <c r="I1010" s="4" t="s">
        <v>1623</v>
      </c>
      <c r="J1010" s="4" t="s">
        <v>2230</v>
      </c>
      <c r="K1010" s="8"/>
      <c r="L1010" s="8" t="s">
        <v>2231</v>
      </c>
      <c r="M1010" s="9">
        <f t="shared" si="1"/>
        <v>42</v>
      </c>
    </row>
    <row r="1011" ht="12.75" customHeight="1">
      <c r="A1011" s="4">
        <f t="shared" si="2"/>
        <v>1010</v>
      </c>
      <c r="B1011" s="4" t="s">
        <v>2254</v>
      </c>
      <c r="C1011" s="5" t="s">
        <v>2255</v>
      </c>
      <c r="D1011" s="4"/>
      <c r="E1011" s="4"/>
      <c r="F1011" s="4" t="s">
        <v>22</v>
      </c>
      <c r="G1011" s="6">
        <v>14.86</v>
      </c>
      <c r="H1011" s="7" t="s">
        <v>1606</v>
      </c>
      <c r="I1011" s="4" t="s">
        <v>1623</v>
      </c>
      <c r="J1011" s="4" t="s">
        <v>2230</v>
      </c>
      <c r="K1011" s="8"/>
      <c r="L1011" s="8" t="s">
        <v>2231</v>
      </c>
      <c r="M1011" s="9">
        <f t="shared" si="1"/>
        <v>42</v>
      </c>
    </row>
    <row r="1012" ht="12.75" customHeight="1">
      <c r="A1012" s="4">
        <f t="shared" si="2"/>
        <v>1011</v>
      </c>
      <c r="B1012" s="4" t="s">
        <v>2256</v>
      </c>
      <c r="C1012" s="5" t="s">
        <v>2257</v>
      </c>
      <c r="D1012" s="4"/>
      <c r="E1012" s="4"/>
      <c r="F1012" s="4" t="s">
        <v>22</v>
      </c>
      <c r="G1012" s="6">
        <v>18.65</v>
      </c>
      <c r="H1012" s="7" t="s">
        <v>1606</v>
      </c>
      <c r="I1012" s="4" t="s">
        <v>1623</v>
      </c>
      <c r="J1012" s="4" t="s">
        <v>2230</v>
      </c>
      <c r="K1012" s="8"/>
      <c r="L1012" s="8" t="s">
        <v>2231</v>
      </c>
      <c r="M1012" s="9">
        <f t="shared" si="1"/>
        <v>42</v>
      </c>
    </row>
    <row r="1013" ht="12.75" customHeight="1">
      <c r="A1013" s="4">
        <f t="shared" si="2"/>
        <v>1012</v>
      </c>
      <c r="B1013" s="4" t="s">
        <v>2258</v>
      </c>
      <c r="C1013" s="5" t="s">
        <v>2259</v>
      </c>
      <c r="D1013" s="4"/>
      <c r="E1013" s="4"/>
      <c r="F1013" s="4" t="s">
        <v>22</v>
      </c>
      <c r="G1013" s="6">
        <v>22.4</v>
      </c>
      <c r="H1013" s="7" t="s">
        <v>1606</v>
      </c>
      <c r="I1013" s="4" t="s">
        <v>1623</v>
      </c>
      <c r="J1013" s="4" t="s">
        <v>2230</v>
      </c>
      <c r="K1013" s="8"/>
      <c r="L1013" s="8" t="s">
        <v>2231</v>
      </c>
      <c r="M1013" s="9">
        <f t="shared" si="1"/>
        <v>42</v>
      </c>
    </row>
    <row r="1014" ht="12.75" customHeight="1">
      <c r="A1014" s="4">
        <f t="shared" si="2"/>
        <v>1013</v>
      </c>
      <c r="B1014" s="4" t="s">
        <v>2260</v>
      </c>
      <c r="C1014" s="5" t="s">
        <v>2261</v>
      </c>
      <c r="D1014" s="4"/>
      <c r="E1014" s="4"/>
      <c r="F1014" s="4" t="s">
        <v>22</v>
      </c>
      <c r="G1014" s="6">
        <v>28.4</v>
      </c>
      <c r="H1014" s="7" t="s">
        <v>1606</v>
      </c>
      <c r="I1014" s="4" t="s">
        <v>1623</v>
      </c>
      <c r="J1014" s="4" t="s">
        <v>2230</v>
      </c>
      <c r="K1014" s="8"/>
      <c r="L1014" s="8" t="s">
        <v>2231</v>
      </c>
      <c r="M1014" s="9">
        <f t="shared" si="1"/>
        <v>42</v>
      </c>
    </row>
    <row r="1015" ht="12.75" customHeight="1">
      <c r="A1015" s="4">
        <f t="shared" si="2"/>
        <v>1014</v>
      </c>
      <c r="B1015" s="4" t="s">
        <v>2262</v>
      </c>
      <c r="C1015" s="5" t="s">
        <v>2263</v>
      </c>
      <c r="D1015" s="4"/>
      <c r="E1015" s="4"/>
      <c r="F1015" s="4" t="s">
        <v>22</v>
      </c>
      <c r="G1015" s="6">
        <v>3.24</v>
      </c>
      <c r="H1015" s="7" t="s">
        <v>1606</v>
      </c>
      <c r="I1015" s="4" t="s">
        <v>1746</v>
      </c>
      <c r="J1015" s="4" t="s">
        <v>2264</v>
      </c>
      <c r="K1015" s="8"/>
      <c r="L1015" s="8" t="s">
        <v>33</v>
      </c>
      <c r="M1015" s="9">
        <f t="shared" si="1"/>
        <v>47</v>
      </c>
    </row>
    <row r="1016" ht="12.75" customHeight="1">
      <c r="A1016" s="4">
        <f t="shared" si="2"/>
        <v>1015</v>
      </c>
      <c r="B1016" s="4" t="s">
        <v>2265</v>
      </c>
      <c r="C1016" s="5" t="s">
        <v>2266</v>
      </c>
      <c r="D1016" s="4"/>
      <c r="E1016" s="4"/>
      <c r="F1016" s="4" t="s">
        <v>22</v>
      </c>
      <c r="G1016" s="6">
        <v>1.62</v>
      </c>
      <c r="H1016" s="7" t="s">
        <v>1606</v>
      </c>
      <c r="I1016" s="4" t="s">
        <v>1746</v>
      </c>
      <c r="J1016" s="4" t="s">
        <v>2264</v>
      </c>
      <c r="K1016" s="8"/>
      <c r="L1016" s="8" t="s">
        <v>33</v>
      </c>
      <c r="M1016" s="9">
        <f t="shared" si="1"/>
        <v>47</v>
      </c>
    </row>
    <row r="1017" ht="12.75" customHeight="1">
      <c r="A1017" s="4">
        <f t="shared" si="2"/>
        <v>1016</v>
      </c>
      <c r="B1017" s="4" t="s">
        <v>2267</v>
      </c>
      <c r="C1017" s="5" t="s">
        <v>2268</v>
      </c>
      <c r="D1017" s="4"/>
      <c r="E1017" s="4"/>
      <c r="F1017" s="4" t="s">
        <v>22</v>
      </c>
      <c r="G1017" s="6">
        <v>2.43</v>
      </c>
      <c r="H1017" s="7" t="s">
        <v>1606</v>
      </c>
      <c r="I1017" s="4" t="s">
        <v>1746</v>
      </c>
      <c r="J1017" s="4" t="s">
        <v>2264</v>
      </c>
      <c r="K1017" s="8"/>
      <c r="L1017" s="8" t="s">
        <v>33</v>
      </c>
      <c r="M1017" s="9">
        <f t="shared" si="1"/>
        <v>47</v>
      </c>
    </row>
    <row r="1018" ht="12.75" customHeight="1">
      <c r="A1018" s="4">
        <f t="shared" si="2"/>
        <v>1017</v>
      </c>
      <c r="B1018" s="4" t="s">
        <v>2269</v>
      </c>
      <c r="C1018" s="5" t="s">
        <v>2270</v>
      </c>
      <c r="D1018" s="4"/>
      <c r="E1018" s="4"/>
      <c r="F1018" s="4" t="s">
        <v>22</v>
      </c>
      <c r="G1018" s="6">
        <v>4.25</v>
      </c>
      <c r="H1018" s="7" t="s">
        <v>1606</v>
      </c>
      <c r="I1018" s="4" t="s">
        <v>1746</v>
      </c>
      <c r="J1018" s="4" t="s">
        <v>2264</v>
      </c>
      <c r="K1018" s="8"/>
      <c r="L1018" s="8" t="s">
        <v>33</v>
      </c>
      <c r="M1018" s="9">
        <f t="shared" si="1"/>
        <v>56</v>
      </c>
    </row>
    <row r="1019" ht="12.75" customHeight="1">
      <c r="A1019" s="4">
        <f t="shared" si="2"/>
        <v>1018</v>
      </c>
      <c r="B1019" s="4" t="s">
        <v>2271</v>
      </c>
      <c r="C1019" s="5" t="s">
        <v>2272</v>
      </c>
      <c r="D1019" s="4"/>
      <c r="E1019" s="4"/>
      <c r="F1019" s="4" t="s">
        <v>22</v>
      </c>
      <c r="G1019" s="6">
        <v>4.59</v>
      </c>
      <c r="H1019" s="7" t="s">
        <v>1606</v>
      </c>
      <c r="I1019" s="4" t="s">
        <v>1746</v>
      </c>
      <c r="J1019" s="4" t="s">
        <v>2264</v>
      </c>
      <c r="K1019" s="8"/>
      <c r="L1019" s="8" t="s">
        <v>33</v>
      </c>
      <c r="M1019" s="9">
        <f t="shared" si="1"/>
        <v>56</v>
      </c>
    </row>
    <row r="1020" ht="12.75" customHeight="1">
      <c r="A1020" s="4">
        <f t="shared" si="2"/>
        <v>1019</v>
      </c>
      <c r="B1020" s="4" t="s">
        <v>2273</v>
      </c>
      <c r="C1020" s="5" t="s">
        <v>2274</v>
      </c>
      <c r="D1020" s="4"/>
      <c r="E1020" s="4"/>
      <c r="F1020" s="4" t="s">
        <v>22</v>
      </c>
      <c r="G1020" s="6">
        <v>6.2</v>
      </c>
      <c r="H1020" s="7" t="s">
        <v>1606</v>
      </c>
      <c r="I1020" s="4" t="s">
        <v>1746</v>
      </c>
      <c r="J1020" s="4" t="s">
        <v>2264</v>
      </c>
      <c r="K1020" s="8"/>
      <c r="L1020" s="8" t="s">
        <v>33</v>
      </c>
      <c r="M1020" s="9">
        <f t="shared" si="1"/>
        <v>56</v>
      </c>
    </row>
    <row r="1021" ht="12.75" customHeight="1">
      <c r="A1021" s="4">
        <f t="shared" si="2"/>
        <v>1020</v>
      </c>
      <c r="B1021" s="4" t="s">
        <v>2275</v>
      </c>
      <c r="C1021" s="5" t="s">
        <v>2276</v>
      </c>
      <c r="D1021" s="4"/>
      <c r="E1021" s="4"/>
      <c r="F1021" s="4" t="s">
        <v>22</v>
      </c>
      <c r="G1021" s="6">
        <v>9.67</v>
      </c>
      <c r="H1021" s="7" t="s">
        <v>1606</v>
      </c>
      <c r="I1021" s="4" t="s">
        <v>1746</v>
      </c>
      <c r="J1021" s="4" t="s">
        <v>2264</v>
      </c>
      <c r="K1021" s="8"/>
      <c r="L1021" s="8" t="s">
        <v>33</v>
      </c>
      <c r="M1021" s="9">
        <f t="shared" si="1"/>
        <v>56</v>
      </c>
    </row>
    <row r="1022" ht="12.75" customHeight="1">
      <c r="A1022" s="4">
        <f t="shared" si="2"/>
        <v>1021</v>
      </c>
      <c r="B1022" s="4" t="s">
        <v>2277</v>
      </c>
      <c r="C1022" s="5" t="s">
        <v>2278</v>
      </c>
      <c r="D1022" s="4"/>
      <c r="E1022" s="4"/>
      <c r="F1022" s="4" t="s">
        <v>22</v>
      </c>
      <c r="G1022" s="6">
        <v>4.1</v>
      </c>
      <c r="H1022" s="7" t="s">
        <v>1606</v>
      </c>
      <c r="I1022" s="4" t="s">
        <v>1746</v>
      </c>
      <c r="J1022" s="4" t="s">
        <v>2264</v>
      </c>
      <c r="K1022" s="8"/>
      <c r="L1022" s="8" t="s">
        <v>33</v>
      </c>
      <c r="M1022" s="9">
        <f t="shared" si="1"/>
        <v>55</v>
      </c>
    </row>
    <row r="1023" ht="12.75" customHeight="1">
      <c r="A1023" s="4">
        <f t="shared" si="2"/>
        <v>1022</v>
      </c>
      <c r="B1023" s="4" t="s">
        <v>2279</v>
      </c>
      <c r="C1023" s="5" t="s">
        <v>2280</v>
      </c>
      <c r="D1023" s="4"/>
      <c r="E1023" s="4"/>
      <c r="F1023" s="4" t="s">
        <v>22</v>
      </c>
      <c r="G1023" s="6">
        <v>4.05</v>
      </c>
      <c r="H1023" s="7" t="s">
        <v>1606</v>
      </c>
      <c r="I1023" s="4" t="s">
        <v>1746</v>
      </c>
      <c r="J1023" s="4" t="s">
        <v>2264</v>
      </c>
      <c r="K1023" s="8"/>
      <c r="L1023" s="8" t="s">
        <v>33</v>
      </c>
      <c r="M1023" s="9">
        <f t="shared" si="1"/>
        <v>55</v>
      </c>
    </row>
    <row r="1024" ht="12.75" customHeight="1">
      <c r="A1024" s="4">
        <f t="shared" si="2"/>
        <v>1023</v>
      </c>
      <c r="B1024" s="4" t="s">
        <v>2281</v>
      </c>
      <c r="C1024" s="5" t="s">
        <v>2282</v>
      </c>
      <c r="D1024" s="4"/>
      <c r="E1024" s="4"/>
      <c r="F1024" s="4" t="s">
        <v>22</v>
      </c>
      <c r="G1024" s="6">
        <v>4.05</v>
      </c>
      <c r="H1024" s="7" t="s">
        <v>1606</v>
      </c>
      <c r="I1024" s="4" t="s">
        <v>1746</v>
      </c>
      <c r="J1024" s="4" t="s">
        <v>2264</v>
      </c>
      <c r="K1024" s="8"/>
      <c r="L1024" s="8" t="s">
        <v>33</v>
      </c>
      <c r="M1024" s="9">
        <f t="shared" si="1"/>
        <v>55</v>
      </c>
    </row>
    <row r="1025" ht="12.75" customHeight="1">
      <c r="A1025" s="4">
        <f t="shared" si="2"/>
        <v>1024</v>
      </c>
      <c r="B1025" s="4" t="s">
        <v>2283</v>
      </c>
      <c r="C1025" s="5" t="s">
        <v>2284</v>
      </c>
      <c r="D1025" s="4"/>
      <c r="E1025" s="4"/>
      <c r="F1025" s="4" t="s">
        <v>22</v>
      </c>
      <c r="G1025" s="6">
        <v>4.05</v>
      </c>
      <c r="H1025" s="7" t="s">
        <v>1606</v>
      </c>
      <c r="I1025" s="4" t="s">
        <v>1746</v>
      </c>
      <c r="J1025" s="4" t="s">
        <v>2264</v>
      </c>
      <c r="K1025" s="8"/>
      <c r="L1025" s="8" t="s">
        <v>33</v>
      </c>
      <c r="M1025" s="9">
        <f t="shared" si="1"/>
        <v>55</v>
      </c>
    </row>
    <row r="1026" ht="12.75" customHeight="1">
      <c r="A1026" s="4">
        <f t="shared" si="2"/>
        <v>1025</v>
      </c>
      <c r="B1026" s="4" t="s">
        <v>2285</v>
      </c>
      <c r="C1026" s="5" t="s">
        <v>2286</v>
      </c>
      <c r="D1026" s="4"/>
      <c r="E1026" s="4"/>
      <c r="F1026" s="4" t="s">
        <v>22</v>
      </c>
      <c r="G1026" s="6">
        <v>6.76</v>
      </c>
      <c r="H1026" s="7" t="s">
        <v>1606</v>
      </c>
      <c r="I1026" s="4" t="s">
        <v>1746</v>
      </c>
      <c r="J1026" s="4" t="s">
        <v>2264</v>
      </c>
      <c r="K1026" s="8"/>
      <c r="L1026" s="8" t="s">
        <v>33</v>
      </c>
      <c r="M1026" s="9">
        <f t="shared" si="1"/>
        <v>56</v>
      </c>
    </row>
    <row r="1027" ht="12.75" customHeight="1">
      <c r="A1027" s="4">
        <f t="shared" si="2"/>
        <v>1026</v>
      </c>
      <c r="B1027" s="4" t="s">
        <v>2287</v>
      </c>
      <c r="C1027" s="5" t="s">
        <v>2288</v>
      </c>
      <c r="D1027" s="4"/>
      <c r="E1027" s="4"/>
      <c r="F1027" s="4" t="s">
        <v>22</v>
      </c>
      <c r="G1027" s="6">
        <v>9.67</v>
      </c>
      <c r="H1027" s="7" t="s">
        <v>1606</v>
      </c>
      <c r="I1027" s="4" t="s">
        <v>1746</v>
      </c>
      <c r="J1027" s="4" t="s">
        <v>2264</v>
      </c>
      <c r="K1027" s="8"/>
      <c r="L1027" s="8" t="s">
        <v>33</v>
      </c>
      <c r="M1027" s="9">
        <f t="shared" si="1"/>
        <v>56</v>
      </c>
    </row>
    <row r="1028" ht="12.75" customHeight="1">
      <c r="A1028" s="4">
        <f t="shared" si="2"/>
        <v>1027</v>
      </c>
      <c r="B1028" s="4" t="s">
        <v>2289</v>
      </c>
      <c r="C1028" s="5" t="s">
        <v>2290</v>
      </c>
      <c r="D1028" s="4"/>
      <c r="E1028" s="4"/>
      <c r="F1028" s="4" t="s">
        <v>22</v>
      </c>
      <c r="G1028" s="6">
        <v>12.65</v>
      </c>
      <c r="H1028" s="7" t="s">
        <v>1606</v>
      </c>
      <c r="I1028" s="4" t="s">
        <v>1746</v>
      </c>
      <c r="J1028" s="4" t="s">
        <v>2264</v>
      </c>
      <c r="K1028" s="8"/>
      <c r="L1028" s="8" t="s">
        <v>33</v>
      </c>
      <c r="M1028" s="9">
        <f t="shared" si="1"/>
        <v>56</v>
      </c>
    </row>
    <row r="1029" ht="12.75" customHeight="1">
      <c r="A1029" s="4">
        <f t="shared" si="2"/>
        <v>1028</v>
      </c>
      <c r="B1029" s="4" t="s">
        <v>2291</v>
      </c>
      <c r="C1029" s="5" t="s">
        <v>2292</v>
      </c>
      <c r="D1029" s="4"/>
      <c r="E1029" s="4"/>
      <c r="F1029" s="4" t="s">
        <v>22</v>
      </c>
      <c r="G1029" s="6">
        <v>12.16</v>
      </c>
      <c r="H1029" s="7" t="s">
        <v>1606</v>
      </c>
      <c r="I1029" s="4" t="s">
        <v>1746</v>
      </c>
      <c r="J1029" s="4" t="s">
        <v>2264</v>
      </c>
      <c r="K1029" s="8"/>
      <c r="L1029" s="8" t="s">
        <v>33</v>
      </c>
      <c r="M1029" s="9">
        <f t="shared" si="1"/>
        <v>55</v>
      </c>
    </row>
    <row r="1030" ht="12.75" customHeight="1">
      <c r="A1030" s="4">
        <f t="shared" si="2"/>
        <v>1029</v>
      </c>
      <c r="B1030" s="4" t="s">
        <v>2293</v>
      </c>
      <c r="C1030" s="5" t="s">
        <v>2294</v>
      </c>
      <c r="D1030" s="4"/>
      <c r="E1030" s="4"/>
      <c r="F1030" s="4" t="s">
        <v>22</v>
      </c>
      <c r="G1030" s="6">
        <v>12.16</v>
      </c>
      <c r="H1030" s="7" t="s">
        <v>1606</v>
      </c>
      <c r="I1030" s="4" t="s">
        <v>1746</v>
      </c>
      <c r="J1030" s="4" t="s">
        <v>2264</v>
      </c>
      <c r="K1030" s="8"/>
      <c r="L1030" s="8" t="s">
        <v>33</v>
      </c>
      <c r="M1030" s="9">
        <f t="shared" si="1"/>
        <v>54</v>
      </c>
    </row>
    <row r="1031" ht="12.75" customHeight="1">
      <c r="A1031" s="4">
        <f t="shared" si="2"/>
        <v>1030</v>
      </c>
      <c r="B1031" s="4" t="s">
        <v>2295</v>
      </c>
      <c r="C1031" s="5" t="s">
        <v>2296</v>
      </c>
      <c r="D1031" s="4"/>
      <c r="E1031" s="4"/>
      <c r="F1031" s="4" t="s">
        <v>22</v>
      </c>
      <c r="G1031" s="6">
        <v>3.95</v>
      </c>
      <c r="H1031" s="7" t="s">
        <v>1606</v>
      </c>
      <c r="I1031" s="4" t="s">
        <v>1746</v>
      </c>
      <c r="J1031" s="4" t="s">
        <v>2264</v>
      </c>
      <c r="K1031" s="8"/>
      <c r="L1031" s="8" t="s">
        <v>33</v>
      </c>
      <c r="M1031" s="9">
        <f t="shared" si="1"/>
        <v>56</v>
      </c>
    </row>
    <row r="1032" ht="12.75" customHeight="1">
      <c r="A1032" s="4">
        <f t="shared" si="2"/>
        <v>1031</v>
      </c>
      <c r="B1032" s="4" t="s">
        <v>2297</v>
      </c>
      <c r="C1032" s="5" t="s">
        <v>2298</v>
      </c>
      <c r="D1032" s="4"/>
      <c r="E1032" s="4"/>
      <c r="F1032" s="4" t="s">
        <v>22</v>
      </c>
      <c r="G1032" s="6">
        <v>4.05</v>
      </c>
      <c r="H1032" s="7" t="s">
        <v>1606</v>
      </c>
      <c r="I1032" s="4" t="s">
        <v>1746</v>
      </c>
      <c r="J1032" s="4" t="s">
        <v>2264</v>
      </c>
      <c r="K1032" s="8"/>
      <c r="L1032" s="8" t="s">
        <v>33</v>
      </c>
      <c r="M1032" s="9">
        <f t="shared" si="1"/>
        <v>56</v>
      </c>
    </row>
    <row r="1033" ht="12.75" customHeight="1">
      <c r="A1033" s="4">
        <f t="shared" si="2"/>
        <v>1032</v>
      </c>
      <c r="B1033" s="4" t="s">
        <v>2299</v>
      </c>
      <c r="C1033" s="5" t="s">
        <v>2300</v>
      </c>
      <c r="D1033" s="4"/>
      <c r="E1033" s="4"/>
      <c r="F1033" s="4" t="s">
        <v>22</v>
      </c>
      <c r="G1033" s="21">
        <v>3.79</v>
      </c>
      <c r="H1033" s="7" t="s">
        <v>1606</v>
      </c>
      <c r="I1033" s="4" t="s">
        <v>1746</v>
      </c>
      <c r="J1033" s="4" t="s">
        <v>2264</v>
      </c>
      <c r="K1033" s="8"/>
      <c r="L1033" s="8" t="s">
        <v>33</v>
      </c>
      <c r="M1033" s="9">
        <f t="shared" si="1"/>
        <v>55</v>
      </c>
    </row>
    <row r="1034" ht="12.75" customHeight="1">
      <c r="A1034" s="4">
        <f t="shared" si="2"/>
        <v>1033</v>
      </c>
      <c r="B1034" s="4" t="s">
        <v>2301</v>
      </c>
      <c r="C1034" s="5" t="s">
        <v>2302</v>
      </c>
      <c r="D1034" s="4"/>
      <c r="E1034" s="4"/>
      <c r="F1034" s="4" t="s">
        <v>22</v>
      </c>
      <c r="G1034" s="21">
        <v>3.79</v>
      </c>
      <c r="H1034" s="7" t="s">
        <v>1606</v>
      </c>
      <c r="I1034" s="4" t="s">
        <v>1746</v>
      </c>
      <c r="J1034" s="4" t="s">
        <v>2264</v>
      </c>
      <c r="K1034" s="8"/>
      <c r="L1034" s="8" t="s">
        <v>33</v>
      </c>
      <c r="M1034" s="9">
        <f t="shared" si="1"/>
        <v>55</v>
      </c>
    </row>
    <row r="1035" ht="12.75" customHeight="1">
      <c r="A1035" s="4">
        <f t="shared" si="2"/>
        <v>1034</v>
      </c>
      <c r="B1035" s="4" t="s">
        <v>2303</v>
      </c>
      <c r="C1035" s="5" t="s">
        <v>2304</v>
      </c>
      <c r="D1035" s="14"/>
      <c r="E1035" s="4"/>
      <c r="F1035" s="4" t="s">
        <v>22</v>
      </c>
      <c r="G1035" s="6">
        <v>9.67</v>
      </c>
      <c r="H1035" s="7" t="s">
        <v>1606</v>
      </c>
      <c r="I1035" s="4" t="s">
        <v>1746</v>
      </c>
      <c r="J1035" s="4" t="s">
        <v>2264</v>
      </c>
      <c r="K1035" s="8"/>
      <c r="L1035" s="8" t="s">
        <v>33</v>
      </c>
      <c r="M1035" s="9">
        <f t="shared" si="1"/>
        <v>56</v>
      </c>
    </row>
    <row r="1036" ht="12.75" customHeight="1">
      <c r="A1036" s="4">
        <f t="shared" si="2"/>
        <v>1035</v>
      </c>
      <c r="B1036" s="4" t="s">
        <v>2305</v>
      </c>
      <c r="C1036" s="5" t="s">
        <v>2306</v>
      </c>
      <c r="D1036" s="14"/>
      <c r="E1036" s="4"/>
      <c r="F1036" s="4" t="s">
        <v>22</v>
      </c>
      <c r="G1036" s="6">
        <v>13.24</v>
      </c>
      <c r="H1036" s="7" t="s">
        <v>1606</v>
      </c>
      <c r="I1036" s="4" t="s">
        <v>1746</v>
      </c>
      <c r="J1036" s="4" t="s">
        <v>2264</v>
      </c>
      <c r="K1036" s="8"/>
      <c r="L1036" s="8" t="s">
        <v>33</v>
      </c>
      <c r="M1036" s="9">
        <f t="shared" si="1"/>
        <v>38</v>
      </c>
    </row>
    <row r="1037" ht="12.75" customHeight="1">
      <c r="A1037" s="4">
        <f t="shared" si="2"/>
        <v>1036</v>
      </c>
      <c r="B1037" s="4" t="s">
        <v>2307</v>
      </c>
      <c r="C1037" s="5" t="s">
        <v>2308</v>
      </c>
      <c r="D1037" s="4"/>
      <c r="E1037" s="4"/>
      <c r="F1037" s="4" t="s">
        <v>22</v>
      </c>
      <c r="G1037" s="6">
        <v>2.7</v>
      </c>
      <c r="H1037" s="7" t="s">
        <v>1606</v>
      </c>
      <c r="I1037" s="4" t="s">
        <v>1746</v>
      </c>
      <c r="J1037" s="4" t="s">
        <v>2264</v>
      </c>
      <c r="K1037" s="8"/>
      <c r="L1037" s="8" t="s">
        <v>33</v>
      </c>
      <c r="M1037" s="9">
        <f t="shared" si="1"/>
        <v>38</v>
      </c>
    </row>
    <row r="1038" ht="12.75" customHeight="1">
      <c r="A1038" s="4">
        <f t="shared" si="2"/>
        <v>1037</v>
      </c>
      <c r="B1038" s="4" t="s">
        <v>2309</v>
      </c>
      <c r="C1038" s="5" t="s">
        <v>2310</v>
      </c>
      <c r="D1038" s="4"/>
      <c r="E1038" s="4"/>
      <c r="F1038" s="4" t="s">
        <v>22</v>
      </c>
      <c r="G1038" s="6">
        <v>5.01</v>
      </c>
      <c r="H1038" s="7" t="s">
        <v>1606</v>
      </c>
      <c r="I1038" s="4" t="s">
        <v>1746</v>
      </c>
      <c r="J1038" s="4" t="s">
        <v>2264</v>
      </c>
      <c r="K1038" s="8"/>
      <c r="L1038" s="8" t="s">
        <v>33</v>
      </c>
      <c r="M1038" s="9">
        <f t="shared" si="1"/>
        <v>38</v>
      </c>
    </row>
    <row r="1039" ht="12.75" customHeight="1">
      <c r="A1039" s="4">
        <f t="shared" si="2"/>
        <v>1038</v>
      </c>
      <c r="B1039" s="4" t="s">
        <v>2311</v>
      </c>
      <c r="C1039" s="5" t="s">
        <v>2312</v>
      </c>
      <c r="D1039" s="4"/>
      <c r="E1039" s="4"/>
      <c r="F1039" s="4" t="s">
        <v>22</v>
      </c>
      <c r="G1039" s="6">
        <v>22.85</v>
      </c>
      <c r="H1039" s="7" t="s">
        <v>1606</v>
      </c>
      <c r="I1039" s="4" t="s">
        <v>1746</v>
      </c>
      <c r="J1039" s="4" t="s">
        <v>2264</v>
      </c>
      <c r="K1039" s="8"/>
      <c r="L1039" s="8" t="s">
        <v>33</v>
      </c>
      <c r="M1039" s="9">
        <f t="shared" si="1"/>
        <v>40</v>
      </c>
    </row>
    <row r="1040" ht="12.75" customHeight="1">
      <c r="A1040" s="4">
        <f t="shared" si="2"/>
        <v>1039</v>
      </c>
      <c r="B1040" s="4" t="s">
        <v>2313</v>
      </c>
      <c r="C1040" s="5" t="s">
        <v>2314</v>
      </c>
      <c r="D1040" s="4"/>
      <c r="E1040" s="4"/>
      <c r="F1040" s="4" t="s">
        <v>22</v>
      </c>
      <c r="G1040" s="6">
        <v>5.01</v>
      </c>
      <c r="H1040" s="7" t="s">
        <v>1606</v>
      </c>
      <c r="I1040" s="4" t="s">
        <v>1746</v>
      </c>
      <c r="J1040" s="4" t="s">
        <v>2264</v>
      </c>
      <c r="K1040" s="8"/>
      <c r="L1040" s="8" t="s">
        <v>33</v>
      </c>
      <c r="M1040" s="9">
        <f t="shared" si="1"/>
        <v>39</v>
      </c>
    </row>
    <row r="1041" ht="12.75" customHeight="1">
      <c r="A1041" s="4">
        <f t="shared" si="2"/>
        <v>1040</v>
      </c>
      <c r="B1041" s="4" t="s">
        <v>2315</v>
      </c>
      <c r="C1041" s="5" t="s">
        <v>2316</v>
      </c>
      <c r="D1041" s="4"/>
      <c r="E1041" s="4"/>
      <c r="F1041" s="4" t="s">
        <v>22</v>
      </c>
      <c r="G1041" s="21">
        <v>1.89</v>
      </c>
      <c r="H1041" s="7" t="s">
        <v>1606</v>
      </c>
      <c r="I1041" s="4" t="s">
        <v>1746</v>
      </c>
      <c r="J1041" s="4" t="s">
        <v>2264</v>
      </c>
      <c r="K1041" s="8"/>
      <c r="L1041" s="8" t="s">
        <v>33</v>
      </c>
      <c r="M1041" s="9">
        <f t="shared" si="1"/>
        <v>39</v>
      </c>
    </row>
    <row r="1042" ht="12.75" customHeight="1">
      <c r="A1042" s="4">
        <f t="shared" si="2"/>
        <v>1041</v>
      </c>
      <c r="B1042" s="4" t="s">
        <v>2317</v>
      </c>
      <c r="C1042" s="5" t="s">
        <v>2318</v>
      </c>
      <c r="D1042" s="4"/>
      <c r="E1042" s="4"/>
      <c r="F1042" s="4" t="s">
        <v>22</v>
      </c>
      <c r="G1042" s="6">
        <v>1.08</v>
      </c>
      <c r="H1042" s="7" t="s">
        <v>1606</v>
      </c>
      <c r="I1042" s="4" t="s">
        <v>1746</v>
      </c>
      <c r="J1042" s="4" t="s">
        <v>2264</v>
      </c>
      <c r="K1042" s="8"/>
      <c r="L1042" s="8" t="s">
        <v>33</v>
      </c>
      <c r="M1042" s="9">
        <f t="shared" si="1"/>
        <v>39</v>
      </c>
    </row>
    <row r="1043" ht="12.75" customHeight="1">
      <c r="A1043" s="4">
        <f t="shared" si="2"/>
        <v>1042</v>
      </c>
      <c r="B1043" s="4" t="s">
        <v>2319</v>
      </c>
      <c r="C1043" s="5" t="s">
        <v>2320</v>
      </c>
      <c r="D1043" s="4"/>
      <c r="E1043" s="4"/>
      <c r="F1043" s="4" t="s">
        <v>22</v>
      </c>
      <c r="G1043" s="6">
        <v>26.5</v>
      </c>
      <c r="H1043" s="7" t="s">
        <v>1606</v>
      </c>
      <c r="I1043" s="4" t="s">
        <v>1746</v>
      </c>
      <c r="J1043" s="4" t="s">
        <v>2264</v>
      </c>
      <c r="K1043" s="8"/>
      <c r="L1043" s="8" t="s">
        <v>33</v>
      </c>
      <c r="M1043" s="9">
        <f t="shared" si="1"/>
        <v>38</v>
      </c>
    </row>
    <row r="1044" ht="12.75" customHeight="1">
      <c r="A1044" s="4">
        <f t="shared" si="2"/>
        <v>1043</v>
      </c>
      <c r="B1044" s="4" t="s">
        <v>2321</v>
      </c>
      <c r="C1044" s="5" t="s">
        <v>2322</v>
      </c>
      <c r="D1044" s="4"/>
      <c r="E1044" s="4"/>
      <c r="F1044" s="4" t="s">
        <v>22</v>
      </c>
      <c r="G1044" s="6">
        <v>6.58</v>
      </c>
      <c r="H1044" s="7" t="s">
        <v>1606</v>
      </c>
      <c r="I1044" s="4" t="s">
        <v>1746</v>
      </c>
      <c r="J1044" s="4" t="s">
        <v>2264</v>
      </c>
      <c r="K1044" s="8"/>
      <c r="L1044" s="8" t="s">
        <v>33</v>
      </c>
      <c r="M1044" s="9">
        <f t="shared" si="1"/>
        <v>38</v>
      </c>
    </row>
    <row r="1045" ht="12.75" customHeight="1">
      <c r="A1045" s="4">
        <f t="shared" si="2"/>
        <v>1044</v>
      </c>
      <c r="B1045" s="4" t="s">
        <v>2323</v>
      </c>
      <c r="C1045" s="5" t="s">
        <v>2324</v>
      </c>
      <c r="D1045" s="4"/>
      <c r="E1045" s="4"/>
      <c r="F1045" s="4" t="s">
        <v>22</v>
      </c>
      <c r="G1045" s="6">
        <v>4.86</v>
      </c>
      <c r="H1045" s="7" t="s">
        <v>1606</v>
      </c>
      <c r="I1045" s="4" t="s">
        <v>1746</v>
      </c>
      <c r="J1045" s="4" t="s">
        <v>2264</v>
      </c>
      <c r="K1045" s="8"/>
      <c r="L1045" s="8" t="s">
        <v>33</v>
      </c>
      <c r="M1045" s="9">
        <f t="shared" si="1"/>
        <v>39</v>
      </c>
    </row>
    <row r="1046" ht="12.75" customHeight="1">
      <c r="A1046" s="4">
        <f t="shared" si="2"/>
        <v>1045</v>
      </c>
      <c r="B1046" s="4" t="s">
        <v>2325</v>
      </c>
      <c r="C1046" s="5" t="s">
        <v>2326</v>
      </c>
      <c r="D1046" s="4"/>
      <c r="E1046" s="4"/>
      <c r="F1046" s="4" t="s">
        <v>22</v>
      </c>
      <c r="G1046" s="6">
        <v>20.27</v>
      </c>
      <c r="H1046" s="7" t="s">
        <v>1606</v>
      </c>
      <c r="I1046" s="4" t="s">
        <v>1746</v>
      </c>
      <c r="J1046" s="4" t="s">
        <v>2264</v>
      </c>
      <c r="K1046" s="8"/>
      <c r="L1046" s="8" t="s">
        <v>33</v>
      </c>
      <c r="M1046" s="9">
        <f t="shared" si="1"/>
        <v>38</v>
      </c>
    </row>
    <row r="1047" ht="12.75" customHeight="1">
      <c r="A1047" s="4">
        <f t="shared" si="2"/>
        <v>1046</v>
      </c>
      <c r="B1047" s="4" t="s">
        <v>2327</v>
      </c>
      <c r="C1047" s="5" t="s">
        <v>2328</v>
      </c>
      <c r="D1047" s="4"/>
      <c r="E1047" s="4"/>
      <c r="F1047" s="4" t="s">
        <v>22</v>
      </c>
      <c r="G1047" s="6">
        <v>12.23</v>
      </c>
      <c r="H1047" s="7" t="s">
        <v>1606</v>
      </c>
      <c r="I1047" s="4" t="s">
        <v>1746</v>
      </c>
      <c r="J1047" s="4" t="s">
        <v>2264</v>
      </c>
      <c r="K1047" s="8"/>
      <c r="L1047" s="8" t="s">
        <v>33</v>
      </c>
      <c r="M1047" s="9">
        <f t="shared" si="1"/>
        <v>39</v>
      </c>
    </row>
    <row r="1048" ht="12.75" customHeight="1">
      <c r="A1048" s="4">
        <f t="shared" si="2"/>
        <v>1047</v>
      </c>
      <c r="B1048" s="4" t="s">
        <v>2329</v>
      </c>
      <c r="C1048" s="5" t="s">
        <v>2330</v>
      </c>
      <c r="D1048" s="4"/>
      <c r="E1048" s="4"/>
      <c r="F1048" s="4" t="s">
        <v>22</v>
      </c>
      <c r="G1048" s="6">
        <v>29.56</v>
      </c>
      <c r="H1048" s="7" t="s">
        <v>1606</v>
      </c>
      <c r="I1048" s="4" t="s">
        <v>1746</v>
      </c>
      <c r="J1048" s="4" t="s">
        <v>2264</v>
      </c>
      <c r="K1048" s="8"/>
      <c r="L1048" s="8" t="s">
        <v>33</v>
      </c>
      <c r="M1048" s="9">
        <f t="shared" si="1"/>
        <v>38</v>
      </c>
    </row>
    <row r="1049" ht="12.75" customHeight="1">
      <c r="A1049" s="4">
        <f t="shared" si="2"/>
        <v>1048</v>
      </c>
      <c r="B1049" s="4" t="s">
        <v>2331</v>
      </c>
      <c r="C1049" s="5" t="s">
        <v>2332</v>
      </c>
      <c r="D1049" s="4"/>
      <c r="E1049" s="4"/>
      <c r="F1049" s="4" t="s">
        <v>22</v>
      </c>
      <c r="G1049" s="6">
        <v>14.65</v>
      </c>
      <c r="H1049" s="7" t="s">
        <v>1606</v>
      </c>
      <c r="I1049" s="4" t="s">
        <v>1746</v>
      </c>
      <c r="J1049" s="4" t="s">
        <v>2264</v>
      </c>
      <c r="K1049" s="8"/>
      <c r="L1049" s="8" t="s">
        <v>33</v>
      </c>
      <c r="M1049" s="9">
        <f t="shared" si="1"/>
        <v>39</v>
      </c>
    </row>
    <row r="1050" ht="12.75" customHeight="1">
      <c r="A1050" s="4">
        <f t="shared" si="2"/>
        <v>1049</v>
      </c>
      <c r="B1050" s="4" t="s">
        <v>2333</v>
      </c>
      <c r="C1050" s="5" t="s">
        <v>2334</v>
      </c>
      <c r="D1050" s="4"/>
      <c r="E1050" s="4"/>
      <c r="F1050" s="4" t="s">
        <v>22</v>
      </c>
      <c r="G1050" s="6">
        <v>21.3</v>
      </c>
      <c r="H1050" s="7" t="s">
        <v>1606</v>
      </c>
      <c r="I1050" s="4" t="s">
        <v>1746</v>
      </c>
      <c r="J1050" s="4" t="s">
        <v>2264</v>
      </c>
      <c r="K1050" s="8"/>
      <c r="L1050" s="8" t="s">
        <v>33</v>
      </c>
      <c r="M1050" s="9">
        <f t="shared" si="1"/>
        <v>26</v>
      </c>
    </row>
    <row r="1051" ht="12.75" customHeight="1">
      <c r="A1051" s="4">
        <f t="shared" si="2"/>
        <v>1050</v>
      </c>
      <c r="B1051" s="4" t="s">
        <v>2335</v>
      </c>
      <c r="C1051" s="5" t="s">
        <v>2336</v>
      </c>
      <c r="D1051" s="4"/>
      <c r="E1051" s="4"/>
      <c r="F1051" s="4" t="s">
        <v>22</v>
      </c>
      <c r="G1051" s="21">
        <v>0.68</v>
      </c>
      <c r="H1051" s="7" t="s">
        <v>1606</v>
      </c>
      <c r="I1051" s="4" t="s">
        <v>1746</v>
      </c>
      <c r="J1051" s="4" t="s">
        <v>2264</v>
      </c>
      <c r="K1051" s="8"/>
      <c r="L1051" s="8" t="s">
        <v>33</v>
      </c>
      <c r="M1051" s="9">
        <f t="shared" si="1"/>
        <v>29</v>
      </c>
    </row>
    <row r="1052" ht="12.75" customHeight="1">
      <c r="A1052" s="4">
        <f t="shared" si="2"/>
        <v>1051</v>
      </c>
      <c r="B1052" s="4" t="s">
        <v>2337</v>
      </c>
      <c r="C1052" s="5" t="s">
        <v>2338</v>
      </c>
      <c r="D1052" s="4"/>
      <c r="E1052" s="4"/>
      <c r="F1052" s="4" t="s">
        <v>22</v>
      </c>
      <c r="G1052" s="21">
        <v>3.38</v>
      </c>
      <c r="H1052" s="7" t="s">
        <v>1606</v>
      </c>
      <c r="I1052" s="4" t="s">
        <v>1746</v>
      </c>
      <c r="J1052" s="4" t="s">
        <v>2264</v>
      </c>
      <c r="K1052" s="8"/>
      <c r="L1052" s="8" t="s">
        <v>33</v>
      </c>
      <c r="M1052" s="9">
        <f t="shared" si="1"/>
        <v>28</v>
      </c>
    </row>
    <row r="1053" ht="12.75" customHeight="1">
      <c r="A1053" s="4">
        <f t="shared" si="2"/>
        <v>1052</v>
      </c>
      <c r="B1053" s="4" t="s">
        <v>2339</v>
      </c>
      <c r="C1053" s="5" t="s">
        <v>2340</v>
      </c>
      <c r="D1053" s="4"/>
      <c r="E1053" s="4"/>
      <c r="F1053" s="4" t="s">
        <v>22</v>
      </c>
      <c r="G1053" s="6">
        <v>1.62</v>
      </c>
      <c r="H1053" s="7" t="s">
        <v>1606</v>
      </c>
      <c r="I1053" s="4" t="s">
        <v>1746</v>
      </c>
      <c r="J1053" s="4" t="s">
        <v>2264</v>
      </c>
      <c r="K1053" s="8"/>
      <c r="L1053" s="8" t="s">
        <v>33</v>
      </c>
      <c r="M1053" s="9">
        <f t="shared" si="1"/>
        <v>28</v>
      </c>
    </row>
    <row r="1054" ht="12.75" customHeight="1">
      <c r="A1054" s="4">
        <f t="shared" si="2"/>
        <v>1053</v>
      </c>
      <c r="B1054" s="4" t="s">
        <v>2341</v>
      </c>
      <c r="C1054" s="5" t="s">
        <v>2342</v>
      </c>
      <c r="D1054" s="4"/>
      <c r="E1054" s="4"/>
      <c r="F1054" s="4" t="s">
        <v>22</v>
      </c>
      <c r="G1054" s="6">
        <v>0.81</v>
      </c>
      <c r="H1054" s="7" t="s">
        <v>1606</v>
      </c>
      <c r="I1054" s="4" t="s">
        <v>1746</v>
      </c>
      <c r="J1054" s="4" t="s">
        <v>2264</v>
      </c>
      <c r="K1054" s="8"/>
      <c r="L1054" s="8" t="s">
        <v>33</v>
      </c>
      <c r="M1054" s="9">
        <f t="shared" si="1"/>
        <v>28</v>
      </c>
    </row>
    <row r="1055" ht="12.75" customHeight="1">
      <c r="A1055" s="4">
        <f t="shared" si="2"/>
        <v>1054</v>
      </c>
      <c r="B1055" s="4" t="s">
        <v>2343</v>
      </c>
      <c r="C1055" s="5" t="s">
        <v>2344</v>
      </c>
      <c r="D1055" s="4"/>
      <c r="E1055" s="4"/>
      <c r="F1055" s="4" t="s">
        <v>22</v>
      </c>
      <c r="G1055" s="6">
        <v>17.81</v>
      </c>
      <c r="H1055" s="7" t="s">
        <v>1606</v>
      </c>
      <c r="I1055" s="4" t="s">
        <v>1746</v>
      </c>
      <c r="J1055" s="4" t="s">
        <v>2264</v>
      </c>
      <c r="K1055" s="8"/>
      <c r="L1055" s="8" t="s">
        <v>33</v>
      </c>
      <c r="M1055" s="9">
        <f t="shared" si="1"/>
        <v>30</v>
      </c>
    </row>
    <row r="1056" ht="12.75" customHeight="1">
      <c r="A1056" s="4">
        <f t="shared" si="2"/>
        <v>1055</v>
      </c>
      <c r="B1056" s="4" t="s">
        <v>2345</v>
      </c>
      <c r="C1056" s="5" t="s">
        <v>2346</v>
      </c>
      <c r="D1056" s="4"/>
      <c r="E1056" s="4"/>
      <c r="F1056" s="4" t="s">
        <v>22</v>
      </c>
      <c r="G1056" s="21">
        <v>19.28</v>
      </c>
      <c r="H1056" s="7" t="s">
        <v>1606</v>
      </c>
      <c r="I1056" s="4" t="s">
        <v>1746</v>
      </c>
      <c r="J1056" s="4" t="s">
        <v>2264</v>
      </c>
      <c r="K1056" s="8"/>
      <c r="L1056" s="8" t="s">
        <v>33</v>
      </c>
      <c r="M1056" s="9">
        <f t="shared" si="1"/>
        <v>30</v>
      </c>
    </row>
    <row r="1057" ht="12.75" customHeight="1">
      <c r="A1057" s="4">
        <f t="shared" si="2"/>
        <v>1056</v>
      </c>
      <c r="B1057" s="4" t="s">
        <v>2347</v>
      </c>
      <c r="C1057" s="5" t="s">
        <v>2348</v>
      </c>
      <c r="D1057" s="4"/>
      <c r="E1057" s="4"/>
      <c r="F1057" s="4" t="s">
        <v>22</v>
      </c>
      <c r="G1057" s="21">
        <v>19.5</v>
      </c>
      <c r="H1057" s="7" t="s">
        <v>1606</v>
      </c>
      <c r="I1057" s="4" t="s">
        <v>1746</v>
      </c>
      <c r="J1057" s="4" t="s">
        <v>2264</v>
      </c>
      <c r="K1057" s="8"/>
      <c r="L1057" s="8" t="s">
        <v>33</v>
      </c>
      <c r="M1057" s="9">
        <f t="shared" si="1"/>
        <v>30</v>
      </c>
    </row>
    <row r="1058" ht="12.75" customHeight="1">
      <c r="A1058" s="4">
        <f t="shared" si="2"/>
        <v>1057</v>
      </c>
      <c r="B1058" s="4" t="s">
        <v>2349</v>
      </c>
      <c r="C1058" s="5" t="s">
        <v>2350</v>
      </c>
      <c r="D1058" s="4"/>
      <c r="E1058" s="4"/>
      <c r="F1058" s="4" t="s">
        <v>22</v>
      </c>
      <c r="G1058" s="6">
        <v>1.35</v>
      </c>
      <c r="H1058" s="7" t="s">
        <v>1606</v>
      </c>
      <c r="I1058" s="4" t="s">
        <v>1746</v>
      </c>
      <c r="J1058" s="4" t="s">
        <v>2264</v>
      </c>
      <c r="K1058" s="8"/>
      <c r="L1058" s="8" t="s">
        <v>33</v>
      </c>
      <c r="M1058" s="9">
        <f t="shared" si="1"/>
        <v>29</v>
      </c>
    </row>
    <row r="1059" ht="12.75" customHeight="1">
      <c r="A1059" s="4">
        <f t="shared" si="2"/>
        <v>1058</v>
      </c>
      <c r="B1059" s="4" t="s">
        <v>2351</v>
      </c>
      <c r="C1059" s="5" t="s">
        <v>2352</v>
      </c>
      <c r="D1059" s="4"/>
      <c r="E1059" s="4"/>
      <c r="F1059" s="4" t="s">
        <v>22</v>
      </c>
      <c r="G1059" s="6">
        <v>0.54</v>
      </c>
      <c r="H1059" s="7" t="s">
        <v>1606</v>
      </c>
      <c r="I1059" s="4" t="s">
        <v>1746</v>
      </c>
      <c r="J1059" s="4" t="s">
        <v>2264</v>
      </c>
      <c r="K1059" s="8"/>
      <c r="L1059" s="8" t="s">
        <v>33</v>
      </c>
      <c r="M1059" s="9">
        <f t="shared" si="1"/>
        <v>29</v>
      </c>
    </row>
    <row r="1060" ht="12.75" customHeight="1">
      <c r="A1060" s="4">
        <f t="shared" si="2"/>
        <v>1059</v>
      </c>
      <c r="B1060" s="4" t="s">
        <v>2353</v>
      </c>
      <c r="C1060" s="5" t="s">
        <v>2354</v>
      </c>
      <c r="D1060" s="4"/>
      <c r="E1060" s="4"/>
      <c r="F1060" s="4" t="s">
        <v>22</v>
      </c>
      <c r="G1060" s="21">
        <v>17.27</v>
      </c>
      <c r="H1060" s="7" t="s">
        <v>1606</v>
      </c>
      <c r="I1060" s="4" t="s">
        <v>1746</v>
      </c>
      <c r="J1060" s="4" t="s">
        <v>2264</v>
      </c>
      <c r="K1060" s="8"/>
      <c r="L1060" s="8" t="s">
        <v>33</v>
      </c>
      <c r="M1060" s="9">
        <f t="shared" si="1"/>
        <v>28</v>
      </c>
    </row>
    <row r="1061" ht="12.75" customHeight="1">
      <c r="A1061" s="4">
        <f t="shared" si="2"/>
        <v>1060</v>
      </c>
      <c r="B1061" s="4" t="s">
        <v>2355</v>
      </c>
      <c r="C1061" s="5" t="s">
        <v>2356</v>
      </c>
      <c r="D1061" s="4"/>
      <c r="E1061" s="4"/>
      <c r="F1061" s="4" t="s">
        <v>22</v>
      </c>
      <c r="G1061" s="21">
        <v>3.11</v>
      </c>
      <c r="H1061" s="7" t="s">
        <v>1606</v>
      </c>
      <c r="I1061" s="4" t="s">
        <v>1746</v>
      </c>
      <c r="J1061" s="4" t="s">
        <v>2264</v>
      </c>
      <c r="K1061" s="8"/>
      <c r="L1061" s="8" t="s">
        <v>33</v>
      </c>
      <c r="M1061" s="9">
        <f t="shared" si="1"/>
        <v>28</v>
      </c>
    </row>
    <row r="1062" ht="12.75" customHeight="1">
      <c r="A1062" s="4">
        <f t="shared" si="2"/>
        <v>1061</v>
      </c>
      <c r="B1062" s="4" t="s">
        <v>2357</v>
      </c>
      <c r="C1062" s="5" t="s">
        <v>2358</v>
      </c>
      <c r="D1062" s="4"/>
      <c r="E1062" s="4"/>
      <c r="F1062" s="4" t="s">
        <v>22</v>
      </c>
      <c r="G1062" s="6">
        <v>2.68</v>
      </c>
      <c r="H1062" s="7" t="s">
        <v>1606</v>
      </c>
      <c r="I1062" s="4" t="s">
        <v>1746</v>
      </c>
      <c r="J1062" s="4" t="s">
        <v>2264</v>
      </c>
      <c r="K1062" s="8"/>
      <c r="L1062" s="8" t="s">
        <v>33</v>
      </c>
      <c r="M1062" s="9">
        <f t="shared" si="1"/>
        <v>29</v>
      </c>
    </row>
    <row r="1063" ht="12.75" customHeight="1">
      <c r="A1063" s="4">
        <f t="shared" si="2"/>
        <v>1062</v>
      </c>
      <c r="B1063" s="4" t="s">
        <v>2359</v>
      </c>
      <c r="C1063" s="5" t="s">
        <v>2360</v>
      </c>
      <c r="D1063" s="4"/>
      <c r="E1063" s="4"/>
      <c r="F1063" s="4" t="s">
        <v>22</v>
      </c>
      <c r="G1063" s="6">
        <v>0.86</v>
      </c>
      <c r="H1063" s="7" t="s">
        <v>1606</v>
      </c>
      <c r="I1063" s="4" t="s">
        <v>1746</v>
      </c>
      <c r="J1063" s="4" t="s">
        <v>2264</v>
      </c>
      <c r="K1063" s="8"/>
      <c r="L1063" s="8" t="s">
        <v>33</v>
      </c>
      <c r="M1063" s="9">
        <f t="shared" si="1"/>
        <v>29</v>
      </c>
    </row>
    <row r="1064" ht="12.75" customHeight="1">
      <c r="A1064" s="4">
        <f t="shared" si="2"/>
        <v>1063</v>
      </c>
      <c r="B1064" s="4" t="s">
        <v>2361</v>
      </c>
      <c r="C1064" s="5" t="s">
        <v>2362</v>
      </c>
      <c r="D1064" s="4"/>
      <c r="E1064" s="4"/>
      <c r="F1064" s="4" t="s">
        <v>22</v>
      </c>
      <c r="G1064" s="6">
        <v>12.43</v>
      </c>
      <c r="H1064" s="7" t="s">
        <v>1606</v>
      </c>
      <c r="I1064" s="4" t="s">
        <v>1746</v>
      </c>
      <c r="J1064" s="4" t="s">
        <v>2264</v>
      </c>
      <c r="K1064" s="8"/>
      <c r="L1064" s="8" t="s">
        <v>33</v>
      </c>
      <c r="M1064" s="9">
        <f t="shared" si="1"/>
        <v>28</v>
      </c>
    </row>
    <row r="1065" ht="12.75" customHeight="1">
      <c r="A1065" s="4">
        <f t="shared" si="2"/>
        <v>1064</v>
      </c>
      <c r="B1065" s="4" t="s">
        <v>2363</v>
      </c>
      <c r="C1065" s="5" t="s">
        <v>2364</v>
      </c>
      <c r="D1065" s="4"/>
      <c r="E1065" s="4"/>
      <c r="F1065" s="4" t="s">
        <v>22</v>
      </c>
      <c r="G1065" s="6">
        <v>8.92</v>
      </c>
      <c r="H1065" s="7" t="s">
        <v>1606</v>
      </c>
      <c r="I1065" s="4" t="s">
        <v>1746</v>
      </c>
      <c r="J1065" s="4" t="s">
        <v>2264</v>
      </c>
      <c r="K1065" s="8"/>
      <c r="L1065" s="8" t="s">
        <v>33</v>
      </c>
      <c r="M1065" s="9">
        <f t="shared" si="1"/>
        <v>29</v>
      </c>
    </row>
    <row r="1066" ht="12.75" customHeight="1">
      <c r="A1066" s="4">
        <f t="shared" si="2"/>
        <v>1065</v>
      </c>
      <c r="B1066" s="4" t="s">
        <v>2365</v>
      </c>
      <c r="C1066" s="5" t="s">
        <v>2366</v>
      </c>
      <c r="D1066" s="4"/>
      <c r="E1066" s="4"/>
      <c r="F1066" s="4" t="s">
        <v>22</v>
      </c>
      <c r="G1066" s="6">
        <v>20.0</v>
      </c>
      <c r="H1066" s="7" t="s">
        <v>1606</v>
      </c>
      <c r="I1066" s="4" t="s">
        <v>1746</v>
      </c>
      <c r="J1066" s="4" t="s">
        <v>2264</v>
      </c>
      <c r="K1066" s="8"/>
      <c r="L1066" s="8" t="s">
        <v>33</v>
      </c>
      <c r="M1066" s="9">
        <f t="shared" si="1"/>
        <v>28</v>
      </c>
    </row>
    <row r="1067" ht="12.75" customHeight="1">
      <c r="A1067" s="4">
        <f t="shared" si="2"/>
        <v>1066</v>
      </c>
      <c r="B1067" s="4" t="s">
        <v>2367</v>
      </c>
      <c r="C1067" s="5" t="s">
        <v>2368</v>
      </c>
      <c r="D1067" s="4"/>
      <c r="E1067" s="4"/>
      <c r="F1067" s="4" t="s">
        <v>22</v>
      </c>
      <c r="G1067" s="6">
        <v>11.89</v>
      </c>
      <c r="H1067" s="7" t="s">
        <v>1606</v>
      </c>
      <c r="I1067" s="4" t="s">
        <v>1746</v>
      </c>
      <c r="J1067" s="4" t="s">
        <v>2264</v>
      </c>
      <c r="K1067" s="8"/>
      <c r="L1067" s="8" t="s">
        <v>33</v>
      </c>
      <c r="M1067" s="9">
        <f t="shared" si="1"/>
        <v>29</v>
      </c>
    </row>
    <row r="1068" ht="12.75" customHeight="1">
      <c r="A1068" s="4">
        <f t="shared" si="2"/>
        <v>1067</v>
      </c>
      <c r="B1068" s="4" t="s">
        <v>2369</v>
      </c>
      <c r="C1068" s="5" t="s">
        <v>2370</v>
      </c>
      <c r="D1068" s="4"/>
      <c r="E1068" s="4"/>
      <c r="F1068" s="4" t="s">
        <v>22</v>
      </c>
      <c r="G1068" s="6">
        <v>18.45</v>
      </c>
      <c r="H1068" s="7" t="s">
        <v>1606</v>
      </c>
      <c r="I1068" s="4" t="s">
        <v>1746</v>
      </c>
      <c r="J1068" s="4" t="s">
        <v>2264</v>
      </c>
      <c r="K1068" s="8"/>
      <c r="L1068" s="8" t="s">
        <v>33</v>
      </c>
      <c r="M1068" s="9">
        <f t="shared" si="1"/>
        <v>30</v>
      </c>
    </row>
    <row r="1069" ht="12.75" customHeight="1">
      <c r="A1069" s="4">
        <f t="shared" si="2"/>
        <v>1068</v>
      </c>
      <c r="B1069" s="4" t="s">
        <v>2371</v>
      </c>
      <c r="C1069" s="5" t="s">
        <v>2372</v>
      </c>
      <c r="D1069" s="4"/>
      <c r="E1069" s="4"/>
      <c r="F1069" s="4" t="s">
        <v>22</v>
      </c>
      <c r="G1069" s="6">
        <v>2.57</v>
      </c>
      <c r="H1069" s="7" t="s">
        <v>1606</v>
      </c>
      <c r="I1069" s="4" t="s">
        <v>1574</v>
      </c>
      <c r="J1069" s="4" t="s">
        <v>1580</v>
      </c>
      <c r="K1069" s="8"/>
      <c r="L1069" s="8" t="s">
        <v>33</v>
      </c>
      <c r="M1069" s="9">
        <f t="shared" si="1"/>
        <v>25</v>
      </c>
    </row>
    <row r="1070" ht="12.75" customHeight="1">
      <c r="A1070" s="4">
        <f t="shared" si="2"/>
        <v>1069</v>
      </c>
      <c r="B1070" s="4" t="s">
        <v>2373</v>
      </c>
      <c r="C1070" s="5" t="s">
        <v>2374</v>
      </c>
      <c r="D1070" s="4"/>
      <c r="E1070" s="4"/>
      <c r="F1070" s="4" t="s">
        <v>22</v>
      </c>
      <c r="G1070" s="6">
        <v>0.95</v>
      </c>
      <c r="H1070" s="7" t="s">
        <v>1606</v>
      </c>
      <c r="I1070" s="4" t="s">
        <v>2028</v>
      </c>
      <c r="J1070" s="4" t="s">
        <v>2029</v>
      </c>
      <c r="K1070" s="8"/>
      <c r="L1070" s="8" t="s">
        <v>33</v>
      </c>
      <c r="M1070" s="9">
        <f t="shared" si="1"/>
        <v>37</v>
      </c>
    </row>
    <row r="1071" ht="12.75" customHeight="1">
      <c r="A1071" s="4">
        <f t="shared" si="2"/>
        <v>1070</v>
      </c>
      <c r="B1071" s="4" t="s">
        <v>2375</v>
      </c>
      <c r="C1071" s="5" t="s">
        <v>2376</v>
      </c>
      <c r="D1071" s="4"/>
      <c r="E1071" s="4"/>
      <c r="F1071" s="4" t="s">
        <v>22</v>
      </c>
      <c r="G1071" s="6">
        <v>0.81</v>
      </c>
      <c r="H1071" s="7" t="s">
        <v>1606</v>
      </c>
      <c r="I1071" s="4" t="s">
        <v>2028</v>
      </c>
      <c r="J1071" s="4" t="s">
        <v>2029</v>
      </c>
      <c r="K1071" s="8"/>
      <c r="L1071" s="8" t="s">
        <v>33</v>
      </c>
      <c r="M1071" s="9">
        <f t="shared" si="1"/>
        <v>33</v>
      </c>
    </row>
    <row r="1072" ht="12.75" customHeight="1">
      <c r="A1072" s="4">
        <f t="shared" si="2"/>
        <v>1071</v>
      </c>
      <c r="B1072" s="4" t="s">
        <v>2377</v>
      </c>
      <c r="C1072" s="5" t="s">
        <v>2378</v>
      </c>
      <c r="D1072" s="4"/>
      <c r="E1072" s="4"/>
      <c r="F1072" s="4" t="s">
        <v>22</v>
      </c>
      <c r="G1072" s="6">
        <v>1.01</v>
      </c>
      <c r="H1072" s="7" t="s">
        <v>1606</v>
      </c>
      <c r="I1072" s="4" t="s">
        <v>2028</v>
      </c>
      <c r="J1072" s="4" t="s">
        <v>2029</v>
      </c>
      <c r="K1072" s="8"/>
      <c r="L1072" s="8" t="s">
        <v>33</v>
      </c>
      <c r="M1072" s="9">
        <f t="shared" si="1"/>
        <v>33</v>
      </c>
    </row>
    <row r="1073" ht="12.75" customHeight="1">
      <c r="A1073" s="4">
        <f t="shared" si="2"/>
        <v>1072</v>
      </c>
      <c r="B1073" s="4" t="s">
        <v>2379</v>
      </c>
      <c r="C1073" s="5" t="s">
        <v>2380</v>
      </c>
      <c r="D1073" s="4"/>
      <c r="E1073" s="4"/>
      <c r="F1073" s="4" t="s">
        <v>22</v>
      </c>
      <c r="G1073" s="6">
        <v>4.72</v>
      </c>
      <c r="H1073" s="7" t="s">
        <v>1606</v>
      </c>
      <c r="I1073" s="4" t="s">
        <v>2028</v>
      </c>
      <c r="J1073" s="4" t="s">
        <v>2029</v>
      </c>
      <c r="K1073" s="8"/>
      <c r="L1073" s="8" t="s">
        <v>33</v>
      </c>
      <c r="M1073" s="9">
        <f t="shared" si="1"/>
        <v>33</v>
      </c>
    </row>
    <row r="1074" ht="12.75" customHeight="1">
      <c r="A1074" s="4">
        <f t="shared" si="2"/>
        <v>1073</v>
      </c>
      <c r="B1074" s="4" t="s">
        <v>2381</v>
      </c>
      <c r="C1074" s="5" t="s">
        <v>2382</v>
      </c>
      <c r="D1074" s="4"/>
      <c r="E1074" s="4"/>
      <c r="F1074" s="4" t="s">
        <v>22</v>
      </c>
      <c r="G1074" s="6">
        <v>2.02</v>
      </c>
      <c r="H1074" s="7" t="s">
        <v>1606</v>
      </c>
      <c r="I1074" s="4" t="s">
        <v>2028</v>
      </c>
      <c r="J1074" s="4" t="s">
        <v>2029</v>
      </c>
      <c r="K1074" s="8"/>
      <c r="L1074" s="8" t="s">
        <v>33</v>
      </c>
      <c r="M1074" s="9">
        <f t="shared" si="1"/>
        <v>33</v>
      </c>
    </row>
    <row r="1075" ht="12.75" customHeight="1">
      <c r="A1075" s="4">
        <f t="shared" si="2"/>
        <v>1074</v>
      </c>
      <c r="B1075" s="4" t="s">
        <v>2383</v>
      </c>
      <c r="C1075" s="5" t="s">
        <v>2384</v>
      </c>
      <c r="D1075" s="4"/>
      <c r="E1075" s="4"/>
      <c r="F1075" s="4" t="s">
        <v>22</v>
      </c>
      <c r="G1075" s="6">
        <v>6.58</v>
      </c>
      <c r="H1075" s="7" t="s">
        <v>1606</v>
      </c>
      <c r="I1075" s="4" t="s">
        <v>2028</v>
      </c>
      <c r="J1075" s="4" t="s">
        <v>2029</v>
      </c>
      <c r="K1075" s="8"/>
      <c r="L1075" s="8" t="s">
        <v>33</v>
      </c>
      <c r="M1075" s="9">
        <f t="shared" si="1"/>
        <v>33</v>
      </c>
    </row>
    <row r="1076" ht="12.75" customHeight="1">
      <c r="A1076" s="4">
        <f t="shared" si="2"/>
        <v>1075</v>
      </c>
      <c r="B1076" s="4" t="s">
        <v>2385</v>
      </c>
      <c r="C1076" s="5" t="s">
        <v>2386</v>
      </c>
      <c r="D1076" s="4"/>
      <c r="E1076" s="4"/>
      <c r="F1076" s="4" t="s">
        <v>22</v>
      </c>
      <c r="G1076" s="6">
        <v>21.86</v>
      </c>
      <c r="H1076" s="7" t="s">
        <v>1606</v>
      </c>
      <c r="I1076" s="4" t="s">
        <v>2028</v>
      </c>
      <c r="J1076" s="4" t="s">
        <v>2029</v>
      </c>
      <c r="K1076" s="8"/>
      <c r="L1076" s="8" t="s">
        <v>33</v>
      </c>
      <c r="M1076" s="9">
        <f t="shared" si="1"/>
        <v>33</v>
      </c>
    </row>
    <row r="1077" ht="12.75" customHeight="1">
      <c r="A1077" s="4">
        <f t="shared" si="2"/>
        <v>1076</v>
      </c>
      <c r="B1077" s="4" t="s">
        <v>2387</v>
      </c>
      <c r="C1077" s="5" t="s">
        <v>2388</v>
      </c>
      <c r="D1077" s="4"/>
      <c r="E1077" s="4"/>
      <c r="F1077" s="4" t="s">
        <v>22</v>
      </c>
      <c r="G1077" s="6">
        <v>5.41</v>
      </c>
      <c r="H1077" s="7" t="s">
        <v>1606</v>
      </c>
      <c r="I1077" s="4" t="s">
        <v>2085</v>
      </c>
      <c r="J1077" s="4" t="s">
        <v>2086</v>
      </c>
      <c r="K1077" s="8"/>
      <c r="L1077" s="8" t="s">
        <v>33</v>
      </c>
      <c r="M1077" s="9">
        <f t="shared" si="1"/>
        <v>45</v>
      </c>
    </row>
    <row r="1078" ht="12.75" customHeight="1">
      <c r="A1078" s="4">
        <f t="shared" si="2"/>
        <v>1077</v>
      </c>
      <c r="B1078" s="4" t="s">
        <v>2389</v>
      </c>
      <c r="C1078" s="5" t="s">
        <v>2390</v>
      </c>
      <c r="D1078" s="4"/>
      <c r="E1078" s="4"/>
      <c r="F1078" s="4" t="s">
        <v>2391</v>
      </c>
      <c r="G1078" s="6">
        <v>8.38</v>
      </c>
      <c r="H1078" s="7" t="s">
        <v>1606</v>
      </c>
      <c r="I1078" s="4" t="s">
        <v>2392</v>
      </c>
      <c r="J1078" s="4" t="s">
        <v>2393</v>
      </c>
      <c r="K1078" s="8"/>
      <c r="L1078" s="8" t="s">
        <v>33</v>
      </c>
      <c r="M1078" s="9">
        <f t="shared" si="1"/>
        <v>35</v>
      </c>
    </row>
    <row r="1079" ht="12.75" customHeight="1">
      <c r="A1079" s="4">
        <f t="shared" si="2"/>
        <v>1078</v>
      </c>
      <c r="B1079" s="4" t="s">
        <v>2394</v>
      </c>
      <c r="C1079" s="5" t="s">
        <v>2395</v>
      </c>
      <c r="D1079" s="4"/>
      <c r="E1079" s="4"/>
      <c r="F1079" s="4" t="s">
        <v>2391</v>
      </c>
      <c r="G1079" s="6">
        <v>1.92</v>
      </c>
      <c r="H1079" s="7" t="s">
        <v>1606</v>
      </c>
      <c r="I1079" s="4" t="s">
        <v>2392</v>
      </c>
      <c r="J1079" s="4" t="s">
        <v>2393</v>
      </c>
      <c r="K1079" s="8"/>
      <c r="L1079" s="8" t="s">
        <v>33</v>
      </c>
      <c r="M1079" s="9">
        <f t="shared" si="1"/>
        <v>37</v>
      </c>
    </row>
    <row r="1080" ht="12.75" customHeight="1">
      <c r="A1080" s="4">
        <f t="shared" si="2"/>
        <v>1079</v>
      </c>
      <c r="B1080" s="4" t="s">
        <v>2396</v>
      </c>
      <c r="C1080" s="5" t="s">
        <v>2397</v>
      </c>
      <c r="D1080" s="4"/>
      <c r="E1080" s="4"/>
      <c r="F1080" s="4" t="s">
        <v>2391</v>
      </c>
      <c r="G1080" s="6">
        <v>0.41</v>
      </c>
      <c r="H1080" s="7" t="s">
        <v>1606</v>
      </c>
      <c r="I1080" s="4" t="s">
        <v>2392</v>
      </c>
      <c r="J1080" s="4" t="s">
        <v>2393</v>
      </c>
      <c r="K1080" s="8"/>
      <c r="L1080" s="8" t="s">
        <v>33</v>
      </c>
      <c r="M1080" s="9">
        <f t="shared" si="1"/>
        <v>37</v>
      </c>
    </row>
    <row r="1081" ht="12.75" customHeight="1">
      <c r="A1081" s="4">
        <f t="shared" si="2"/>
        <v>1080</v>
      </c>
      <c r="B1081" s="4" t="s">
        <v>2398</v>
      </c>
      <c r="C1081" s="5" t="s">
        <v>2399</v>
      </c>
      <c r="D1081" s="4"/>
      <c r="E1081" s="4"/>
      <c r="F1081" s="4" t="s">
        <v>2391</v>
      </c>
      <c r="G1081" s="6">
        <v>0.51</v>
      </c>
      <c r="H1081" s="7" t="s">
        <v>1606</v>
      </c>
      <c r="I1081" s="4" t="s">
        <v>2392</v>
      </c>
      <c r="J1081" s="4" t="s">
        <v>2393</v>
      </c>
      <c r="K1081" s="8"/>
      <c r="L1081" s="8" t="s">
        <v>33</v>
      </c>
      <c r="M1081" s="9">
        <f t="shared" si="1"/>
        <v>38</v>
      </c>
    </row>
    <row r="1082" ht="12.75" customHeight="1">
      <c r="A1082" s="4">
        <f t="shared" si="2"/>
        <v>1081</v>
      </c>
      <c r="B1082" s="4" t="s">
        <v>2400</v>
      </c>
      <c r="C1082" s="5" t="s">
        <v>2401</v>
      </c>
      <c r="D1082" s="4"/>
      <c r="E1082" s="4"/>
      <c r="F1082" s="4" t="s">
        <v>2391</v>
      </c>
      <c r="G1082" s="6">
        <v>0.54</v>
      </c>
      <c r="H1082" s="7" t="s">
        <v>1606</v>
      </c>
      <c r="I1082" s="4" t="s">
        <v>2392</v>
      </c>
      <c r="J1082" s="4" t="s">
        <v>2393</v>
      </c>
      <c r="K1082" s="8"/>
      <c r="L1082" s="8" t="s">
        <v>33</v>
      </c>
      <c r="M1082" s="9">
        <f t="shared" si="1"/>
        <v>38</v>
      </c>
    </row>
    <row r="1083" ht="12.75" customHeight="1">
      <c r="A1083" s="4">
        <f t="shared" si="2"/>
        <v>1082</v>
      </c>
      <c r="B1083" s="4" t="s">
        <v>2402</v>
      </c>
      <c r="C1083" s="5" t="s">
        <v>2403</v>
      </c>
      <c r="D1083" s="4"/>
      <c r="E1083" s="4"/>
      <c r="F1083" s="4" t="s">
        <v>1791</v>
      </c>
      <c r="G1083" s="6">
        <v>281.08</v>
      </c>
      <c r="H1083" s="7" t="s">
        <v>1606</v>
      </c>
      <c r="I1083" s="4" t="s">
        <v>1574</v>
      </c>
      <c r="J1083" s="4" t="s">
        <v>2404</v>
      </c>
      <c r="K1083" s="8"/>
      <c r="L1083" s="8" t="s">
        <v>2405</v>
      </c>
      <c r="M1083" s="9">
        <f t="shared" si="1"/>
        <v>68</v>
      </c>
    </row>
    <row r="1084" ht="12.75" customHeight="1">
      <c r="A1084" s="4">
        <f t="shared" si="2"/>
        <v>1083</v>
      </c>
      <c r="B1084" s="4" t="s">
        <v>2406</v>
      </c>
      <c r="C1084" s="5" t="s">
        <v>2407</v>
      </c>
      <c r="D1084" s="4"/>
      <c r="E1084" s="4"/>
      <c r="F1084" s="4" t="s">
        <v>1791</v>
      </c>
      <c r="G1084" s="21">
        <v>184.86</v>
      </c>
      <c r="H1084" s="7" t="s">
        <v>1606</v>
      </c>
      <c r="I1084" s="4" t="s">
        <v>1574</v>
      </c>
      <c r="J1084" s="4" t="s">
        <v>2404</v>
      </c>
      <c r="K1084" s="8"/>
      <c r="L1084" s="8" t="s">
        <v>2405</v>
      </c>
      <c r="M1084" s="9">
        <f t="shared" si="1"/>
        <v>68</v>
      </c>
    </row>
    <row r="1085" ht="12.75" customHeight="1">
      <c r="A1085" s="4">
        <f t="shared" si="2"/>
        <v>1084</v>
      </c>
      <c r="B1085" s="4" t="s">
        <v>2408</v>
      </c>
      <c r="C1085" s="5" t="s">
        <v>2409</v>
      </c>
      <c r="D1085" s="4"/>
      <c r="E1085" s="4"/>
      <c r="F1085" s="4" t="s">
        <v>1791</v>
      </c>
      <c r="G1085" s="6">
        <v>399.42</v>
      </c>
      <c r="H1085" s="7" t="s">
        <v>1606</v>
      </c>
      <c r="I1085" s="4" t="s">
        <v>1574</v>
      </c>
      <c r="J1085" s="4" t="s">
        <v>2404</v>
      </c>
      <c r="K1085" s="8"/>
      <c r="L1085" s="8" t="s">
        <v>2405</v>
      </c>
      <c r="M1085" s="9">
        <f t="shared" si="1"/>
        <v>68</v>
      </c>
    </row>
    <row r="1086" ht="12.75" customHeight="1">
      <c r="A1086" s="4">
        <f t="shared" si="2"/>
        <v>1085</v>
      </c>
      <c r="B1086" s="4" t="s">
        <v>2410</v>
      </c>
      <c r="C1086" s="5" t="s">
        <v>2411</v>
      </c>
      <c r="D1086" s="4"/>
      <c r="E1086" s="4"/>
      <c r="F1086" s="4" t="s">
        <v>1791</v>
      </c>
      <c r="G1086" s="6">
        <v>257.05</v>
      </c>
      <c r="H1086" s="7" t="s">
        <v>1606</v>
      </c>
      <c r="I1086" s="4" t="s">
        <v>1574</v>
      </c>
      <c r="J1086" s="4" t="s">
        <v>2404</v>
      </c>
      <c r="K1086" s="8"/>
      <c r="L1086" s="8" t="s">
        <v>2405</v>
      </c>
      <c r="M1086" s="9">
        <f t="shared" si="1"/>
        <v>68</v>
      </c>
    </row>
    <row r="1087" ht="12.75" customHeight="1">
      <c r="A1087" s="4">
        <f t="shared" si="2"/>
        <v>1086</v>
      </c>
      <c r="B1087" s="4" t="s">
        <v>2412</v>
      </c>
      <c r="C1087" s="5" t="s">
        <v>2413</v>
      </c>
      <c r="D1087" s="4"/>
      <c r="E1087" s="4"/>
      <c r="F1087" s="4" t="s">
        <v>1791</v>
      </c>
      <c r="G1087" s="6">
        <v>171.62</v>
      </c>
      <c r="H1087" s="7" t="s">
        <v>1606</v>
      </c>
      <c r="I1087" s="4" t="s">
        <v>1574</v>
      </c>
      <c r="J1087" s="4" t="s">
        <v>2404</v>
      </c>
      <c r="K1087" s="8"/>
      <c r="L1087" s="8" t="s">
        <v>2405</v>
      </c>
      <c r="M1087" s="9">
        <f t="shared" si="1"/>
        <v>68</v>
      </c>
    </row>
    <row r="1088" ht="12.75" customHeight="1">
      <c r="A1088" s="4">
        <f t="shared" si="2"/>
        <v>1087</v>
      </c>
      <c r="B1088" s="4" t="s">
        <v>2414</v>
      </c>
      <c r="C1088" s="5" t="s">
        <v>2415</v>
      </c>
      <c r="D1088" s="4"/>
      <c r="E1088" s="4"/>
      <c r="F1088" s="4" t="s">
        <v>1791</v>
      </c>
      <c r="G1088" s="6">
        <v>367.08</v>
      </c>
      <c r="H1088" s="7" t="s">
        <v>1606</v>
      </c>
      <c r="I1088" s="4" t="s">
        <v>1574</v>
      </c>
      <c r="J1088" s="4" t="s">
        <v>2404</v>
      </c>
      <c r="K1088" s="8"/>
      <c r="L1088" s="8" t="s">
        <v>2405</v>
      </c>
      <c r="M1088" s="9">
        <f t="shared" si="1"/>
        <v>68</v>
      </c>
    </row>
    <row r="1089" ht="12.75" customHeight="1">
      <c r="A1089" s="4">
        <f t="shared" si="2"/>
        <v>1088</v>
      </c>
      <c r="B1089" s="4" t="s">
        <v>2416</v>
      </c>
      <c r="C1089" s="5" t="s">
        <v>2417</v>
      </c>
      <c r="D1089" s="4"/>
      <c r="E1089" s="4"/>
      <c r="F1089" s="4" t="s">
        <v>22</v>
      </c>
      <c r="G1089" s="6">
        <v>13.51</v>
      </c>
      <c r="H1089" s="7" t="s">
        <v>1606</v>
      </c>
      <c r="I1089" s="4" t="s">
        <v>1574</v>
      </c>
      <c r="J1089" s="4" t="s">
        <v>2404</v>
      </c>
      <c r="K1089" s="8"/>
      <c r="L1089" s="8" t="s">
        <v>33</v>
      </c>
      <c r="M1089" s="9">
        <f t="shared" si="1"/>
        <v>45</v>
      </c>
    </row>
    <row r="1090" ht="12.75" customHeight="1">
      <c r="A1090" s="4">
        <f t="shared" si="2"/>
        <v>1089</v>
      </c>
      <c r="B1090" s="4" t="s">
        <v>2418</v>
      </c>
      <c r="C1090" s="5" t="s">
        <v>2419</v>
      </c>
      <c r="D1090" s="4"/>
      <c r="E1090" s="4"/>
      <c r="F1090" s="4" t="s">
        <v>2420</v>
      </c>
      <c r="G1090" s="6">
        <v>121.62</v>
      </c>
      <c r="H1090" s="7" t="s">
        <v>1606</v>
      </c>
      <c r="I1090" s="4" t="s">
        <v>1574</v>
      </c>
      <c r="J1090" s="4" t="s">
        <v>2404</v>
      </c>
      <c r="K1090" s="8"/>
      <c r="L1090" s="8" t="s">
        <v>33</v>
      </c>
      <c r="M1090" s="9">
        <f t="shared" si="1"/>
        <v>22</v>
      </c>
    </row>
    <row r="1091" ht="12.75" customHeight="1">
      <c r="A1091" s="4">
        <f t="shared" si="2"/>
        <v>1090</v>
      </c>
      <c r="B1091" s="4" t="s">
        <v>2421</v>
      </c>
      <c r="C1091" s="5" t="s">
        <v>2422</v>
      </c>
      <c r="D1091" s="4"/>
      <c r="E1091" s="4"/>
      <c r="F1091" s="4" t="s">
        <v>22</v>
      </c>
      <c r="G1091" s="6">
        <v>9.46</v>
      </c>
      <c r="H1091" s="7" t="s">
        <v>1606</v>
      </c>
      <c r="I1091" s="4" t="s">
        <v>2423</v>
      </c>
      <c r="J1091" s="4" t="s">
        <v>2424</v>
      </c>
      <c r="K1091" s="8"/>
      <c r="L1091" s="8" t="s">
        <v>33</v>
      </c>
      <c r="M1091" s="9">
        <f t="shared" si="1"/>
        <v>17</v>
      </c>
    </row>
    <row r="1092" ht="12.75" customHeight="1">
      <c r="A1092" s="4">
        <f t="shared" si="2"/>
        <v>1091</v>
      </c>
      <c r="B1092" s="4" t="s">
        <v>2425</v>
      </c>
      <c r="C1092" s="5" t="s">
        <v>2426</v>
      </c>
      <c r="D1092" s="4"/>
      <c r="E1092" s="4"/>
      <c r="F1092" s="4" t="s">
        <v>22</v>
      </c>
      <c r="G1092" s="6">
        <v>4.05</v>
      </c>
      <c r="H1092" s="7" t="s">
        <v>1606</v>
      </c>
      <c r="I1092" s="4" t="s">
        <v>1773</v>
      </c>
      <c r="J1092" s="4" t="s">
        <v>2427</v>
      </c>
      <c r="K1092" s="8"/>
      <c r="L1092" s="8" t="s">
        <v>33</v>
      </c>
      <c r="M1092" s="9">
        <f t="shared" si="1"/>
        <v>23</v>
      </c>
    </row>
    <row r="1093" ht="12.75" customHeight="1">
      <c r="A1093" s="4">
        <f t="shared" si="2"/>
        <v>1092</v>
      </c>
      <c r="B1093" s="4" t="s">
        <v>2428</v>
      </c>
      <c r="C1093" s="5" t="s">
        <v>2429</v>
      </c>
      <c r="D1093" s="4"/>
      <c r="E1093" s="4"/>
      <c r="F1093" s="4" t="s">
        <v>22</v>
      </c>
      <c r="G1093" s="6">
        <v>5.08</v>
      </c>
      <c r="H1093" s="7" t="s">
        <v>1606</v>
      </c>
      <c r="I1093" s="4" t="s">
        <v>1773</v>
      </c>
      <c r="J1093" s="4" t="s">
        <v>2427</v>
      </c>
      <c r="K1093" s="8"/>
      <c r="L1093" s="8" t="s">
        <v>33</v>
      </c>
      <c r="M1093" s="9">
        <f t="shared" si="1"/>
        <v>39</v>
      </c>
    </row>
    <row r="1094" ht="12.75" customHeight="1">
      <c r="A1094" s="4">
        <f t="shared" si="2"/>
        <v>1093</v>
      </c>
      <c r="B1094" s="4" t="s">
        <v>2430</v>
      </c>
      <c r="C1094" s="5" t="s">
        <v>2431</v>
      </c>
      <c r="D1094" s="4"/>
      <c r="E1094" s="4"/>
      <c r="F1094" s="4" t="s">
        <v>2391</v>
      </c>
      <c r="G1094" s="6">
        <v>0.5</v>
      </c>
      <c r="H1094" s="7" t="s">
        <v>1606</v>
      </c>
      <c r="I1094" s="4" t="s">
        <v>1574</v>
      </c>
      <c r="J1094" s="4" t="s">
        <v>2404</v>
      </c>
      <c r="K1094" s="8"/>
      <c r="L1094" s="8" t="s">
        <v>33</v>
      </c>
      <c r="M1094" s="9">
        <f t="shared" si="1"/>
        <v>38</v>
      </c>
    </row>
    <row r="1095" ht="12.75" customHeight="1">
      <c r="A1095" s="4">
        <f t="shared" si="2"/>
        <v>1094</v>
      </c>
      <c r="B1095" s="4" t="s">
        <v>2432</v>
      </c>
      <c r="C1095" s="5" t="s">
        <v>2433</v>
      </c>
      <c r="D1095" s="4"/>
      <c r="E1095" s="4"/>
      <c r="F1095" s="4" t="s">
        <v>22</v>
      </c>
      <c r="G1095" s="6">
        <v>81.08</v>
      </c>
      <c r="H1095" s="7" t="s">
        <v>1606</v>
      </c>
      <c r="I1095" s="4" t="s">
        <v>1574</v>
      </c>
      <c r="J1095" s="4" t="s">
        <v>2434</v>
      </c>
      <c r="K1095" s="8"/>
      <c r="L1095" s="8" t="s">
        <v>33</v>
      </c>
      <c r="M1095" s="9">
        <f t="shared" si="1"/>
        <v>47</v>
      </c>
    </row>
    <row r="1096" ht="12.75" customHeight="1">
      <c r="A1096" s="4">
        <f t="shared" si="2"/>
        <v>1095</v>
      </c>
      <c r="B1096" s="4" t="s">
        <v>2435</v>
      </c>
      <c r="C1096" s="5" t="s">
        <v>2436</v>
      </c>
      <c r="D1096" s="4"/>
      <c r="E1096" s="4"/>
      <c r="F1096" s="4" t="s">
        <v>2391</v>
      </c>
      <c r="G1096" s="6">
        <v>15.95</v>
      </c>
      <c r="H1096" s="7" t="s">
        <v>1606</v>
      </c>
      <c r="I1096" s="4" t="s">
        <v>1574</v>
      </c>
      <c r="J1096" s="4" t="s">
        <v>2404</v>
      </c>
      <c r="K1096" s="8"/>
      <c r="L1096" s="8" t="s">
        <v>33</v>
      </c>
      <c r="M1096" s="9">
        <f t="shared" si="1"/>
        <v>53</v>
      </c>
    </row>
    <row r="1097" ht="12.75" customHeight="1">
      <c r="A1097" s="4">
        <f t="shared" si="2"/>
        <v>1096</v>
      </c>
      <c r="B1097" s="4" t="s">
        <v>2437</v>
      </c>
      <c r="C1097" s="5" t="s">
        <v>2438</v>
      </c>
      <c r="D1097" s="4"/>
      <c r="E1097" s="4"/>
      <c r="F1097" s="4" t="s">
        <v>1791</v>
      </c>
      <c r="G1097" s="6">
        <v>117.04</v>
      </c>
      <c r="H1097" s="7" t="s">
        <v>1606</v>
      </c>
      <c r="I1097" s="4" t="s">
        <v>1574</v>
      </c>
      <c r="J1097" s="4" t="s">
        <v>2404</v>
      </c>
      <c r="K1097" s="8"/>
      <c r="L1097" s="8" t="s">
        <v>2405</v>
      </c>
      <c r="M1097" s="9">
        <f t="shared" si="1"/>
        <v>63</v>
      </c>
    </row>
    <row r="1098" ht="12.75" customHeight="1">
      <c r="A1098" s="4">
        <f t="shared" si="2"/>
        <v>1097</v>
      </c>
      <c r="B1098" s="4" t="s">
        <v>2439</v>
      </c>
      <c r="C1098" s="5" t="s">
        <v>2440</v>
      </c>
      <c r="D1098" s="4"/>
      <c r="E1098" s="4"/>
      <c r="F1098" s="4" t="s">
        <v>1791</v>
      </c>
      <c r="G1098" s="6">
        <v>79.73</v>
      </c>
      <c r="H1098" s="7" t="s">
        <v>1606</v>
      </c>
      <c r="I1098" s="4" t="s">
        <v>1574</v>
      </c>
      <c r="J1098" s="4" t="s">
        <v>2404</v>
      </c>
      <c r="K1098" s="8"/>
      <c r="L1098" s="8" t="s">
        <v>2405</v>
      </c>
      <c r="M1098" s="9">
        <f t="shared" si="1"/>
        <v>63</v>
      </c>
    </row>
    <row r="1099" ht="12.75" customHeight="1">
      <c r="A1099" s="4">
        <f t="shared" si="2"/>
        <v>1098</v>
      </c>
      <c r="B1099" s="4" t="s">
        <v>2441</v>
      </c>
      <c r="C1099" s="5" t="s">
        <v>2442</v>
      </c>
      <c r="D1099" s="4"/>
      <c r="E1099" s="4"/>
      <c r="F1099" s="4" t="s">
        <v>1791</v>
      </c>
      <c r="G1099" s="6">
        <v>51.98</v>
      </c>
      <c r="H1099" s="7" t="s">
        <v>1606</v>
      </c>
      <c r="I1099" s="4" t="s">
        <v>1574</v>
      </c>
      <c r="J1099" s="4" t="s">
        <v>2404</v>
      </c>
      <c r="K1099" s="8"/>
      <c r="L1099" s="8" t="s">
        <v>2405</v>
      </c>
      <c r="M1099" s="9">
        <f t="shared" si="1"/>
        <v>65</v>
      </c>
    </row>
    <row r="1100" ht="12.75" customHeight="1">
      <c r="A1100" s="4">
        <f t="shared" si="2"/>
        <v>1099</v>
      </c>
      <c r="B1100" s="4" t="s">
        <v>2443</v>
      </c>
      <c r="C1100" s="5" t="s">
        <v>2444</v>
      </c>
      <c r="D1100" s="4"/>
      <c r="E1100" s="4"/>
      <c r="F1100" s="4" t="s">
        <v>1791</v>
      </c>
      <c r="G1100" s="6">
        <v>37.31</v>
      </c>
      <c r="H1100" s="7" t="s">
        <v>1606</v>
      </c>
      <c r="I1100" s="4" t="s">
        <v>1574</v>
      </c>
      <c r="J1100" s="4" t="s">
        <v>2404</v>
      </c>
      <c r="K1100" s="8"/>
      <c r="L1100" s="8" t="s">
        <v>2405</v>
      </c>
      <c r="M1100" s="9">
        <f t="shared" si="1"/>
        <v>65</v>
      </c>
    </row>
    <row r="1101" ht="12.75" customHeight="1">
      <c r="A1101" s="4">
        <f t="shared" si="2"/>
        <v>1100</v>
      </c>
      <c r="B1101" s="4" t="s">
        <v>2445</v>
      </c>
      <c r="C1101" s="5" t="s">
        <v>2446</v>
      </c>
      <c r="D1101" s="4"/>
      <c r="E1101" s="4"/>
      <c r="F1101" s="4" t="s">
        <v>2391</v>
      </c>
      <c r="G1101" s="6">
        <v>19.89</v>
      </c>
      <c r="H1101" s="7" t="s">
        <v>1606</v>
      </c>
      <c r="I1101" s="4" t="s">
        <v>1574</v>
      </c>
      <c r="J1101" s="4" t="s">
        <v>2404</v>
      </c>
      <c r="K1101" s="8"/>
      <c r="L1101" s="8" t="s">
        <v>2405</v>
      </c>
      <c r="M1101" s="9">
        <f t="shared" si="1"/>
        <v>58</v>
      </c>
    </row>
    <row r="1102" ht="12.75" customHeight="1">
      <c r="A1102" s="4">
        <f t="shared" si="2"/>
        <v>1101</v>
      </c>
      <c r="B1102" s="4" t="s">
        <v>2447</v>
      </c>
      <c r="C1102" s="5" t="s">
        <v>2448</v>
      </c>
      <c r="D1102" s="4"/>
      <c r="E1102" s="4"/>
      <c r="F1102" s="4" t="s">
        <v>2391</v>
      </c>
      <c r="G1102" s="6">
        <v>37.84</v>
      </c>
      <c r="H1102" s="7" t="s">
        <v>1606</v>
      </c>
      <c r="I1102" s="4" t="s">
        <v>1574</v>
      </c>
      <c r="J1102" s="4" t="s">
        <v>2404</v>
      </c>
      <c r="K1102" s="8"/>
      <c r="L1102" s="8" t="s">
        <v>2405</v>
      </c>
      <c r="M1102" s="9">
        <f t="shared" si="1"/>
        <v>58</v>
      </c>
    </row>
    <row r="1103" ht="12.75" customHeight="1">
      <c r="A1103" s="4">
        <f t="shared" si="2"/>
        <v>1102</v>
      </c>
      <c r="B1103" s="4" t="s">
        <v>2449</v>
      </c>
      <c r="C1103" s="5" t="s">
        <v>2450</v>
      </c>
      <c r="D1103" s="4"/>
      <c r="E1103" s="4"/>
      <c r="F1103" s="4" t="s">
        <v>2391</v>
      </c>
      <c r="G1103" s="6">
        <v>0.86</v>
      </c>
      <c r="H1103" s="7" t="s">
        <v>1606</v>
      </c>
      <c r="I1103" s="4" t="s">
        <v>1574</v>
      </c>
      <c r="J1103" s="4" t="s">
        <v>2404</v>
      </c>
      <c r="K1103" s="8"/>
      <c r="L1103" s="8" t="s">
        <v>2405</v>
      </c>
      <c r="M1103" s="9">
        <f t="shared" si="1"/>
        <v>65</v>
      </c>
    </row>
    <row r="1104" ht="12.75" customHeight="1">
      <c r="A1104" s="4">
        <f t="shared" si="2"/>
        <v>1103</v>
      </c>
      <c r="B1104" s="4" t="s">
        <v>2451</v>
      </c>
      <c r="C1104" s="5" t="s">
        <v>2452</v>
      </c>
      <c r="D1104" s="4"/>
      <c r="E1104" s="4"/>
      <c r="F1104" s="4" t="s">
        <v>2391</v>
      </c>
      <c r="G1104" s="6">
        <v>0.86</v>
      </c>
      <c r="H1104" s="7" t="s">
        <v>1606</v>
      </c>
      <c r="I1104" s="4" t="s">
        <v>1574</v>
      </c>
      <c r="J1104" s="4" t="s">
        <v>2404</v>
      </c>
      <c r="K1104" s="8"/>
      <c r="L1104" s="8" t="s">
        <v>2405</v>
      </c>
      <c r="M1104" s="9">
        <f t="shared" si="1"/>
        <v>64</v>
      </c>
    </row>
    <row r="1105" ht="12.75" customHeight="1">
      <c r="A1105" s="4">
        <f t="shared" si="2"/>
        <v>1104</v>
      </c>
      <c r="B1105" s="4" t="s">
        <v>2453</v>
      </c>
      <c r="C1105" s="5" t="s">
        <v>2454</v>
      </c>
      <c r="D1105" s="4"/>
      <c r="E1105" s="4"/>
      <c r="F1105" s="4" t="s">
        <v>2391</v>
      </c>
      <c r="G1105" s="6">
        <v>0.86</v>
      </c>
      <c r="H1105" s="7" t="s">
        <v>1606</v>
      </c>
      <c r="I1105" s="4" t="s">
        <v>1574</v>
      </c>
      <c r="J1105" s="4" t="s">
        <v>2404</v>
      </c>
      <c r="K1105" s="8"/>
      <c r="L1105" s="8" t="s">
        <v>2405</v>
      </c>
      <c r="M1105" s="9">
        <f t="shared" si="1"/>
        <v>63</v>
      </c>
    </row>
    <row r="1106" ht="12.75" customHeight="1">
      <c r="A1106" s="4">
        <f t="shared" si="2"/>
        <v>1105</v>
      </c>
      <c r="B1106" s="4" t="s">
        <v>2455</v>
      </c>
      <c r="C1106" s="5" t="s">
        <v>2456</v>
      </c>
      <c r="D1106" s="4"/>
      <c r="E1106" s="4"/>
      <c r="F1106" s="4" t="s">
        <v>2391</v>
      </c>
      <c r="G1106" s="6">
        <v>0.86</v>
      </c>
      <c r="H1106" s="7" t="s">
        <v>1606</v>
      </c>
      <c r="I1106" s="4" t="s">
        <v>1574</v>
      </c>
      <c r="J1106" s="4" t="s">
        <v>2404</v>
      </c>
      <c r="K1106" s="8"/>
      <c r="L1106" s="8" t="s">
        <v>2405</v>
      </c>
      <c r="M1106" s="9">
        <f t="shared" si="1"/>
        <v>64</v>
      </c>
    </row>
    <row r="1107" ht="12.75" customHeight="1">
      <c r="A1107" s="4">
        <f t="shared" si="2"/>
        <v>1106</v>
      </c>
      <c r="B1107" s="4" t="s">
        <v>2457</v>
      </c>
      <c r="C1107" s="5" t="s">
        <v>2458</v>
      </c>
      <c r="D1107" s="4"/>
      <c r="E1107" s="4"/>
      <c r="F1107" s="4" t="s">
        <v>2391</v>
      </c>
      <c r="G1107" s="6">
        <v>0.74</v>
      </c>
      <c r="H1107" s="7" t="s">
        <v>1606</v>
      </c>
      <c r="I1107" s="4" t="s">
        <v>1574</v>
      </c>
      <c r="J1107" s="4" t="s">
        <v>2404</v>
      </c>
      <c r="K1107" s="8"/>
      <c r="L1107" s="8" t="s">
        <v>2405</v>
      </c>
      <c r="M1107" s="9">
        <f t="shared" si="1"/>
        <v>65</v>
      </c>
    </row>
    <row r="1108" ht="12.75" customHeight="1">
      <c r="A1108" s="4">
        <f t="shared" si="2"/>
        <v>1107</v>
      </c>
      <c r="B1108" s="4" t="s">
        <v>2459</v>
      </c>
      <c r="C1108" s="5" t="s">
        <v>2460</v>
      </c>
      <c r="D1108" s="4"/>
      <c r="E1108" s="4"/>
      <c r="F1108" s="4" t="s">
        <v>2391</v>
      </c>
      <c r="G1108" s="6">
        <v>0.74</v>
      </c>
      <c r="H1108" s="7" t="s">
        <v>1606</v>
      </c>
      <c r="I1108" s="4" t="s">
        <v>1574</v>
      </c>
      <c r="J1108" s="4" t="s">
        <v>2404</v>
      </c>
      <c r="K1108" s="8"/>
      <c r="L1108" s="8" t="s">
        <v>2405</v>
      </c>
      <c r="M1108" s="9">
        <f t="shared" si="1"/>
        <v>64</v>
      </c>
    </row>
    <row r="1109" ht="12.75" customHeight="1">
      <c r="A1109" s="4">
        <f t="shared" si="2"/>
        <v>1108</v>
      </c>
      <c r="B1109" s="4" t="s">
        <v>2461</v>
      </c>
      <c r="C1109" s="5" t="s">
        <v>2462</v>
      </c>
      <c r="D1109" s="4"/>
      <c r="E1109" s="4"/>
      <c r="F1109" s="4" t="s">
        <v>2391</v>
      </c>
      <c r="G1109" s="6">
        <v>0.74</v>
      </c>
      <c r="H1109" s="7" t="s">
        <v>1606</v>
      </c>
      <c r="I1109" s="4" t="s">
        <v>1574</v>
      </c>
      <c r="J1109" s="4" t="s">
        <v>2404</v>
      </c>
      <c r="K1109" s="8"/>
      <c r="L1109" s="8" t="s">
        <v>2405</v>
      </c>
      <c r="M1109" s="9">
        <f t="shared" si="1"/>
        <v>63</v>
      </c>
    </row>
    <row r="1110" ht="12.75" customHeight="1">
      <c r="A1110" s="4">
        <f t="shared" si="2"/>
        <v>1109</v>
      </c>
      <c r="B1110" s="4" t="s">
        <v>2463</v>
      </c>
      <c r="C1110" s="5" t="s">
        <v>2464</v>
      </c>
      <c r="D1110" s="4"/>
      <c r="E1110" s="4"/>
      <c r="F1110" s="4" t="s">
        <v>2391</v>
      </c>
      <c r="G1110" s="6">
        <v>0.74</v>
      </c>
      <c r="H1110" s="7" t="s">
        <v>1606</v>
      </c>
      <c r="I1110" s="4" t="s">
        <v>1574</v>
      </c>
      <c r="J1110" s="4" t="s">
        <v>2404</v>
      </c>
      <c r="K1110" s="8"/>
      <c r="L1110" s="8" t="s">
        <v>2405</v>
      </c>
      <c r="M1110" s="9">
        <f t="shared" si="1"/>
        <v>64</v>
      </c>
    </row>
    <row r="1111" ht="12.75" customHeight="1">
      <c r="A1111" s="4">
        <f t="shared" si="2"/>
        <v>1110</v>
      </c>
      <c r="B1111" s="4" t="s">
        <v>2465</v>
      </c>
      <c r="C1111" s="5" t="s">
        <v>2466</v>
      </c>
      <c r="D1111" s="4"/>
      <c r="E1111" s="4"/>
      <c r="F1111" s="4" t="s">
        <v>2391</v>
      </c>
      <c r="G1111" s="6">
        <v>0.49</v>
      </c>
      <c r="H1111" s="7" t="s">
        <v>1606</v>
      </c>
      <c r="I1111" s="4" t="s">
        <v>1574</v>
      </c>
      <c r="J1111" s="4" t="s">
        <v>2404</v>
      </c>
      <c r="K1111" s="8"/>
      <c r="L1111" s="8" t="s">
        <v>2405</v>
      </c>
      <c r="M1111" s="9">
        <f t="shared" si="1"/>
        <v>65</v>
      </c>
    </row>
    <row r="1112" ht="12.75" customHeight="1">
      <c r="A1112" s="4">
        <f t="shared" si="2"/>
        <v>1111</v>
      </c>
      <c r="B1112" s="4" t="s">
        <v>2467</v>
      </c>
      <c r="C1112" s="5" t="s">
        <v>2468</v>
      </c>
      <c r="D1112" s="4"/>
      <c r="E1112" s="4"/>
      <c r="F1112" s="4" t="s">
        <v>2391</v>
      </c>
      <c r="G1112" s="6">
        <v>0.49</v>
      </c>
      <c r="H1112" s="7" t="s">
        <v>1606</v>
      </c>
      <c r="I1112" s="4" t="s">
        <v>1574</v>
      </c>
      <c r="J1112" s="4" t="s">
        <v>2404</v>
      </c>
      <c r="K1112" s="8"/>
      <c r="L1112" s="8" t="s">
        <v>2405</v>
      </c>
      <c r="M1112" s="9">
        <f t="shared" si="1"/>
        <v>64</v>
      </c>
    </row>
    <row r="1113" ht="12.75" customHeight="1">
      <c r="A1113" s="4">
        <f t="shared" si="2"/>
        <v>1112</v>
      </c>
      <c r="B1113" s="4" t="s">
        <v>2469</v>
      </c>
      <c r="C1113" s="5" t="s">
        <v>2470</v>
      </c>
      <c r="D1113" s="4"/>
      <c r="E1113" s="4"/>
      <c r="F1113" s="4" t="s">
        <v>2391</v>
      </c>
      <c r="G1113" s="6">
        <v>0.49</v>
      </c>
      <c r="H1113" s="7" t="s">
        <v>1606</v>
      </c>
      <c r="I1113" s="4" t="s">
        <v>1574</v>
      </c>
      <c r="J1113" s="4" t="s">
        <v>2404</v>
      </c>
      <c r="K1113" s="8"/>
      <c r="L1113" s="8" t="s">
        <v>2405</v>
      </c>
      <c r="M1113" s="9">
        <f t="shared" si="1"/>
        <v>63</v>
      </c>
    </row>
    <row r="1114" ht="12.75" customHeight="1">
      <c r="A1114" s="4">
        <f t="shared" si="2"/>
        <v>1113</v>
      </c>
      <c r="B1114" s="4" t="s">
        <v>2471</v>
      </c>
      <c r="C1114" s="5" t="s">
        <v>2472</v>
      </c>
      <c r="D1114" s="4"/>
      <c r="E1114" s="4"/>
      <c r="F1114" s="4" t="s">
        <v>2391</v>
      </c>
      <c r="G1114" s="6">
        <v>0.49</v>
      </c>
      <c r="H1114" s="7" t="s">
        <v>1606</v>
      </c>
      <c r="I1114" s="4" t="s">
        <v>1574</v>
      </c>
      <c r="J1114" s="4" t="s">
        <v>2404</v>
      </c>
      <c r="K1114" s="8"/>
      <c r="L1114" s="8" t="s">
        <v>2405</v>
      </c>
      <c r="M1114" s="9">
        <f t="shared" si="1"/>
        <v>64</v>
      </c>
    </row>
    <row r="1115" ht="12.75" customHeight="1">
      <c r="A1115" s="4">
        <f t="shared" si="2"/>
        <v>1114</v>
      </c>
      <c r="B1115" s="4" t="s">
        <v>2473</v>
      </c>
      <c r="C1115" s="5" t="s">
        <v>2474</v>
      </c>
      <c r="D1115" s="4"/>
      <c r="E1115" s="4"/>
      <c r="F1115" s="4" t="s">
        <v>1791</v>
      </c>
      <c r="G1115" s="23">
        <v>270.0</v>
      </c>
      <c r="H1115" s="7" t="s">
        <v>1606</v>
      </c>
      <c r="I1115" s="4" t="s">
        <v>2475</v>
      </c>
      <c r="J1115" s="4" t="s">
        <v>2476</v>
      </c>
      <c r="K1115" s="8"/>
      <c r="L1115" s="8" t="s">
        <v>2477</v>
      </c>
      <c r="M1115" s="9">
        <f t="shared" si="1"/>
        <v>51</v>
      </c>
    </row>
    <row r="1116" ht="12.75" customHeight="1">
      <c r="A1116" s="4">
        <f t="shared" si="2"/>
        <v>1115</v>
      </c>
      <c r="B1116" s="4" t="s">
        <v>2478</v>
      </c>
      <c r="C1116" s="5" t="s">
        <v>2479</v>
      </c>
      <c r="D1116" s="4"/>
      <c r="E1116" s="4"/>
      <c r="F1116" s="4" t="s">
        <v>1791</v>
      </c>
      <c r="G1116" s="6">
        <v>265.66</v>
      </c>
      <c r="H1116" s="7" t="s">
        <v>1606</v>
      </c>
      <c r="I1116" s="4" t="s">
        <v>1574</v>
      </c>
      <c r="J1116" s="4" t="s">
        <v>2404</v>
      </c>
      <c r="K1116" s="8"/>
      <c r="L1116" s="8" t="s">
        <v>2405</v>
      </c>
      <c r="M1116" s="9">
        <f t="shared" si="1"/>
        <v>44</v>
      </c>
    </row>
    <row r="1117" ht="12.75" customHeight="1">
      <c r="A1117" s="4">
        <f t="shared" si="2"/>
        <v>1116</v>
      </c>
      <c r="B1117" s="4" t="s">
        <v>2480</v>
      </c>
      <c r="C1117" s="5" t="s">
        <v>2481</v>
      </c>
      <c r="D1117" s="4"/>
      <c r="E1117" s="4"/>
      <c r="F1117" s="4" t="s">
        <v>1791</v>
      </c>
      <c r="G1117" s="6">
        <v>202.7</v>
      </c>
      <c r="H1117" s="7" t="s">
        <v>1606</v>
      </c>
      <c r="I1117" s="4" t="s">
        <v>1574</v>
      </c>
      <c r="J1117" s="4" t="s">
        <v>2404</v>
      </c>
      <c r="K1117" s="8"/>
      <c r="L1117" s="8" t="s">
        <v>2405</v>
      </c>
      <c r="M1117" s="9">
        <f t="shared" si="1"/>
        <v>44</v>
      </c>
    </row>
    <row r="1118" ht="12.75" customHeight="1">
      <c r="A1118" s="4">
        <f t="shared" si="2"/>
        <v>1117</v>
      </c>
      <c r="B1118" s="4" t="s">
        <v>2482</v>
      </c>
      <c r="C1118" s="5" t="s">
        <v>2483</v>
      </c>
      <c r="D1118" s="4"/>
      <c r="E1118" s="4"/>
      <c r="F1118" s="4" t="s">
        <v>2391</v>
      </c>
      <c r="G1118" s="6">
        <v>1.83</v>
      </c>
      <c r="H1118" s="7" t="s">
        <v>1606</v>
      </c>
      <c r="I1118" s="4" t="s">
        <v>1574</v>
      </c>
      <c r="J1118" s="4" t="s">
        <v>2404</v>
      </c>
      <c r="K1118" s="8"/>
      <c r="L1118" s="8" t="s">
        <v>2477</v>
      </c>
      <c r="M1118" s="9">
        <f t="shared" si="1"/>
        <v>60</v>
      </c>
    </row>
    <row r="1119" ht="12.75" customHeight="1">
      <c r="A1119" s="4">
        <f t="shared" si="2"/>
        <v>1118</v>
      </c>
      <c r="B1119" s="4" t="s">
        <v>2484</v>
      </c>
      <c r="C1119" s="5" t="s">
        <v>2485</v>
      </c>
      <c r="D1119" s="4"/>
      <c r="E1119" s="4"/>
      <c r="F1119" s="4" t="s">
        <v>2391</v>
      </c>
      <c r="G1119" s="6">
        <v>13.98</v>
      </c>
      <c r="H1119" s="7" t="s">
        <v>1606</v>
      </c>
      <c r="I1119" s="4" t="s">
        <v>1574</v>
      </c>
      <c r="J1119" s="4" t="s">
        <v>2404</v>
      </c>
      <c r="K1119" s="8"/>
      <c r="L1119" s="8" t="s">
        <v>2477</v>
      </c>
      <c r="M1119" s="9">
        <f t="shared" si="1"/>
        <v>75</v>
      </c>
    </row>
    <row r="1120" ht="12.75" customHeight="1">
      <c r="A1120" s="4">
        <f t="shared" si="2"/>
        <v>1119</v>
      </c>
      <c r="B1120" s="4" t="s">
        <v>2486</v>
      </c>
      <c r="C1120" s="5" t="s">
        <v>2487</v>
      </c>
      <c r="D1120" s="4"/>
      <c r="E1120" s="4"/>
      <c r="F1120" s="4" t="s">
        <v>2391</v>
      </c>
      <c r="G1120" s="6">
        <v>6.22</v>
      </c>
      <c r="H1120" s="7" t="s">
        <v>1606</v>
      </c>
      <c r="I1120" s="4" t="s">
        <v>1574</v>
      </c>
      <c r="J1120" s="4" t="s">
        <v>2404</v>
      </c>
      <c r="K1120" s="8"/>
      <c r="L1120" s="8" t="s">
        <v>2477</v>
      </c>
      <c r="M1120" s="9">
        <f t="shared" si="1"/>
        <v>31</v>
      </c>
    </row>
    <row r="1121" ht="12.75" customHeight="1">
      <c r="A1121" s="4">
        <f t="shared" si="2"/>
        <v>1120</v>
      </c>
      <c r="B1121" s="4" t="s">
        <v>2488</v>
      </c>
      <c r="C1121" s="5" t="s">
        <v>2489</v>
      </c>
      <c r="D1121" s="4"/>
      <c r="E1121" s="4"/>
      <c r="F1121" s="4" t="s">
        <v>2391</v>
      </c>
      <c r="G1121" s="6">
        <v>4.05</v>
      </c>
      <c r="H1121" s="7" t="s">
        <v>1606</v>
      </c>
      <c r="I1121" s="4" t="s">
        <v>2392</v>
      </c>
      <c r="J1121" s="4" t="s">
        <v>2490</v>
      </c>
      <c r="K1121" s="8"/>
      <c r="L1121" s="8" t="s">
        <v>33</v>
      </c>
      <c r="M1121" s="9">
        <f t="shared" si="1"/>
        <v>32</v>
      </c>
    </row>
    <row r="1122" ht="12.75" customHeight="1">
      <c r="A1122" s="4">
        <f t="shared" si="2"/>
        <v>1121</v>
      </c>
      <c r="B1122" s="4" t="s">
        <v>2491</v>
      </c>
      <c r="C1122" s="5" t="s">
        <v>2492</v>
      </c>
      <c r="D1122" s="4"/>
      <c r="E1122" s="4"/>
      <c r="F1122" s="4" t="s">
        <v>2391</v>
      </c>
      <c r="G1122" s="6">
        <v>2.7</v>
      </c>
      <c r="H1122" s="7" t="s">
        <v>1606</v>
      </c>
      <c r="I1122" s="4" t="s">
        <v>2392</v>
      </c>
      <c r="J1122" s="4" t="s">
        <v>2490</v>
      </c>
      <c r="K1122" s="8"/>
      <c r="L1122" s="8" t="s">
        <v>33</v>
      </c>
      <c r="M1122" s="9">
        <f t="shared" si="1"/>
        <v>32</v>
      </c>
    </row>
    <row r="1123" ht="12.75" customHeight="1">
      <c r="A1123" s="4">
        <f t="shared" si="2"/>
        <v>1122</v>
      </c>
      <c r="B1123" s="4" t="s">
        <v>2493</v>
      </c>
      <c r="C1123" s="5" t="s">
        <v>2494</v>
      </c>
      <c r="D1123" s="4"/>
      <c r="E1123" s="4"/>
      <c r="F1123" s="4" t="s">
        <v>2391</v>
      </c>
      <c r="G1123" s="6">
        <v>3.29</v>
      </c>
      <c r="H1123" s="7" t="s">
        <v>1606</v>
      </c>
      <c r="I1123" s="4" t="s">
        <v>2392</v>
      </c>
      <c r="J1123" s="4" t="s">
        <v>2490</v>
      </c>
      <c r="K1123" s="8"/>
      <c r="L1123" s="8" t="s">
        <v>33</v>
      </c>
      <c r="M1123" s="9">
        <f t="shared" si="1"/>
        <v>33</v>
      </c>
    </row>
    <row r="1124" ht="12.75" customHeight="1">
      <c r="A1124" s="4">
        <f t="shared" si="2"/>
        <v>1123</v>
      </c>
      <c r="B1124" s="4" t="s">
        <v>2495</v>
      </c>
      <c r="C1124" s="5" t="s">
        <v>2496</v>
      </c>
      <c r="D1124" s="4"/>
      <c r="E1124" s="4"/>
      <c r="F1124" s="4" t="s">
        <v>2391</v>
      </c>
      <c r="G1124" s="6">
        <v>5.41</v>
      </c>
      <c r="H1124" s="7" t="s">
        <v>1606</v>
      </c>
      <c r="I1124" s="4" t="s">
        <v>2392</v>
      </c>
      <c r="J1124" s="4" t="s">
        <v>2490</v>
      </c>
      <c r="K1124" s="8"/>
      <c r="L1124" s="8" t="s">
        <v>33</v>
      </c>
      <c r="M1124" s="9">
        <f t="shared" si="1"/>
        <v>32</v>
      </c>
    </row>
    <row r="1125" ht="12.75" customHeight="1">
      <c r="A1125" s="4">
        <f t="shared" si="2"/>
        <v>1124</v>
      </c>
      <c r="B1125" s="4" t="s">
        <v>2497</v>
      </c>
      <c r="C1125" s="5" t="s">
        <v>2498</v>
      </c>
      <c r="D1125" s="4"/>
      <c r="E1125" s="4"/>
      <c r="F1125" s="4" t="s">
        <v>2391</v>
      </c>
      <c r="G1125" s="6">
        <v>3.24</v>
      </c>
      <c r="H1125" s="7" t="s">
        <v>1606</v>
      </c>
      <c r="I1125" s="4" t="s">
        <v>2392</v>
      </c>
      <c r="J1125" s="4" t="s">
        <v>2490</v>
      </c>
      <c r="K1125" s="8"/>
      <c r="L1125" s="8" t="s">
        <v>33</v>
      </c>
      <c r="M1125" s="9">
        <f t="shared" si="1"/>
        <v>32</v>
      </c>
    </row>
    <row r="1126" ht="12.75" customHeight="1">
      <c r="A1126" s="4">
        <f t="shared" si="2"/>
        <v>1125</v>
      </c>
      <c r="B1126" s="4" t="s">
        <v>2499</v>
      </c>
      <c r="C1126" s="5" t="s">
        <v>2500</v>
      </c>
      <c r="D1126" s="4"/>
      <c r="E1126" s="4"/>
      <c r="F1126" s="4" t="s">
        <v>22</v>
      </c>
      <c r="G1126" s="6">
        <v>8.23</v>
      </c>
      <c r="H1126" s="7" t="s">
        <v>1606</v>
      </c>
      <c r="I1126" s="4" t="s">
        <v>1574</v>
      </c>
      <c r="J1126" s="4" t="s">
        <v>2501</v>
      </c>
      <c r="K1126" s="8"/>
      <c r="L1126" s="8" t="s">
        <v>2502</v>
      </c>
      <c r="M1126" s="9">
        <f t="shared" si="1"/>
        <v>45</v>
      </c>
    </row>
    <row r="1127" ht="12.75" customHeight="1">
      <c r="A1127" s="4">
        <f t="shared" si="2"/>
        <v>1126</v>
      </c>
      <c r="B1127" s="4" t="s">
        <v>2503</v>
      </c>
      <c r="C1127" s="5" t="s">
        <v>2504</v>
      </c>
      <c r="D1127" s="4"/>
      <c r="E1127" s="4"/>
      <c r="F1127" s="4" t="s">
        <v>22</v>
      </c>
      <c r="G1127" s="6">
        <v>8.23</v>
      </c>
      <c r="H1127" s="7" t="s">
        <v>1606</v>
      </c>
      <c r="I1127" s="4" t="s">
        <v>1574</v>
      </c>
      <c r="J1127" s="4" t="s">
        <v>2501</v>
      </c>
      <c r="K1127" s="8"/>
      <c r="L1127" s="8" t="s">
        <v>2502</v>
      </c>
      <c r="M1127" s="9">
        <f t="shared" si="1"/>
        <v>46</v>
      </c>
    </row>
    <row r="1128" ht="12.75" customHeight="1">
      <c r="A1128" s="4">
        <f t="shared" si="2"/>
        <v>1127</v>
      </c>
      <c r="B1128" s="4" t="s">
        <v>2505</v>
      </c>
      <c r="C1128" s="5" t="s">
        <v>2506</v>
      </c>
      <c r="D1128" s="4"/>
      <c r="E1128" s="4"/>
      <c r="F1128" s="4" t="s">
        <v>22</v>
      </c>
      <c r="G1128" s="6">
        <v>40.43</v>
      </c>
      <c r="H1128" s="7" t="s">
        <v>1606</v>
      </c>
      <c r="I1128" s="4" t="s">
        <v>1574</v>
      </c>
      <c r="J1128" s="4" t="s">
        <v>2501</v>
      </c>
      <c r="K1128" s="8"/>
      <c r="L1128" s="8" t="s">
        <v>2502</v>
      </c>
      <c r="M1128" s="9">
        <f t="shared" si="1"/>
        <v>46</v>
      </c>
    </row>
    <row r="1129" ht="12.75" customHeight="1">
      <c r="A1129" s="4">
        <f t="shared" si="2"/>
        <v>1128</v>
      </c>
      <c r="B1129" s="4" t="s">
        <v>2507</v>
      </c>
      <c r="C1129" s="5" t="s">
        <v>2508</v>
      </c>
      <c r="D1129" s="4"/>
      <c r="E1129" s="4"/>
      <c r="F1129" s="4" t="s">
        <v>22</v>
      </c>
      <c r="G1129" s="6">
        <v>47.0</v>
      </c>
      <c r="H1129" s="7" t="s">
        <v>1606</v>
      </c>
      <c r="I1129" s="4" t="s">
        <v>1574</v>
      </c>
      <c r="J1129" s="4" t="s">
        <v>2501</v>
      </c>
      <c r="K1129" s="8"/>
      <c r="L1129" s="8" t="s">
        <v>2502</v>
      </c>
      <c r="M1129" s="9">
        <f t="shared" si="1"/>
        <v>46</v>
      </c>
    </row>
    <row r="1130" ht="12.75" customHeight="1">
      <c r="A1130" s="4">
        <f t="shared" si="2"/>
        <v>1129</v>
      </c>
      <c r="B1130" s="4" t="s">
        <v>2509</v>
      </c>
      <c r="C1130" s="5" t="s">
        <v>2510</v>
      </c>
      <c r="D1130" s="4"/>
      <c r="E1130" s="4"/>
      <c r="F1130" s="4" t="s">
        <v>22</v>
      </c>
      <c r="G1130" s="6">
        <v>8.23</v>
      </c>
      <c r="H1130" s="7" t="s">
        <v>1606</v>
      </c>
      <c r="I1130" s="4" t="s">
        <v>1574</v>
      </c>
      <c r="J1130" s="4" t="s">
        <v>2501</v>
      </c>
      <c r="K1130" s="8"/>
      <c r="L1130" s="8" t="s">
        <v>2502</v>
      </c>
      <c r="M1130" s="9">
        <f t="shared" si="1"/>
        <v>45</v>
      </c>
    </row>
    <row r="1131" ht="12.75" customHeight="1">
      <c r="A1131" s="4">
        <f t="shared" si="2"/>
        <v>1130</v>
      </c>
      <c r="B1131" s="4" t="s">
        <v>2511</v>
      </c>
      <c r="C1131" s="5" t="s">
        <v>2512</v>
      </c>
      <c r="D1131" s="4"/>
      <c r="E1131" s="4"/>
      <c r="F1131" s="4" t="s">
        <v>22</v>
      </c>
      <c r="G1131" s="6">
        <v>6.02</v>
      </c>
      <c r="H1131" s="7" t="s">
        <v>1606</v>
      </c>
      <c r="I1131" s="4" t="s">
        <v>1574</v>
      </c>
      <c r="J1131" s="4" t="s">
        <v>2501</v>
      </c>
      <c r="K1131" s="8"/>
      <c r="L1131" s="8" t="s">
        <v>1659</v>
      </c>
      <c r="M1131" s="9">
        <f t="shared" si="1"/>
        <v>62</v>
      </c>
    </row>
    <row r="1132" ht="12.75" customHeight="1">
      <c r="A1132" s="4">
        <f t="shared" si="2"/>
        <v>1131</v>
      </c>
      <c r="B1132" s="4" t="s">
        <v>2513</v>
      </c>
      <c r="C1132" s="5" t="s">
        <v>2514</v>
      </c>
      <c r="D1132" s="4"/>
      <c r="E1132" s="4"/>
      <c r="F1132" s="4" t="s">
        <v>22</v>
      </c>
      <c r="G1132" s="6">
        <v>87.04</v>
      </c>
      <c r="H1132" s="7" t="s">
        <v>1606</v>
      </c>
      <c r="I1132" s="4" t="s">
        <v>1574</v>
      </c>
      <c r="J1132" s="4" t="s">
        <v>2501</v>
      </c>
      <c r="K1132" s="8"/>
      <c r="L1132" s="8" t="s">
        <v>1659</v>
      </c>
      <c r="M1132" s="9">
        <f t="shared" si="1"/>
        <v>63</v>
      </c>
    </row>
    <row r="1133" ht="12.75" customHeight="1">
      <c r="A1133" s="4">
        <f t="shared" si="2"/>
        <v>1132</v>
      </c>
      <c r="B1133" s="4" t="s">
        <v>2515</v>
      </c>
      <c r="C1133" s="5" t="s">
        <v>2516</v>
      </c>
      <c r="D1133" s="4"/>
      <c r="E1133" s="4"/>
      <c r="F1133" s="4" t="s">
        <v>22</v>
      </c>
      <c r="G1133" s="6">
        <v>24.53</v>
      </c>
      <c r="H1133" s="7" t="s">
        <v>1606</v>
      </c>
      <c r="I1133" s="4" t="s">
        <v>1574</v>
      </c>
      <c r="J1133" s="4" t="s">
        <v>2501</v>
      </c>
      <c r="K1133" s="8"/>
      <c r="L1133" s="8" t="s">
        <v>1659</v>
      </c>
      <c r="M1133" s="9">
        <f t="shared" si="1"/>
        <v>63</v>
      </c>
    </row>
    <row r="1134" ht="12.75" customHeight="1">
      <c r="A1134" s="4">
        <f t="shared" si="2"/>
        <v>1133</v>
      </c>
      <c r="B1134" s="4" t="s">
        <v>2517</v>
      </c>
      <c r="C1134" s="5" t="s">
        <v>2518</v>
      </c>
      <c r="D1134" s="4"/>
      <c r="E1134" s="4"/>
      <c r="F1134" s="4" t="s">
        <v>22</v>
      </c>
      <c r="G1134" s="6">
        <v>92.43</v>
      </c>
      <c r="H1134" s="7" t="s">
        <v>1606</v>
      </c>
      <c r="I1134" s="4" t="s">
        <v>1574</v>
      </c>
      <c r="J1134" s="4" t="s">
        <v>2501</v>
      </c>
      <c r="K1134" s="8"/>
      <c r="L1134" s="8" t="s">
        <v>1659</v>
      </c>
      <c r="M1134" s="9">
        <f t="shared" si="1"/>
        <v>63</v>
      </c>
    </row>
    <row r="1135" ht="12.75" customHeight="1">
      <c r="A1135" s="4">
        <f t="shared" si="2"/>
        <v>1134</v>
      </c>
      <c r="B1135" s="4" t="s">
        <v>2519</v>
      </c>
      <c r="C1135" s="5" t="s">
        <v>2520</v>
      </c>
      <c r="D1135" s="4"/>
      <c r="E1135" s="4"/>
      <c r="F1135" s="4" t="s">
        <v>22</v>
      </c>
      <c r="G1135" s="6">
        <v>92.43</v>
      </c>
      <c r="H1135" s="7" t="s">
        <v>1606</v>
      </c>
      <c r="I1135" s="4" t="s">
        <v>1574</v>
      </c>
      <c r="J1135" s="4" t="s">
        <v>2501</v>
      </c>
      <c r="K1135" s="8"/>
      <c r="L1135" s="8" t="s">
        <v>1659</v>
      </c>
      <c r="M1135" s="9">
        <f t="shared" si="1"/>
        <v>62</v>
      </c>
    </row>
    <row r="1136" ht="12.75" customHeight="1">
      <c r="A1136" s="4">
        <f t="shared" si="2"/>
        <v>1135</v>
      </c>
      <c r="B1136" s="4" t="s">
        <v>2521</v>
      </c>
      <c r="C1136" s="5" t="s">
        <v>2522</v>
      </c>
      <c r="D1136" s="4"/>
      <c r="E1136" s="4"/>
      <c r="F1136" s="4" t="s">
        <v>22</v>
      </c>
      <c r="G1136" s="6">
        <v>72.35</v>
      </c>
      <c r="H1136" s="7" t="s">
        <v>1606</v>
      </c>
      <c r="I1136" s="4" t="s">
        <v>1574</v>
      </c>
      <c r="J1136" s="4" t="s">
        <v>2501</v>
      </c>
      <c r="K1136" s="8"/>
      <c r="L1136" s="8" t="s">
        <v>1659</v>
      </c>
      <c r="M1136" s="9">
        <f t="shared" si="1"/>
        <v>58</v>
      </c>
    </row>
    <row r="1137" ht="12.75" customHeight="1">
      <c r="A1137" s="4">
        <f t="shared" si="2"/>
        <v>1136</v>
      </c>
      <c r="B1137" s="4" t="s">
        <v>2523</v>
      </c>
      <c r="C1137" s="5" t="s">
        <v>2524</v>
      </c>
      <c r="D1137" s="4"/>
      <c r="E1137" s="4"/>
      <c r="F1137" s="4" t="s">
        <v>22</v>
      </c>
      <c r="G1137" s="6">
        <v>72.35</v>
      </c>
      <c r="H1137" s="7" t="s">
        <v>1606</v>
      </c>
      <c r="I1137" s="4" t="s">
        <v>1574</v>
      </c>
      <c r="J1137" s="4" t="s">
        <v>2501</v>
      </c>
      <c r="K1137" s="8"/>
      <c r="L1137" s="8" t="s">
        <v>1659</v>
      </c>
      <c r="M1137" s="9">
        <f t="shared" si="1"/>
        <v>59</v>
      </c>
    </row>
    <row r="1138" ht="12.75" customHeight="1">
      <c r="A1138" s="4">
        <f t="shared" si="2"/>
        <v>1137</v>
      </c>
      <c r="B1138" s="4" t="s">
        <v>2525</v>
      </c>
      <c r="C1138" s="5" t="s">
        <v>2526</v>
      </c>
      <c r="D1138" s="4"/>
      <c r="E1138" s="4"/>
      <c r="F1138" s="4" t="s">
        <v>22</v>
      </c>
      <c r="G1138" s="6">
        <v>72.35</v>
      </c>
      <c r="H1138" s="7" t="s">
        <v>1606</v>
      </c>
      <c r="I1138" s="4" t="s">
        <v>1574</v>
      </c>
      <c r="J1138" s="4" t="s">
        <v>2501</v>
      </c>
      <c r="K1138" s="8"/>
      <c r="L1138" s="8" t="s">
        <v>1659</v>
      </c>
      <c r="M1138" s="9">
        <f t="shared" si="1"/>
        <v>59</v>
      </c>
    </row>
    <row r="1139" ht="12.75" customHeight="1">
      <c r="A1139" s="4">
        <f t="shared" si="2"/>
        <v>1138</v>
      </c>
      <c r="B1139" s="4" t="s">
        <v>2527</v>
      </c>
      <c r="C1139" s="5" t="s">
        <v>2528</v>
      </c>
      <c r="D1139" s="4"/>
      <c r="E1139" s="4"/>
      <c r="F1139" s="4" t="s">
        <v>22</v>
      </c>
      <c r="G1139" s="6">
        <v>72.35</v>
      </c>
      <c r="H1139" s="7" t="s">
        <v>1606</v>
      </c>
      <c r="I1139" s="4" t="s">
        <v>1574</v>
      </c>
      <c r="J1139" s="4" t="s">
        <v>2501</v>
      </c>
      <c r="K1139" s="8"/>
      <c r="L1139" s="8" t="s">
        <v>1659</v>
      </c>
      <c r="M1139" s="9">
        <f t="shared" si="1"/>
        <v>59</v>
      </c>
    </row>
    <row r="1140" ht="12.75" customHeight="1">
      <c r="A1140" s="4">
        <f t="shared" si="2"/>
        <v>1139</v>
      </c>
      <c r="B1140" s="4" t="s">
        <v>2529</v>
      </c>
      <c r="C1140" s="5" t="s">
        <v>2530</v>
      </c>
      <c r="D1140" s="4"/>
      <c r="E1140" s="4"/>
      <c r="F1140" s="4" t="s">
        <v>22</v>
      </c>
      <c r="G1140" s="6">
        <v>72.35</v>
      </c>
      <c r="H1140" s="7" t="s">
        <v>1606</v>
      </c>
      <c r="I1140" s="4" t="s">
        <v>1574</v>
      </c>
      <c r="J1140" s="4" t="s">
        <v>2501</v>
      </c>
      <c r="K1140" s="8"/>
      <c r="L1140" s="8" t="s">
        <v>1659</v>
      </c>
      <c r="M1140" s="9">
        <f t="shared" si="1"/>
        <v>58</v>
      </c>
    </row>
    <row r="1141" ht="12.75" customHeight="1">
      <c r="A1141" s="4">
        <f t="shared" si="2"/>
        <v>1140</v>
      </c>
      <c r="B1141" s="4" t="s">
        <v>2531</v>
      </c>
      <c r="C1141" s="5" t="s">
        <v>2532</v>
      </c>
      <c r="D1141" s="4"/>
      <c r="E1141" s="4"/>
      <c r="F1141" s="4" t="s">
        <v>22</v>
      </c>
      <c r="G1141" s="6">
        <v>103.2</v>
      </c>
      <c r="H1141" s="7" t="s">
        <v>1606</v>
      </c>
      <c r="I1141" s="4" t="s">
        <v>1574</v>
      </c>
      <c r="J1141" s="4" t="s">
        <v>2501</v>
      </c>
      <c r="K1141" s="8"/>
      <c r="L1141" s="8" t="s">
        <v>1659</v>
      </c>
      <c r="M1141" s="9">
        <f t="shared" si="1"/>
        <v>58</v>
      </c>
    </row>
    <row r="1142" ht="12.75" customHeight="1">
      <c r="A1142" s="4">
        <f t="shared" si="2"/>
        <v>1141</v>
      </c>
      <c r="B1142" s="4" t="s">
        <v>2533</v>
      </c>
      <c r="C1142" s="5" t="s">
        <v>2534</v>
      </c>
      <c r="D1142" s="4"/>
      <c r="E1142" s="4"/>
      <c r="F1142" s="4" t="s">
        <v>22</v>
      </c>
      <c r="G1142" s="6">
        <v>28.38</v>
      </c>
      <c r="H1142" s="7" t="s">
        <v>1606</v>
      </c>
      <c r="I1142" s="4" t="s">
        <v>1574</v>
      </c>
      <c r="J1142" s="4" t="s">
        <v>2501</v>
      </c>
      <c r="K1142" s="8"/>
      <c r="L1142" s="8" t="s">
        <v>1659</v>
      </c>
      <c r="M1142" s="9">
        <f t="shared" si="1"/>
        <v>59</v>
      </c>
    </row>
    <row r="1143" ht="12.75" customHeight="1">
      <c r="A1143" s="4">
        <f t="shared" si="2"/>
        <v>1142</v>
      </c>
      <c r="B1143" s="4" t="s">
        <v>2535</v>
      </c>
      <c r="C1143" s="5" t="s">
        <v>2536</v>
      </c>
      <c r="D1143" s="4"/>
      <c r="E1143" s="4"/>
      <c r="F1143" s="4" t="s">
        <v>22</v>
      </c>
      <c r="G1143" s="6">
        <v>28.38</v>
      </c>
      <c r="H1143" s="7" t="s">
        <v>1606</v>
      </c>
      <c r="I1143" s="4" t="s">
        <v>1574</v>
      </c>
      <c r="J1143" s="4" t="s">
        <v>2501</v>
      </c>
      <c r="K1143" s="8"/>
      <c r="L1143" s="8" t="s">
        <v>1659</v>
      </c>
      <c r="M1143" s="9">
        <f t="shared" si="1"/>
        <v>59</v>
      </c>
    </row>
    <row r="1144" ht="12.75" customHeight="1">
      <c r="A1144" s="4">
        <f t="shared" si="2"/>
        <v>1143</v>
      </c>
      <c r="B1144" s="4" t="s">
        <v>2537</v>
      </c>
      <c r="C1144" s="5" t="s">
        <v>2538</v>
      </c>
      <c r="D1144" s="4"/>
      <c r="E1144" s="4"/>
      <c r="F1144" s="4" t="s">
        <v>22</v>
      </c>
      <c r="G1144" s="6">
        <v>28.38</v>
      </c>
      <c r="H1144" s="7" t="s">
        <v>1606</v>
      </c>
      <c r="I1144" s="4" t="s">
        <v>1574</v>
      </c>
      <c r="J1144" s="4" t="s">
        <v>2501</v>
      </c>
      <c r="K1144" s="8"/>
      <c r="L1144" s="8" t="s">
        <v>1659</v>
      </c>
      <c r="M1144" s="9">
        <f t="shared" si="1"/>
        <v>59</v>
      </c>
    </row>
    <row r="1145" ht="12.75" customHeight="1">
      <c r="A1145" s="4">
        <f t="shared" si="2"/>
        <v>1144</v>
      </c>
      <c r="B1145" s="4" t="s">
        <v>2539</v>
      </c>
      <c r="C1145" s="5" t="s">
        <v>2540</v>
      </c>
      <c r="D1145" s="4"/>
      <c r="E1145" s="4"/>
      <c r="F1145" s="4" t="s">
        <v>22</v>
      </c>
      <c r="G1145" s="6">
        <v>28.38</v>
      </c>
      <c r="H1145" s="7" t="s">
        <v>1606</v>
      </c>
      <c r="I1145" s="4" t="s">
        <v>1574</v>
      </c>
      <c r="J1145" s="4" t="s">
        <v>2501</v>
      </c>
      <c r="K1145" s="8"/>
      <c r="L1145" s="8" t="s">
        <v>1659</v>
      </c>
      <c r="M1145" s="9">
        <f t="shared" si="1"/>
        <v>58</v>
      </c>
    </row>
    <row r="1146" ht="12.75" customHeight="1">
      <c r="A1146" s="4">
        <f t="shared" si="2"/>
        <v>1145</v>
      </c>
      <c r="B1146" s="4" t="s">
        <v>2541</v>
      </c>
      <c r="C1146" s="5" t="s">
        <v>2542</v>
      </c>
      <c r="D1146" s="4"/>
      <c r="E1146" s="4"/>
      <c r="F1146" s="4" t="s">
        <v>22</v>
      </c>
      <c r="G1146" s="6">
        <v>41.1</v>
      </c>
      <c r="H1146" s="7" t="s">
        <v>1606</v>
      </c>
      <c r="I1146" s="4" t="s">
        <v>1574</v>
      </c>
      <c r="J1146" s="4" t="s">
        <v>2501</v>
      </c>
      <c r="K1146" s="8"/>
      <c r="L1146" s="8" t="s">
        <v>1659</v>
      </c>
      <c r="M1146" s="9">
        <f t="shared" si="1"/>
        <v>60</v>
      </c>
    </row>
    <row r="1147" ht="12.75" customHeight="1">
      <c r="A1147" s="4">
        <f t="shared" si="2"/>
        <v>1146</v>
      </c>
      <c r="B1147" s="4" t="s">
        <v>2543</v>
      </c>
      <c r="C1147" s="5" t="s">
        <v>2544</v>
      </c>
      <c r="D1147" s="4"/>
      <c r="E1147" s="4"/>
      <c r="F1147" s="4" t="s">
        <v>22</v>
      </c>
      <c r="G1147" s="6">
        <v>30.15</v>
      </c>
      <c r="H1147" s="7" t="s">
        <v>1606</v>
      </c>
      <c r="I1147" s="4" t="s">
        <v>1574</v>
      </c>
      <c r="J1147" s="4" t="s">
        <v>2501</v>
      </c>
      <c r="K1147" s="8"/>
      <c r="L1147" s="8" t="s">
        <v>1659</v>
      </c>
      <c r="M1147" s="9">
        <f t="shared" si="1"/>
        <v>61</v>
      </c>
    </row>
    <row r="1148" ht="12.75" customHeight="1">
      <c r="A1148" s="4">
        <f t="shared" si="2"/>
        <v>1147</v>
      </c>
      <c r="B1148" s="4" t="s">
        <v>2545</v>
      </c>
      <c r="C1148" s="5" t="s">
        <v>2546</v>
      </c>
      <c r="D1148" s="4"/>
      <c r="E1148" s="4"/>
      <c r="F1148" s="4" t="s">
        <v>22</v>
      </c>
      <c r="G1148" s="6">
        <v>59.46</v>
      </c>
      <c r="H1148" s="7" t="s">
        <v>1606</v>
      </c>
      <c r="I1148" s="4" t="s">
        <v>1574</v>
      </c>
      <c r="J1148" s="4" t="s">
        <v>2501</v>
      </c>
      <c r="K1148" s="8"/>
      <c r="L1148" s="8" t="s">
        <v>1659</v>
      </c>
      <c r="M1148" s="9">
        <f t="shared" si="1"/>
        <v>61</v>
      </c>
    </row>
    <row r="1149" ht="12.75" customHeight="1">
      <c r="A1149" s="4">
        <f t="shared" si="2"/>
        <v>1148</v>
      </c>
      <c r="B1149" s="4" t="s">
        <v>2547</v>
      </c>
      <c r="C1149" s="5" t="s">
        <v>2548</v>
      </c>
      <c r="D1149" s="4"/>
      <c r="E1149" s="4"/>
      <c r="F1149" s="4" t="s">
        <v>22</v>
      </c>
      <c r="G1149" s="6">
        <v>59.46</v>
      </c>
      <c r="H1149" s="7" t="s">
        <v>1606</v>
      </c>
      <c r="I1149" s="4" t="s">
        <v>1574</v>
      </c>
      <c r="J1149" s="4" t="s">
        <v>2501</v>
      </c>
      <c r="K1149" s="8"/>
      <c r="L1149" s="8" t="s">
        <v>1659</v>
      </c>
      <c r="M1149" s="9">
        <f t="shared" si="1"/>
        <v>61</v>
      </c>
    </row>
    <row r="1150" ht="12.75" customHeight="1">
      <c r="A1150" s="4">
        <f t="shared" si="2"/>
        <v>1149</v>
      </c>
      <c r="B1150" s="4" t="s">
        <v>2549</v>
      </c>
      <c r="C1150" s="5" t="s">
        <v>2550</v>
      </c>
      <c r="D1150" s="4"/>
      <c r="E1150" s="4"/>
      <c r="F1150" s="4" t="s">
        <v>22</v>
      </c>
      <c r="G1150" s="6">
        <v>61.3</v>
      </c>
      <c r="H1150" s="7" t="s">
        <v>1606</v>
      </c>
      <c r="I1150" s="4" t="s">
        <v>1574</v>
      </c>
      <c r="J1150" s="4" t="s">
        <v>2501</v>
      </c>
      <c r="K1150" s="8"/>
      <c r="L1150" s="8" t="s">
        <v>1659</v>
      </c>
      <c r="M1150" s="9">
        <f t="shared" si="1"/>
        <v>60</v>
      </c>
    </row>
    <row r="1151" ht="12.75" customHeight="1">
      <c r="A1151" s="4">
        <f t="shared" si="2"/>
        <v>1150</v>
      </c>
      <c r="B1151" s="4" t="s">
        <v>2551</v>
      </c>
      <c r="C1151" s="5" t="s">
        <v>2552</v>
      </c>
      <c r="D1151" s="4"/>
      <c r="E1151" s="4"/>
      <c r="F1151" s="4" t="s">
        <v>22</v>
      </c>
      <c r="G1151" s="6">
        <v>59.46</v>
      </c>
      <c r="H1151" s="7" t="s">
        <v>1606</v>
      </c>
      <c r="I1151" s="4" t="s">
        <v>1574</v>
      </c>
      <c r="J1151" s="4" t="s">
        <v>2501</v>
      </c>
      <c r="K1151" s="8"/>
      <c r="L1151" s="8" t="s">
        <v>1659</v>
      </c>
      <c r="M1151" s="9">
        <f t="shared" si="1"/>
        <v>78</v>
      </c>
    </row>
    <row r="1152" ht="12.75" customHeight="1">
      <c r="A1152" s="4">
        <f t="shared" si="2"/>
        <v>1151</v>
      </c>
      <c r="B1152" s="4" t="s">
        <v>2553</v>
      </c>
      <c r="C1152" s="5" t="s">
        <v>2554</v>
      </c>
      <c r="D1152" s="4"/>
      <c r="E1152" s="4"/>
      <c r="F1152" s="4" t="s">
        <v>22</v>
      </c>
      <c r="G1152" s="6">
        <v>17.84</v>
      </c>
      <c r="H1152" s="7" t="s">
        <v>1606</v>
      </c>
      <c r="I1152" s="4" t="s">
        <v>1574</v>
      </c>
      <c r="J1152" s="4" t="s">
        <v>2501</v>
      </c>
      <c r="K1152" s="8"/>
      <c r="L1152" s="8" t="s">
        <v>2502</v>
      </c>
      <c r="M1152" s="9">
        <f t="shared" si="1"/>
        <v>48</v>
      </c>
    </row>
    <row r="1153" ht="12.75" customHeight="1">
      <c r="A1153" s="4">
        <f t="shared" si="2"/>
        <v>1152</v>
      </c>
      <c r="B1153" s="4" t="s">
        <v>2555</v>
      </c>
      <c r="C1153" s="5" t="s">
        <v>2556</v>
      </c>
      <c r="D1153" s="4"/>
      <c r="E1153" s="4"/>
      <c r="F1153" s="4" t="s">
        <v>22</v>
      </c>
      <c r="G1153" s="6">
        <v>17.84</v>
      </c>
      <c r="H1153" s="7" t="s">
        <v>1606</v>
      </c>
      <c r="I1153" s="4" t="s">
        <v>1574</v>
      </c>
      <c r="J1153" s="4" t="s">
        <v>2501</v>
      </c>
      <c r="K1153" s="8"/>
      <c r="L1153" s="8" t="s">
        <v>2502</v>
      </c>
      <c r="M1153" s="9">
        <f t="shared" si="1"/>
        <v>49</v>
      </c>
    </row>
    <row r="1154" ht="12.75" customHeight="1">
      <c r="A1154" s="4">
        <f t="shared" si="2"/>
        <v>1153</v>
      </c>
      <c r="B1154" s="4" t="s">
        <v>2557</v>
      </c>
      <c r="C1154" s="5" t="s">
        <v>2558</v>
      </c>
      <c r="D1154" s="4"/>
      <c r="E1154" s="4"/>
      <c r="F1154" s="4" t="s">
        <v>22</v>
      </c>
      <c r="G1154" s="6">
        <v>17.84</v>
      </c>
      <c r="H1154" s="7" t="s">
        <v>1606</v>
      </c>
      <c r="I1154" s="4" t="s">
        <v>1574</v>
      </c>
      <c r="J1154" s="4" t="s">
        <v>2501</v>
      </c>
      <c r="K1154" s="8"/>
      <c r="L1154" s="8" t="s">
        <v>2502</v>
      </c>
      <c r="M1154" s="9">
        <f t="shared" si="1"/>
        <v>49</v>
      </c>
    </row>
    <row r="1155" ht="12.75" customHeight="1">
      <c r="A1155" s="4">
        <f t="shared" si="2"/>
        <v>1154</v>
      </c>
      <c r="B1155" s="4" t="s">
        <v>2559</v>
      </c>
      <c r="C1155" s="5" t="s">
        <v>2560</v>
      </c>
      <c r="D1155" s="4"/>
      <c r="E1155" s="4"/>
      <c r="F1155" s="4" t="s">
        <v>22</v>
      </c>
      <c r="G1155" s="6">
        <v>17.84</v>
      </c>
      <c r="H1155" s="7" t="s">
        <v>1606</v>
      </c>
      <c r="I1155" s="4" t="s">
        <v>1574</v>
      </c>
      <c r="J1155" s="4" t="s">
        <v>2501</v>
      </c>
      <c r="K1155" s="8"/>
      <c r="L1155" s="8" t="s">
        <v>2502</v>
      </c>
      <c r="M1155" s="9">
        <f t="shared" si="1"/>
        <v>49</v>
      </c>
    </row>
    <row r="1156" ht="12.75" customHeight="1">
      <c r="A1156" s="4">
        <f t="shared" si="2"/>
        <v>1155</v>
      </c>
      <c r="B1156" s="4" t="s">
        <v>2561</v>
      </c>
      <c r="C1156" s="5" t="s">
        <v>2562</v>
      </c>
      <c r="D1156" s="4"/>
      <c r="E1156" s="4"/>
      <c r="F1156" s="4" t="s">
        <v>22</v>
      </c>
      <c r="G1156" s="6">
        <v>17.84</v>
      </c>
      <c r="H1156" s="7" t="s">
        <v>1606</v>
      </c>
      <c r="I1156" s="4" t="s">
        <v>1574</v>
      </c>
      <c r="J1156" s="4" t="s">
        <v>2501</v>
      </c>
      <c r="K1156" s="8"/>
      <c r="L1156" s="8" t="s">
        <v>2502</v>
      </c>
      <c r="M1156" s="9">
        <f t="shared" si="1"/>
        <v>48</v>
      </c>
    </row>
    <row r="1157" ht="12.75" customHeight="1">
      <c r="A1157" s="4">
        <f t="shared" si="2"/>
        <v>1156</v>
      </c>
      <c r="B1157" s="4" t="s">
        <v>2563</v>
      </c>
      <c r="C1157" s="5" t="s">
        <v>2564</v>
      </c>
      <c r="D1157" s="4"/>
      <c r="E1157" s="4"/>
      <c r="F1157" s="4" t="s">
        <v>22</v>
      </c>
      <c r="G1157" s="6">
        <v>8.63</v>
      </c>
      <c r="H1157" s="7" t="s">
        <v>1606</v>
      </c>
      <c r="I1157" s="4" t="s">
        <v>1574</v>
      </c>
      <c r="J1157" s="4" t="s">
        <v>2501</v>
      </c>
      <c r="K1157" s="8"/>
      <c r="L1157" s="8" t="s">
        <v>2502</v>
      </c>
      <c r="M1157" s="9">
        <f t="shared" si="1"/>
        <v>44</v>
      </c>
    </row>
    <row r="1158" ht="12.75" customHeight="1">
      <c r="A1158" s="4">
        <f t="shared" si="2"/>
        <v>1157</v>
      </c>
      <c r="B1158" s="4" t="s">
        <v>2565</v>
      </c>
      <c r="C1158" s="5" t="s">
        <v>2566</v>
      </c>
      <c r="D1158" s="4"/>
      <c r="E1158" s="4"/>
      <c r="F1158" s="4" t="s">
        <v>22</v>
      </c>
      <c r="G1158" s="6">
        <v>8.63</v>
      </c>
      <c r="H1158" s="7" t="s">
        <v>1606</v>
      </c>
      <c r="I1158" s="4" t="s">
        <v>1574</v>
      </c>
      <c r="J1158" s="4" t="s">
        <v>2501</v>
      </c>
      <c r="K1158" s="8"/>
      <c r="L1158" s="8" t="s">
        <v>2502</v>
      </c>
      <c r="M1158" s="9">
        <f t="shared" si="1"/>
        <v>45</v>
      </c>
    </row>
    <row r="1159" ht="12.75" customHeight="1">
      <c r="A1159" s="4">
        <f t="shared" si="2"/>
        <v>1158</v>
      </c>
      <c r="B1159" s="4" t="s">
        <v>2567</v>
      </c>
      <c r="C1159" s="5" t="s">
        <v>2568</v>
      </c>
      <c r="D1159" s="4"/>
      <c r="E1159" s="4"/>
      <c r="F1159" s="4" t="s">
        <v>22</v>
      </c>
      <c r="G1159" s="21">
        <v>8.63</v>
      </c>
      <c r="H1159" s="7" t="s">
        <v>1606</v>
      </c>
      <c r="I1159" s="4" t="s">
        <v>1574</v>
      </c>
      <c r="J1159" s="4" t="s">
        <v>2501</v>
      </c>
      <c r="K1159" s="8"/>
      <c r="L1159" s="8" t="s">
        <v>2502</v>
      </c>
      <c r="M1159" s="9">
        <f t="shared" si="1"/>
        <v>45</v>
      </c>
    </row>
    <row r="1160" ht="12.75" customHeight="1">
      <c r="A1160" s="4">
        <f t="shared" si="2"/>
        <v>1159</v>
      </c>
      <c r="B1160" s="4" t="s">
        <v>2569</v>
      </c>
      <c r="C1160" s="5" t="s">
        <v>2570</v>
      </c>
      <c r="D1160" s="4"/>
      <c r="E1160" s="4"/>
      <c r="F1160" s="4" t="s">
        <v>22</v>
      </c>
      <c r="G1160" s="21">
        <v>8.63</v>
      </c>
      <c r="H1160" s="7" t="s">
        <v>1606</v>
      </c>
      <c r="I1160" s="4" t="s">
        <v>1574</v>
      </c>
      <c r="J1160" s="4" t="s">
        <v>2501</v>
      </c>
      <c r="K1160" s="8"/>
      <c r="L1160" s="8" t="s">
        <v>2502</v>
      </c>
      <c r="M1160" s="9">
        <f t="shared" si="1"/>
        <v>45</v>
      </c>
    </row>
    <row r="1161" ht="12.75" customHeight="1">
      <c r="A1161" s="4">
        <f t="shared" si="2"/>
        <v>1160</v>
      </c>
      <c r="B1161" s="4" t="s">
        <v>2571</v>
      </c>
      <c r="C1161" s="5" t="s">
        <v>2572</v>
      </c>
      <c r="D1161" s="4"/>
      <c r="E1161" s="4"/>
      <c r="F1161" s="4" t="s">
        <v>22</v>
      </c>
      <c r="G1161" s="6">
        <v>3.22</v>
      </c>
      <c r="H1161" s="7" t="s">
        <v>1606</v>
      </c>
      <c r="I1161" s="4" t="s">
        <v>1574</v>
      </c>
      <c r="J1161" s="4" t="s">
        <v>2501</v>
      </c>
      <c r="K1161" s="8"/>
      <c r="L1161" s="8" t="s">
        <v>2502</v>
      </c>
      <c r="M1161" s="9">
        <f t="shared" si="1"/>
        <v>44</v>
      </c>
    </row>
    <row r="1162" ht="12.75" customHeight="1">
      <c r="A1162" s="4">
        <f t="shared" si="2"/>
        <v>1161</v>
      </c>
      <c r="B1162" s="4" t="s">
        <v>2573</v>
      </c>
      <c r="C1162" s="5" t="s">
        <v>2574</v>
      </c>
      <c r="D1162" s="4"/>
      <c r="E1162" s="4"/>
      <c r="F1162" s="4" t="s">
        <v>22</v>
      </c>
      <c r="G1162" s="21">
        <v>8.63</v>
      </c>
      <c r="H1162" s="7" t="s">
        <v>1606</v>
      </c>
      <c r="I1162" s="4" t="s">
        <v>1574</v>
      </c>
      <c r="J1162" s="4" t="s">
        <v>2501</v>
      </c>
      <c r="K1162" s="8"/>
      <c r="L1162" s="8" t="s">
        <v>2502</v>
      </c>
      <c r="M1162" s="9">
        <f t="shared" si="1"/>
        <v>45</v>
      </c>
    </row>
    <row r="1163" ht="12.75" customHeight="1">
      <c r="A1163" s="4">
        <f t="shared" si="2"/>
        <v>1162</v>
      </c>
      <c r="B1163" s="4" t="s">
        <v>2575</v>
      </c>
      <c r="C1163" s="5" t="s">
        <v>2576</v>
      </c>
      <c r="D1163" s="4"/>
      <c r="E1163" s="4"/>
      <c r="F1163" s="4" t="s">
        <v>22</v>
      </c>
      <c r="G1163" s="6">
        <v>64.24</v>
      </c>
      <c r="H1163" s="7" t="s">
        <v>1606</v>
      </c>
      <c r="I1163" s="4" t="s">
        <v>1574</v>
      </c>
      <c r="J1163" s="4" t="s">
        <v>2501</v>
      </c>
      <c r="K1163" s="8"/>
      <c r="L1163" s="8" t="s">
        <v>2502</v>
      </c>
      <c r="M1163" s="9">
        <f t="shared" si="1"/>
        <v>49</v>
      </c>
    </row>
    <row r="1164" ht="12.75" customHeight="1">
      <c r="A1164" s="4">
        <f t="shared" si="2"/>
        <v>1163</v>
      </c>
      <c r="B1164" s="4" t="s">
        <v>2577</v>
      </c>
      <c r="C1164" s="5" t="s">
        <v>2578</v>
      </c>
      <c r="D1164" s="4"/>
      <c r="E1164" s="4"/>
      <c r="F1164" s="4" t="s">
        <v>22</v>
      </c>
      <c r="G1164" s="6">
        <v>64.24</v>
      </c>
      <c r="H1164" s="7" t="s">
        <v>1606</v>
      </c>
      <c r="I1164" s="4" t="s">
        <v>1574</v>
      </c>
      <c r="J1164" s="4" t="s">
        <v>2501</v>
      </c>
      <c r="K1164" s="8"/>
      <c r="L1164" s="8" t="s">
        <v>2502</v>
      </c>
      <c r="M1164" s="9">
        <f t="shared" si="1"/>
        <v>49</v>
      </c>
    </row>
    <row r="1165" ht="12.75" customHeight="1">
      <c r="A1165" s="4">
        <f t="shared" si="2"/>
        <v>1164</v>
      </c>
      <c r="B1165" s="4" t="s">
        <v>2579</v>
      </c>
      <c r="C1165" s="5" t="s">
        <v>2580</v>
      </c>
      <c r="D1165" s="4"/>
      <c r="E1165" s="4"/>
      <c r="F1165" s="4" t="s">
        <v>22</v>
      </c>
      <c r="G1165" s="6">
        <v>64.24</v>
      </c>
      <c r="H1165" s="7" t="s">
        <v>1606</v>
      </c>
      <c r="I1165" s="4" t="s">
        <v>1574</v>
      </c>
      <c r="J1165" s="4" t="s">
        <v>2501</v>
      </c>
      <c r="K1165" s="8"/>
      <c r="L1165" s="8" t="s">
        <v>2502</v>
      </c>
      <c r="M1165" s="9">
        <f t="shared" si="1"/>
        <v>49</v>
      </c>
    </row>
    <row r="1166" ht="12.75" customHeight="1">
      <c r="A1166" s="4">
        <f t="shared" si="2"/>
        <v>1165</v>
      </c>
      <c r="B1166" s="4" t="s">
        <v>2581</v>
      </c>
      <c r="C1166" s="5" t="s">
        <v>2582</v>
      </c>
      <c r="D1166" s="4"/>
      <c r="E1166" s="4"/>
      <c r="F1166" s="4" t="s">
        <v>22</v>
      </c>
      <c r="G1166" s="6">
        <v>28.07</v>
      </c>
      <c r="H1166" s="7" t="s">
        <v>1606</v>
      </c>
      <c r="I1166" s="4" t="s">
        <v>1574</v>
      </c>
      <c r="J1166" s="4" t="s">
        <v>2501</v>
      </c>
      <c r="K1166" s="8"/>
      <c r="L1166" s="8" t="s">
        <v>2502</v>
      </c>
      <c r="M1166" s="9">
        <f t="shared" si="1"/>
        <v>44</v>
      </c>
    </row>
    <row r="1167" ht="12.75" customHeight="1">
      <c r="A1167" s="4">
        <f t="shared" si="2"/>
        <v>1166</v>
      </c>
      <c r="B1167" s="4" t="s">
        <v>2583</v>
      </c>
      <c r="C1167" s="5" t="s">
        <v>2584</v>
      </c>
      <c r="D1167" s="4"/>
      <c r="E1167" s="4"/>
      <c r="F1167" s="4" t="s">
        <v>22</v>
      </c>
      <c r="G1167" s="6">
        <v>28.07</v>
      </c>
      <c r="H1167" s="7" t="s">
        <v>1606</v>
      </c>
      <c r="I1167" s="4" t="s">
        <v>1574</v>
      </c>
      <c r="J1167" s="4" t="s">
        <v>2501</v>
      </c>
      <c r="K1167" s="8"/>
      <c r="L1167" s="8" t="s">
        <v>2502</v>
      </c>
      <c r="M1167" s="9">
        <f t="shared" si="1"/>
        <v>45</v>
      </c>
    </row>
    <row r="1168" ht="12.75" customHeight="1">
      <c r="A1168" s="4">
        <f t="shared" si="2"/>
        <v>1167</v>
      </c>
      <c r="B1168" s="4" t="s">
        <v>2585</v>
      </c>
      <c r="C1168" s="5" t="s">
        <v>2586</v>
      </c>
      <c r="D1168" s="4"/>
      <c r="E1168" s="4"/>
      <c r="F1168" s="4" t="s">
        <v>22</v>
      </c>
      <c r="G1168" s="6">
        <v>28.07</v>
      </c>
      <c r="H1168" s="7" t="s">
        <v>1606</v>
      </c>
      <c r="I1168" s="4" t="s">
        <v>1574</v>
      </c>
      <c r="J1168" s="4" t="s">
        <v>2501</v>
      </c>
      <c r="K1168" s="8"/>
      <c r="L1168" s="8" t="s">
        <v>2502</v>
      </c>
      <c r="M1168" s="9">
        <f t="shared" si="1"/>
        <v>45</v>
      </c>
    </row>
    <row r="1169" ht="12.75" customHeight="1">
      <c r="A1169" s="4">
        <f t="shared" si="2"/>
        <v>1168</v>
      </c>
      <c r="B1169" s="4" t="s">
        <v>2587</v>
      </c>
      <c r="C1169" s="5" t="s">
        <v>2588</v>
      </c>
      <c r="D1169" s="4"/>
      <c r="E1169" s="4"/>
      <c r="F1169" s="4" t="s">
        <v>22</v>
      </c>
      <c r="G1169" s="6">
        <v>28.07</v>
      </c>
      <c r="H1169" s="7" t="s">
        <v>1606</v>
      </c>
      <c r="I1169" s="4" t="s">
        <v>1574</v>
      </c>
      <c r="J1169" s="4" t="s">
        <v>2501</v>
      </c>
      <c r="K1169" s="8"/>
      <c r="L1169" s="8" t="s">
        <v>2502</v>
      </c>
      <c r="M1169" s="9">
        <f t="shared" si="1"/>
        <v>45</v>
      </c>
    </row>
    <row r="1170" ht="12.75" customHeight="1">
      <c r="A1170" s="4">
        <f t="shared" si="2"/>
        <v>1169</v>
      </c>
      <c r="B1170" s="4" t="s">
        <v>2589</v>
      </c>
      <c r="C1170" s="5" t="s">
        <v>2590</v>
      </c>
      <c r="D1170" s="4"/>
      <c r="E1170" s="4"/>
      <c r="F1170" s="4" t="s">
        <v>22</v>
      </c>
      <c r="G1170" s="6">
        <v>28.07</v>
      </c>
      <c r="H1170" s="7" t="s">
        <v>1606</v>
      </c>
      <c r="I1170" s="4" t="s">
        <v>1574</v>
      </c>
      <c r="J1170" s="4" t="s">
        <v>2501</v>
      </c>
      <c r="K1170" s="8"/>
      <c r="L1170" s="8" t="s">
        <v>2502</v>
      </c>
      <c r="M1170" s="9">
        <f t="shared" si="1"/>
        <v>44</v>
      </c>
    </row>
    <row r="1171" ht="12.75" customHeight="1">
      <c r="A1171" s="4">
        <f t="shared" si="2"/>
        <v>1170</v>
      </c>
      <c r="B1171" s="4" t="s">
        <v>2591</v>
      </c>
      <c r="C1171" s="5" t="s">
        <v>2592</v>
      </c>
      <c r="D1171" s="4"/>
      <c r="E1171" s="4"/>
      <c r="F1171" s="4" t="s">
        <v>22</v>
      </c>
      <c r="G1171" s="6">
        <v>54.05</v>
      </c>
      <c r="H1171" s="7" t="s">
        <v>1606</v>
      </c>
      <c r="I1171" s="4" t="s">
        <v>17</v>
      </c>
      <c r="J1171" s="4" t="s">
        <v>2593</v>
      </c>
      <c r="K1171" s="8"/>
      <c r="L1171" s="8" t="s">
        <v>2594</v>
      </c>
      <c r="M1171" s="9">
        <f t="shared" si="1"/>
        <v>42</v>
      </c>
    </row>
    <row r="1172" ht="12.75" customHeight="1">
      <c r="A1172" s="4">
        <f t="shared" si="2"/>
        <v>1171</v>
      </c>
      <c r="B1172" s="4" t="s">
        <v>2595</v>
      </c>
      <c r="C1172" s="5" t="s">
        <v>2596</v>
      </c>
      <c r="D1172" s="4"/>
      <c r="E1172" s="4"/>
      <c r="F1172" s="4" t="s">
        <v>22</v>
      </c>
      <c r="G1172" s="6">
        <v>2.08</v>
      </c>
      <c r="H1172" s="7" t="s">
        <v>1606</v>
      </c>
      <c r="I1172" s="4" t="s">
        <v>1574</v>
      </c>
      <c r="J1172" s="4" t="s">
        <v>2597</v>
      </c>
      <c r="K1172" s="8"/>
      <c r="L1172" s="8" t="s">
        <v>2598</v>
      </c>
      <c r="M1172" s="9">
        <f t="shared" si="1"/>
        <v>48</v>
      </c>
    </row>
    <row r="1173" ht="12.75" customHeight="1">
      <c r="A1173" s="4">
        <f t="shared" si="2"/>
        <v>1172</v>
      </c>
      <c r="B1173" s="4" t="s">
        <v>2599</v>
      </c>
      <c r="C1173" s="5" t="s">
        <v>2600</v>
      </c>
      <c r="D1173" s="4"/>
      <c r="E1173" s="4"/>
      <c r="F1173" s="4" t="s">
        <v>22</v>
      </c>
      <c r="G1173" s="6">
        <v>3.51</v>
      </c>
      <c r="H1173" s="7" t="s">
        <v>1606</v>
      </c>
      <c r="I1173" s="4" t="s">
        <v>1574</v>
      </c>
      <c r="J1173" s="4" t="s">
        <v>2501</v>
      </c>
      <c r="K1173" s="8"/>
      <c r="L1173" s="8" t="s">
        <v>2601</v>
      </c>
      <c r="M1173" s="9">
        <f t="shared" si="1"/>
        <v>54</v>
      </c>
    </row>
    <row r="1174" ht="12.75" customHeight="1">
      <c r="A1174" s="4">
        <f t="shared" si="2"/>
        <v>1173</v>
      </c>
      <c r="B1174" s="4" t="s">
        <v>2602</v>
      </c>
      <c r="C1174" s="5" t="s">
        <v>2603</v>
      </c>
      <c r="D1174" s="4"/>
      <c r="E1174" s="4"/>
      <c r="F1174" s="4" t="s">
        <v>22</v>
      </c>
      <c r="G1174" s="6">
        <v>3.51</v>
      </c>
      <c r="H1174" s="7" t="s">
        <v>1606</v>
      </c>
      <c r="I1174" s="4" t="s">
        <v>1574</v>
      </c>
      <c r="J1174" s="4" t="s">
        <v>2597</v>
      </c>
      <c r="K1174" s="8"/>
      <c r="L1174" s="8" t="s">
        <v>2601</v>
      </c>
      <c r="M1174" s="9">
        <f t="shared" si="1"/>
        <v>53</v>
      </c>
    </row>
    <row r="1175" ht="12.75" customHeight="1">
      <c r="A1175" s="4">
        <f t="shared" si="2"/>
        <v>1174</v>
      </c>
      <c r="B1175" s="4" t="s">
        <v>2604</v>
      </c>
      <c r="C1175" s="5" t="s">
        <v>2605</v>
      </c>
      <c r="D1175" s="4"/>
      <c r="E1175" s="4"/>
      <c r="F1175" s="4" t="s">
        <v>22</v>
      </c>
      <c r="G1175" s="6">
        <v>5.0</v>
      </c>
      <c r="H1175" s="7" t="s">
        <v>1606</v>
      </c>
      <c r="I1175" s="4" t="s">
        <v>1574</v>
      </c>
      <c r="J1175" s="4" t="s">
        <v>2501</v>
      </c>
      <c r="K1175" s="8"/>
      <c r="L1175" s="8" t="s">
        <v>33</v>
      </c>
      <c r="M1175" s="9">
        <f t="shared" si="1"/>
        <v>39</v>
      </c>
    </row>
    <row r="1176" ht="12.75" customHeight="1">
      <c r="A1176" s="4">
        <f t="shared" si="2"/>
        <v>1175</v>
      </c>
      <c r="B1176" s="4" t="s">
        <v>2606</v>
      </c>
      <c r="C1176" s="5" t="s">
        <v>2607</v>
      </c>
      <c r="D1176" s="4"/>
      <c r="E1176" s="4"/>
      <c r="F1176" s="4" t="s">
        <v>22</v>
      </c>
      <c r="G1176" s="6">
        <v>19.43</v>
      </c>
      <c r="H1176" s="7" t="s">
        <v>1606</v>
      </c>
      <c r="I1176" s="4" t="s">
        <v>1574</v>
      </c>
      <c r="J1176" s="4" t="s">
        <v>2501</v>
      </c>
      <c r="K1176" s="8"/>
      <c r="L1176" s="8" t="s">
        <v>33</v>
      </c>
      <c r="M1176" s="9">
        <f t="shared" si="1"/>
        <v>39</v>
      </c>
    </row>
    <row r="1177" ht="12.75" customHeight="1">
      <c r="A1177" s="4">
        <f t="shared" si="2"/>
        <v>1176</v>
      </c>
      <c r="B1177" s="4" t="s">
        <v>2608</v>
      </c>
      <c r="C1177" s="5" t="s">
        <v>2609</v>
      </c>
      <c r="D1177" s="4"/>
      <c r="E1177" s="4"/>
      <c r="F1177" s="4" t="s">
        <v>22</v>
      </c>
      <c r="G1177" s="6">
        <v>8.2</v>
      </c>
      <c r="H1177" s="7" t="s">
        <v>1606</v>
      </c>
      <c r="I1177" s="4" t="s">
        <v>1574</v>
      </c>
      <c r="J1177" s="4" t="s">
        <v>2597</v>
      </c>
      <c r="K1177" s="8"/>
      <c r="L1177" s="8" t="s">
        <v>33</v>
      </c>
      <c r="M1177" s="9">
        <f t="shared" si="1"/>
        <v>76</v>
      </c>
    </row>
    <row r="1178" ht="12.75" customHeight="1">
      <c r="A1178" s="4">
        <f t="shared" si="2"/>
        <v>1177</v>
      </c>
      <c r="B1178" s="4" t="s">
        <v>2610</v>
      </c>
      <c r="C1178" s="5" t="s">
        <v>2611</v>
      </c>
      <c r="D1178" s="4"/>
      <c r="E1178" s="4"/>
      <c r="F1178" s="4" t="s">
        <v>22</v>
      </c>
      <c r="G1178" s="6">
        <v>10.9</v>
      </c>
      <c r="H1178" s="7" t="s">
        <v>1606</v>
      </c>
      <c r="I1178" s="4" t="s">
        <v>1574</v>
      </c>
      <c r="J1178" s="4" t="s">
        <v>2597</v>
      </c>
      <c r="K1178" s="8"/>
      <c r="L1178" s="8" t="s">
        <v>33</v>
      </c>
      <c r="M1178" s="9">
        <f t="shared" si="1"/>
        <v>76</v>
      </c>
    </row>
    <row r="1179" ht="12.75" customHeight="1">
      <c r="A1179" s="4">
        <f t="shared" si="2"/>
        <v>1178</v>
      </c>
      <c r="B1179" s="4" t="s">
        <v>2612</v>
      </c>
      <c r="C1179" s="5" t="s">
        <v>2613</v>
      </c>
      <c r="D1179" s="4"/>
      <c r="E1179" s="4"/>
      <c r="F1179" s="4" t="s">
        <v>22</v>
      </c>
      <c r="G1179" s="6">
        <v>1.62</v>
      </c>
      <c r="H1179" s="7" t="s">
        <v>1606</v>
      </c>
      <c r="I1179" s="4" t="s">
        <v>1574</v>
      </c>
      <c r="J1179" s="4" t="s">
        <v>2597</v>
      </c>
      <c r="K1179" s="8"/>
      <c r="L1179" s="8" t="s">
        <v>2601</v>
      </c>
      <c r="M1179" s="9">
        <f t="shared" si="1"/>
        <v>40</v>
      </c>
    </row>
    <row r="1180" ht="12.75" customHeight="1">
      <c r="A1180" s="4">
        <f t="shared" si="2"/>
        <v>1179</v>
      </c>
      <c r="B1180" s="4" t="s">
        <v>2614</v>
      </c>
      <c r="C1180" s="5" t="s">
        <v>2615</v>
      </c>
      <c r="D1180" s="4"/>
      <c r="E1180" s="4"/>
      <c r="F1180" s="4" t="s">
        <v>22</v>
      </c>
      <c r="G1180" s="6">
        <v>5.38</v>
      </c>
      <c r="H1180" s="7" t="s">
        <v>1606</v>
      </c>
      <c r="I1180" s="4" t="s">
        <v>1574</v>
      </c>
      <c r="J1180" s="4" t="s">
        <v>2597</v>
      </c>
      <c r="K1180" s="8"/>
      <c r="L1180" s="8" t="s">
        <v>2601</v>
      </c>
      <c r="M1180" s="9">
        <f t="shared" si="1"/>
        <v>40</v>
      </c>
    </row>
    <row r="1181" ht="12.75" customHeight="1">
      <c r="A1181" s="4">
        <f t="shared" si="2"/>
        <v>1180</v>
      </c>
      <c r="B1181" s="4" t="s">
        <v>2616</v>
      </c>
      <c r="C1181" s="5" t="s">
        <v>2617</v>
      </c>
      <c r="D1181" s="4"/>
      <c r="E1181" s="4"/>
      <c r="F1181" s="4" t="s">
        <v>22</v>
      </c>
      <c r="G1181" s="6">
        <v>22.96</v>
      </c>
      <c r="H1181" s="7" t="s">
        <v>1606</v>
      </c>
      <c r="I1181" s="4" t="s">
        <v>1574</v>
      </c>
      <c r="J1181" s="4" t="s">
        <v>2501</v>
      </c>
      <c r="K1181" s="8"/>
      <c r="L1181" s="8" t="s">
        <v>2618</v>
      </c>
      <c r="M1181" s="9">
        <f t="shared" si="1"/>
        <v>50</v>
      </c>
    </row>
    <row r="1182" ht="12.75" customHeight="1">
      <c r="A1182" s="4">
        <f t="shared" si="2"/>
        <v>1181</v>
      </c>
      <c r="B1182" s="4" t="s">
        <v>2619</v>
      </c>
      <c r="C1182" s="5" t="s">
        <v>2620</v>
      </c>
      <c r="D1182" s="4"/>
      <c r="E1182" s="4"/>
      <c r="F1182" s="4" t="s">
        <v>22</v>
      </c>
      <c r="G1182" s="6">
        <v>32.5</v>
      </c>
      <c r="H1182" s="7" t="s">
        <v>1606</v>
      </c>
      <c r="I1182" s="4" t="s">
        <v>1574</v>
      </c>
      <c r="J1182" s="4" t="s">
        <v>2501</v>
      </c>
      <c r="K1182" s="8"/>
      <c r="L1182" s="8" t="s">
        <v>2618</v>
      </c>
      <c r="M1182" s="9">
        <f t="shared" si="1"/>
        <v>51</v>
      </c>
    </row>
    <row r="1183" ht="12.75" customHeight="1">
      <c r="A1183" s="4">
        <f t="shared" si="2"/>
        <v>1182</v>
      </c>
      <c r="B1183" s="4" t="s">
        <v>2621</v>
      </c>
      <c r="C1183" s="5" t="s">
        <v>2622</v>
      </c>
      <c r="D1183" s="4"/>
      <c r="E1183" s="4"/>
      <c r="F1183" s="4" t="s">
        <v>22</v>
      </c>
      <c r="G1183" s="6">
        <v>3.51</v>
      </c>
      <c r="H1183" s="7" t="s">
        <v>1606</v>
      </c>
      <c r="I1183" s="4" t="s">
        <v>1574</v>
      </c>
      <c r="J1183" s="4" t="s">
        <v>2597</v>
      </c>
      <c r="K1183" s="8"/>
      <c r="L1183" s="8" t="s">
        <v>2623</v>
      </c>
      <c r="M1183" s="9">
        <f t="shared" si="1"/>
        <v>71</v>
      </c>
    </row>
    <row r="1184" ht="12.75" customHeight="1">
      <c r="A1184" s="4">
        <f t="shared" si="2"/>
        <v>1183</v>
      </c>
      <c r="B1184" s="4" t="s">
        <v>2624</v>
      </c>
      <c r="C1184" s="5" t="s">
        <v>2625</v>
      </c>
      <c r="D1184" s="4"/>
      <c r="E1184" s="4"/>
      <c r="F1184" s="4" t="s">
        <v>22</v>
      </c>
      <c r="G1184" s="6">
        <v>8.8</v>
      </c>
      <c r="H1184" s="7" t="s">
        <v>1606</v>
      </c>
      <c r="I1184" s="4" t="s">
        <v>1574</v>
      </c>
      <c r="J1184" s="4" t="s">
        <v>2082</v>
      </c>
      <c r="K1184" s="8"/>
      <c r="L1184" s="8" t="s">
        <v>2626</v>
      </c>
      <c r="M1184" s="9">
        <f t="shared" si="1"/>
        <v>69</v>
      </c>
    </row>
    <row r="1185" ht="12.75" customHeight="1">
      <c r="A1185" s="4">
        <f t="shared" si="2"/>
        <v>1184</v>
      </c>
      <c r="B1185" s="4" t="s">
        <v>2627</v>
      </c>
      <c r="C1185" s="5" t="s">
        <v>2628</v>
      </c>
      <c r="D1185" s="4"/>
      <c r="E1185" s="4"/>
      <c r="F1185" s="4" t="s">
        <v>22</v>
      </c>
      <c r="G1185" s="6">
        <v>0.68</v>
      </c>
      <c r="H1185" s="7" t="s">
        <v>1606</v>
      </c>
      <c r="I1185" s="4" t="s">
        <v>1574</v>
      </c>
      <c r="J1185" s="4" t="s">
        <v>2597</v>
      </c>
      <c r="K1185" s="8"/>
      <c r="L1185" s="8" t="s">
        <v>2623</v>
      </c>
      <c r="M1185" s="9">
        <f t="shared" si="1"/>
        <v>28</v>
      </c>
    </row>
    <row r="1186" ht="12.75" customHeight="1">
      <c r="A1186" s="4">
        <f t="shared" si="2"/>
        <v>1185</v>
      </c>
      <c r="B1186" s="4" t="s">
        <v>2629</v>
      </c>
      <c r="C1186" s="5" t="s">
        <v>2630</v>
      </c>
      <c r="D1186" s="4"/>
      <c r="E1186" s="4"/>
      <c r="F1186" s="4" t="s">
        <v>1764</v>
      </c>
      <c r="G1186" s="6">
        <v>5.04</v>
      </c>
      <c r="H1186" s="7" t="s">
        <v>1606</v>
      </c>
      <c r="I1186" s="4" t="s">
        <v>1475</v>
      </c>
      <c r="J1186" s="4" t="s">
        <v>2631</v>
      </c>
      <c r="K1186" s="8"/>
      <c r="L1186" s="8" t="s">
        <v>2632</v>
      </c>
      <c r="M1186" s="9">
        <f t="shared" si="1"/>
        <v>10</v>
      </c>
    </row>
    <row r="1187" ht="12.75" customHeight="1">
      <c r="A1187" s="4">
        <f t="shared" si="2"/>
        <v>1186</v>
      </c>
      <c r="B1187" s="4" t="s">
        <v>2633</v>
      </c>
      <c r="C1187" s="5" t="s">
        <v>2634</v>
      </c>
      <c r="D1187" s="4"/>
      <c r="E1187" s="4"/>
      <c r="F1187" s="4" t="s">
        <v>22</v>
      </c>
      <c r="G1187" s="6">
        <v>6.58</v>
      </c>
      <c r="H1187" s="7" t="s">
        <v>1606</v>
      </c>
      <c r="I1187" s="4" t="s">
        <v>1704</v>
      </c>
      <c r="J1187" s="4" t="s">
        <v>2635</v>
      </c>
      <c r="K1187" s="8"/>
      <c r="L1187" s="8" t="s">
        <v>33</v>
      </c>
      <c r="M1187" s="9">
        <f t="shared" si="1"/>
        <v>41</v>
      </c>
    </row>
    <row r="1188" ht="12.75" customHeight="1">
      <c r="A1188" s="4">
        <f t="shared" si="2"/>
        <v>1187</v>
      </c>
      <c r="B1188" s="4" t="s">
        <v>2636</v>
      </c>
      <c r="C1188" s="5" t="s">
        <v>2637</v>
      </c>
      <c r="D1188" s="4"/>
      <c r="E1188" s="4"/>
      <c r="F1188" s="4" t="s">
        <v>22</v>
      </c>
      <c r="G1188" s="6">
        <v>8.11</v>
      </c>
      <c r="H1188" s="7" t="s">
        <v>1606</v>
      </c>
      <c r="I1188" s="4" t="s">
        <v>1704</v>
      </c>
      <c r="J1188" s="4" t="s">
        <v>2635</v>
      </c>
      <c r="K1188" s="8"/>
      <c r="L1188" s="8" t="s">
        <v>33</v>
      </c>
      <c r="M1188" s="9">
        <f t="shared" si="1"/>
        <v>41</v>
      </c>
    </row>
    <row r="1189" ht="12.75" customHeight="1">
      <c r="A1189" s="4">
        <f t="shared" si="2"/>
        <v>1188</v>
      </c>
      <c r="B1189" s="4" t="s">
        <v>2638</v>
      </c>
      <c r="C1189" s="5" t="s">
        <v>2639</v>
      </c>
      <c r="D1189" s="4"/>
      <c r="E1189" s="4"/>
      <c r="F1189" s="4" t="s">
        <v>22</v>
      </c>
      <c r="G1189" s="6">
        <v>34.32</v>
      </c>
      <c r="H1189" s="7" t="s">
        <v>1606</v>
      </c>
      <c r="I1189" s="4" t="s">
        <v>1574</v>
      </c>
      <c r="J1189" s="4" t="s">
        <v>1758</v>
      </c>
      <c r="K1189" s="8"/>
      <c r="L1189" s="8" t="s">
        <v>2640</v>
      </c>
      <c r="M1189" s="9">
        <f t="shared" si="1"/>
        <v>50</v>
      </c>
    </row>
    <row r="1190" ht="12.75" customHeight="1">
      <c r="A1190" s="4">
        <f t="shared" si="2"/>
        <v>1189</v>
      </c>
      <c r="B1190" s="4" t="s">
        <v>2641</v>
      </c>
      <c r="C1190" s="5" t="s">
        <v>2642</v>
      </c>
      <c r="D1190" s="4"/>
      <c r="E1190" s="4"/>
      <c r="F1190" s="4" t="s">
        <v>22</v>
      </c>
      <c r="G1190" s="6">
        <v>140.0</v>
      </c>
      <c r="H1190" s="7" t="s">
        <v>1606</v>
      </c>
      <c r="I1190" s="4" t="s">
        <v>1794</v>
      </c>
      <c r="J1190" s="4" t="s">
        <v>165</v>
      </c>
      <c r="K1190" s="8"/>
      <c r="L1190" s="8" t="s">
        <v>2643</v>
      </c>
      <c r="M1190" s="9">
        <f t="shared" si="1"/>
        <v>36</v>
      </c>
    </row>
    <row r="1191" ht="12.75" customHeight="1">
      <c r="A1191" s="4">
        <f t="shared" si="2"/>
        <v>1190</v>
      </c>
      <c r="B1191" s="4" t="s">
        <v>2644</v>
      </c>
      <c r="C1191" s="5" t="s">
        <v>2645</v>
      </c>
      <c r="D1191" s="4"/>
      <c r="E1191" s="4"/>
      <c r="F1191" s="4" t="s">
        <v>22</v>
      </c>
      <c r="G1191" s="6">
        <v>102.43</v>
      </c>
      <c r="H1191" s="7" t="s">
        <v>1606</v>
      </c>
      <c r="I1191" s="4" t="s">
        <v>2646</v>
      </c>
      <c r="J1191" s="4" t="s">
        <v>2647</v>
      </c>
      <c r="K1191" s="8"/>
      <c r="L1191" s="8" t="s">
        <v>33</v>
      </c>
      <c r="M1191" s="9">
        <f t="shared" si="1"/>
        <v>27</v>
      </c>
    </row>
    <row r="1192" ht="12.75" customHeight="1">
      <c r="A1192" s="4">
        <f t="shared" si="2"/>
        <v>1191</v>
      </c>
      <c r="B1192" s="4" t="s">
        <v>2648</v>
      </c>
      <c r="C1192" s="5" t="s">
        <v>2649</v>
      </c>
      <c r="D1192" s="4"/>
      <c r="E1192" s="4"/>
      <c r="F1192" s="4" t="s">
        <v>22</v>
      </c>
      <c r="G1192" s="6">
        <v>107.84</v>
      </c>
      <c r="H1192" s="7" t="s">
        <v>1606</v>
      </c>
      <c r="I1192" s="4" t="s">
        <v>2646</v>
      </c>
      <c r="J1192" s="4" t="s">
        <v>2647</v>
      </c>
      <c r="K1192" s="8"/>
      <c r="L1192" s="8" t="s">
        <v>33</v>
      </c>
      <c r="M1192" s="9">
        <f t="shared" si="1"/>
        <v>53</v>
      </c>
    </row>
    <row r="1193" ht="12.75" customHeight="1">
      <c r="A1193" s="4">
        <f t="shared" si="2"/>
        <v>1192</v>
      </c>
      <c r="B1193" s="4" t="s">
        <v>2650</v>
      </c>
      <c r="C1193" s="5" t="s">
        <v>2651</v>
      </c>
      <c r="D1193" s="4"/>
      <c r="E1193" s="4"/>
      <c r="F1193" s="4" t="s">
        <v>22</v>
      </c>
      <c r="G1193" s="6">
        <v>79.73</v>
      </c>
      <c r="H1193" s="7" t="s">
        <v>1606</v>
      </c>
      <c r="I1193" s="4" t="s">
        <v>17</v>
      </c>
      <c r="J1193" s="4" t="s">
        <v>2652</v>
      </c>
      <c r="K1193" s="8"/>
      <c r="L1193" s="8" t="s">
        <v>33</v>
      </c>
      <c r="M1193" s="9">
        <f t="shared" si="1"/>
        <v>56</v>
      </c>
    </row>
    <row r="1194" ht="12.75" customHeight="1">
      <c r="A1194" s="4">
        <f t="shared" si="2"/>
        <v>1193</v>
      </c>
      <c r="B1194" s="4" t="s">
        <v>2653</v>
      </c>
      <c r="C1194" s="5" t="s">
        <v>2654</v>
      </c>
      <c r="D1194" s="4"/>
      <c r="E1194" s="4"/>
      <c r="F1194" s="4" t="s">
        <v>22</v>
      </c>
      <c r="G1194" s="6">
        <v>42.17</v>
      </c>
      <c r="H1194" s="7" t="s">
        <v>1606</v>
      </c>
      <c r="I1194" s="4" t="s">
        <v>1816</v>
      </c>
      <c r="J1194" s="4" t="s">
        <v>2655</v>
      </c>
      <c r="K1194" s="8"/>
      <c r="L1194" s="8" t="s">
        <v>33</v>
      </c>
      <c r="M1194" s="9">
        <f t="shared" si="1"/>
        <v>38</v>
      </c>
    </row>
    <row r="1195" ht="12.75" customHeight="1">
      <c r="A1195" s="4">
        <f t="shared" si="2"/>
        <v>1194</v>
      </c>
      <c r="B1195" s="4" t="s">
        <v>2656</v>
      </c>
      <c r="C1195" s="5" t="s">
        <v>2657</v>
      </c>
      <c r="D1195" s="4"/>
      <c r="E1195" s="4"/>
      <c r="F1195" s="4" t="s">
        <v>22</v>
      </c>
      <c r="G1195" s="6">
        <v>19.46</v>
      </c>
      <c r="H1195" s="7" t="s">
        <v>1606</v>
      </c>
      <c r="I1195" s="4" t="s">
        <v>1574</v>
      </c>
      <c r="J1195" s="4" t="s">
        <v>1624</v>
      </c>
      <c r="K1195" s="8"/>
      <c r="L1195" s="8" t="s">
        <v>33</v>
      </c>
      <c r="M1195" s="9">
        <f t="shared" si="1"/>
        <v>56</v>
      </c>
    </row>
    <row r="1196" ht="12.75" customHeight="1">
      <c r="A1196" s="4">
        <f t="shared" si="2"/>
        <v>1195</v>
      </c>
      <c r="B1196" s="4" t="s">
        <v>2658</v>
      </c>
      <c r="C1196" s="5" t="s">
        <v>2659</v>
      </c>
      <c r="D1196" s="4"/>
      <c r="E1196" s="4"/>
      <c r="F1196" s="4" t="s">
        <v>22</v>
      </c>
      <c r="G1196" s="6">
        <v>18.35</v>
      </c>
      <c r="H1196" s="7" t="s">
        <v>1606</v>
      </c>
      <c r="I1196" s="4" t="s">
        <v>1574</v>
      </c>
      <c r="J1196" s="4" t="s">
        <v>1624</v>
      </c>
      <c r="K1196" s="8"/>
      <c r="L1196" s="8" t="s">
        <v>2660</v>
      </c>
      <c r="M1196" s="9">
        <f t="shared" si="1"/>
        <v>48</v>
      </c>
    </row>
    <row r="1197" ht="12.75" customHeight="1">
      <c r="A1197" s="4">
        <f t="shared" si="2"/>
        <v>1196</v>
      </c>
      <c r="B1197" s="4" t="s">
        <v>2661</v>
      </c>
      <c r="C1197" s="5" t="s">
        <v>2662</v>
      </c>
      <c r="D1197" s="4"/>
      <c r="E1197" s="4"/>
      <c r="F1197" s="4" t="s">
        <v>22</v>
      </c>
      <c r="G1197" s="6">
        <v>18.35</v>
      </c>
      <c r="H1197" s="7" t="s">
        <v>1606</v>
      </c>
      <c r="I1197" s="4" t="s">
        <v>1574</v>
      </c>
      <c r="J1197" s="4" t="s">
        <v>1624</v>
      </c>
      <c r="K1197" s="8"/>
      <c r="L1197" s="8" t="s">
        <v>33</v>
      </c>
      <c r="M1197" s="9">
        <f t="shared" si="1"/>
        <v>45</v>
      </c>
    </row>
    <row r="1198" ht="12.75" customHeight="1">
      <c r="A1198" s="4">
        <f t="shared" si="2"/>
        <v>1197</v>
      </c>
      <c r="B1198" s="4" t="s">
        <v>2663</v>
      </c>
      <c r="C1198" s="5" t="s">
        <v>2664</v>
      </c>
      <c r="D1198" s="4"/>
      <c r="E1198" s="4"/>
      <c r="F1198" s="4" t="s">
        <v>22</v>
      </c>
      <c r="G1198" s="6">
        <v>162.16</v>
      </c>
      <c r="H1198" s="7" t="s">
        <v>1606</v>
      </c>
      <c r="I1198" s="4" t="s">
        <v>1574</v>
      </c>
      <c r="J1198" s="4" t="s">
        <v>1624</v>
      </c>
      <c r="K1198" s="8"/>
      <c r="L1198" s="8" t="s">
        <v>1659</v>
      </c>
      <c r="M1198" s="9">
        <f t="shared" si="1"/>
        <v>54</v>
      </c>
    </row>
    <row r="1199" ht="12.75" customHeight="1">
      <c r="A1199" s="4">
        <f t="shared" si="2"/>
        <v>1198</v>
      </c>
      <c r="B1199" s="4" t="s">
        <v>2665</v>
      </c>
      <c r="C1199" s="5" t="s">
        <v>2666</v>
      </c>
      <c r="D1199" s="4"/>
      <c r="E1199" s="4"/>
      <c r="F1199" s="4" t="s">
        <v>22</v>
      </c>
      <c r="G1199" s="6">
        <v>17.57</v>
      </c>
      <c r="H1199" s="7" t="s">
        <v>1606</v>
      </c>
      <c r="I1199" s="4" t="s">
        <v>1574</v>
      </c>
      <c r="J1199" s="4" t="s">
        <v>1624</v>
      </c>
      <c r="K1199" s="8"/>
      <c r="L1199" s="8" t="s">
        <v>33</v>
      </c>
      <c r="M1199" s="9">
        <f t="shared" si="1"/>
        <v>51</v>
      </c>
    </row>
    <row r="1200" ht="12.75" customHeight="1">
      <c r="A1200" s="4">
        <f t="shared" si="2"/>
        <v>1199</v>
      </c>
      <c r="B1200" s="4" t="s">
        <v>2667</v>
      </c>
      <c r="C1200" s="5" t="s">
        <v>2668</v>
      </c>
      <c r="D1200" s="4"/>
      <c r="E1200" s="4"/>
      <c r="F1200" s="4" t="s">
        <v>22</v>
      </c>
      <c r="G1200" s="6">
        <v>1.62</v>
      </c>
      <c r="H1200" s="7" t="s">
        <v>1606</v>
      </c>
      <c r="I1200" s="4" t="s">
        <v>1574</v>
      </c>
      <c r="J1200" s="4" t="s">
        <v>2597</v>
      </c>
      <c r="K1200" s="8"/>
      <c r="L1200" s="8" t="s">
        <v>33</v>
      </c>
      <c r="M1200" s="9">
        <f t="shared" si="1"/>
        <v>48</v>
      </c>
    </row>
    <row r="1201" ht="12.75" customHeight="1">
      <c r="A1201" s="4">
        <f t="shared" si="2"/>
        <v>1200</v>
      </c>
      <c r="B1201" s="4" t="s">
        <v>2669</v>
      </c>
      <c r="C1201" s="5" t="s">
        <v>2670</v>
      </c>
      <c r="D1201" s="4"/>
      <c r="E1201" s="4"/>
      <c r="F1201" s="4" t="s">
        <v>22</v>
      </c>
      <c r="G1201" s="6">
        <v>5.95</v>
      </c>
      <c r="H1201" s="7" t="s">
        <v>1606</v>
      </c>
      <c r="I1201" s="4" t="s">
        <v>1574</v>
      </c>
      <c r="J1201" s="4" t="s">
        <v>2597</v>
      </c>
      <c r="K1201" s="8"/>
      <c r="L1201" s="8" t="s">
        <v>33</v>
      </c>
      <c r="M1201" s="9">
        <f t="shared" si="1"/>
        <v>48</v>
      </c>
    </row>
    <row r="1202" ht="12.75" customHeight="1">
      <c r="A1202" s="4">
        <f t="shared" si="2"/>
        <v>1201</v>
      </c>
      <c r="B1202" s="4" t="s">
        <v>2671</v>
      </c>
      <c r="C1202" s="5" t="s">
        <v>2672</v>
      </c>
      <c r="D1202" s="4"/>
      <c r="E1202" s="4"/>
      <c r="F1202" s="4" t="s">
        <v>22</v>
      </c>
      <c r="G1202" s="6">
        <v>8.17</v>
      </c>
      <c r="H1202" s="7" t="s">
        <v>1606</v>
      </c>
      <c r="I1202" s="4" t="s">
        <v>1574</v>
      </c>
      <c r="J1202" s="4" t="s">
        <v>2597</v>
      </c>
      <c r="K1202" s="8"/>
      <c r="L1202" s="8" t="s">
        <v>33</v>
      </c>
      <c r="M1202" s="9">
        <f t="shared" si="1"/>
        <v>41</v>
      </c>
    </row>
    <row r="1203" ht="12.75" hidden="1" customHeight="1">
      <c r="A1203" s="4">
        <f t="shared" si="2"/>
        <v>1202</v>
      </c>
      <c r="B1203" s="4" t="s">
        <v>2673</v>
      </c>
      <c r="C1203" s="5" t="s">
        <v>2674</v>
      </c>
      <c r="D1203" s="4"/>
      <c r="E1203" s="4"/>
      <c r="F1203" s="4" t="s">
        <v>22</v>
      </c>
      <c r="G1203" s="6">
        <v>32.43</v>
      </c>
      <c r="H1203" s="7" t="s">
        <v>1606</v>
      </c>
      <c r="I1203" s="4" t="s">
        <v>1704</v>
      </c>
      <c r="J1203" s="4" t="s">
        <v>2025</v>
      </c>
      <c r="K1203" s="8"/>
      <c r="L1203" s="8" t="s">
        <v>33</v>
      </c>
      <c r="M1203" s="9">
        <f t="shared" si="1"/>
        <v>42</v>
      </c>
    </row>
    <row r="1204" ht="12.75" customHeight="1">
      <c r="A1204" s="4">
        <f t="shared" si="2"/>
        <v>1203</v>
      </c>
      <c r="B1204" s="4" t="s">
        <v>2675</v>
      </c>
      <c r="C1204" s="5" t="s">
        <v>2676</v>
      </c>
      <c r="D1204" s="4"/>
      <c r="E1204" s="4"/>
      <c r="F1204" s="4" t="s">
        <v>22</v>
      </c>
      <c r="G1204" s="6">
        <v>0.86</v>
      </c>
      <c r="H1204" s="7" t="s">
        <v>1606</v>
      </c>
      <c r="I1204" s="4" t="s">
        <v>2392</v>
      </c>
      <c r="J1204" s="4" t="s">
        <v>2677</v>
      </c>
      <c r="K1204" s="8"/>
      <c r="L1204" s="8" t="s">
        <v>2678</v>
      </c>
      <c r="M1204" s="9">
        <f t="shared" si="1"/>
        <v>36</v>
      </c>
    </row>
    <row r="1205" ht="12.75" customHeight="1">
      <c r="A1205" s="4">
        <f t="shared" si="2"/>
        <v>1204</v>
      </c>
      <c r="B1205" s="4" t="s">
        <v>2679</v>
      </c>
      <c r="C1205" s="5" t="s">
        <v>2680</v>
      </c>
      <c r="D1205" s="4"/>
      <c r="E1205" s="4"/>
      <c r="F1205" s="4" t="s">
        <v>22</v>
      </c>
      <c r="G1205" s="6">
        <v>1.22</v>
      </c>
      <c r="H1205" s="7" t="s">
        <v>1606</v>
      </c>
      <c r="I1205" s="4" t="s">
        <v>2392</v>
      </c>
      <c r="J1205" s="4" t="s">
        <v>2677</v>
      </c>
      <c r="K1205" s="8"/>
      <c r="L1205" s="8" t="s">
        <v>2678</v>
      </c>
      <c r="M1205" s="9">
        <f t="shared" si="1"/>
        <v>36</v>
      </c>
    </row>
    <row r="1206" ht="12.75" customHeight="1">
      <c r="A1206" s="4">
        <f t="shared" si="2"/>
        <v>1205</v>
      </c>
      <c r="B1206" s="4" t="s">
        <v>2681</v>
      </c>
      <c r="C1206" s="5" t="s">
        <v>2682</v>
      </c>
      <c r="D1206" s="4"/>
      <c r="E1206" s="4"/>
      <c r="F1206" s="4" t="s">
        <v>22</v>
      </c>
      <c r="G1206" s="6">
        <v>1.46</v>
      </c>
      <c r="H1206" s="7" t="s">
        <v>1606</v>
      </c>
      <c r="I1206" s="4" t="s">
        <v>2392</v>
      </c>
      <c r="J1206" s="4" t="s">
        <v>2677</v>
      </c>
      <c r="K1206" s="8"/>
      <c r="L1206" s="8" t="s">
        <v>2678</v>
      </c>
      <c r="M1206" s="9">
        <f t="shared" si="1"/>
        <v>36</v>
      </c>
    </row>
    <row r="1207" ht="12.75" customHeight="1">
      <c r="A1207" s="4">
        <f t="shared" si="2"/>
        <v>1206</v>
      </c>
      <c r="B1207" s="4" t="s">
        <v>2683</v>
      </c>
      <c r="C1207" s="5" t="s">
        <v>2684</v>
      </c>
      <c r="D1207" s="4"/>
      <c r="E1207" s="4"/>
      <c r="F1207" s="4" t="s">
        <v>22</v>
      </c>
      <c r="G1207" s="6">
        <v>1.81</v>
      </c>
      <c r="H1207" s="7" t="s">
        <v>1606</v>
      </c>
      <c r="I1207" s="4" t="s">
        <v>2392</v>
      </c>
      <c r="J1207" s="4" t="s">
        <v>2677</v>
      </c>
      <c r="K1207" s="8"/>
      <c r="L1207" s="8" t="s">
        <v>2678</v>
      </c>
      <c r="M1207" s="9">
        <f t="shared" si="1"/>
        <v>36</v>
      </c>
    </row>
    <row r="1208" ht="12.75" customHeight="1">
      <c r="A1208" s="4">
        <f t="shared" si="2"/>
        <v>1207</v>
      </c>
      <c r="B1208" s="4" t="s">
        <v>2685</v>
      </c>
      <c r="C1208" s="5" t="s">
        <v>2686</v>
      </c>
      <c r="D1208" s="4"/>
      <c r="E1208" s="4"/>
      <c r="F1208" s="4" t="s">
        <v>22</v>
      </c>
      <c r="G1208" s="6">
        <v>2.65</v>
      </c>
      <c r="H1208" s="7" t="s">
        <v>1606</v>
      </c>
      <c r="I1208" s="4" t="s">
        <v>2392</v>
      </c>
      <c r="J1208" s="4" t="s">
        <v>2677</v>
      </c>
      <c r="K1208" s="8"/>
      <c r="L1208" s="8" t="s">
        <v>2678</v>
      </c>
      <c r="M1208" s="9">
        <f t="shared" si="1"/>
        <v>36</v>
      </c>
    </row>
    <row r="1209" ht="12.75" customHeight="1">
      <c r="A1209" s="4">
        <f t="shared" si="2"/>
        <v>1208</v>
      </c>
      <c r="B1209" s="4" t="s">
        <v>2687</v>
      </c>
      <c r="C1209" s="5" t="s">
        <v>2688</v>
      </c>
      <c r="D1209" s="4"/>
      <c r="E1209" s="4"/>
      <c r="F1209" s="4" t="s">
        <v>22</v>
      </c>
      <c r="G1209" s="6">
        <v>5.38</v>
      </c>
      <c r="H1209" s="7" t="s">
        <v>1606</v>
      </c>
      <c r="I1209" s="4" t="s">
        <v>2392</v>
      </c>
      <c r="J1209" s="4" t="s">
        <v>2677</v>
      </c>
      <c r="K1209" s="8"/>
      <c r="L1209" s="8" t="s">
        <v>2678</v>
      </c>
      <c r="M1209" s="9">
        <f t="shared" si="1"/>
        <v>36</v>
      </c>
    </row>
    <row r="1210" ht="12.75" customHeight="1">
      <c r="A1210" s="4">
        <f t="shared" si="2"/>
        <v>1209</v>
      </c>
      <c r="B1210" s="4" t="s">
        <v>2689</v>
      </c>
      <c r="C1210" s="5" t="s">
        <v>2690</v>
      </c>
      <c r="D1210" s="4"/>
      <c r="E1210" s="4"/>
      <c r="F1210" s="4" t="s">
        <v>22</v>
      </c>
      <c r="G1210" s="6">
        <v>3.2</v>
      </c>
      <c r="H1210" s="7" t="s">
        <v>1606</v>
      </c>
      <c r="I1210" s="4" t="s">
        <v>2392</v>
      </c>
      <c r="J1210" s="4" t="s">
        <v>2677</v>
      </c>
      <c r="K1210" s="8"/>
      <c r="L1210" s="8" t="s">
        <v>2691</v>
      </c>
      <c r="M1210" s="9">
        <f t="shared" si="1"/>
        <v>36</v>
      </c>
    </row>
    <row r="1211" ht="12.75" customHeight="1">
      <c r="A1211" s="4">
        <f t="shared" si="2"/>
        <v>1210</v>
      </c>
      <c r="B1211" s="4" t="s">
        <v>2692</v>
      </c>
      <c r="C1211" s="5" t="s">
        <v>2693</v>
      </c>
      <c r="D1211" s="4"/>
      <c r="E1211" s="4"/>
      <c r="F1211" s="4" t="s">
        <v>22</v>
      </c>
      <c r="G1211" s="6">
        <v>4.5</v>
      </c>
      <c r="H1211" s="7" t="s">
        <v>1606</v>
      </c>
      <c r="I1211" s="4" t="s">
        <v>2392</v>
      </c>
      <c r="J1211" s="4" t="s">
        <v>2677</v>
      </c>
      <c r="K1211" s="8"/>
      <c r="L1211" s="8" t="s">
        <v>2691</v>
      </c>
      <c r="M1211" s="9">
        <f t="shared" si="1"/>
        <v>36</v>
      </c>
    </row>
    <row r="1212" ht="12.75" customHeight="1">
      <c r="A1212" s="4">
        <f t="shared" si="2"/>
        <v>1211</v>
      </c>
      <c r="B1212" s="4" t="s">
        <v>2694</v>
      </c>
      <c r="C1212" s="5" t="s">
        <v>2695</v>
      </c>
      <c r="D1212" s="4"/>
      <c r="E1212" s="4"/>
      <c r="F1212" s="4" t="s">
        <v>22</v>
      </c>
      <c r="G1212" s="6">
        <v>6.7</v>
      </c>
      <c r="H1212" s="7" t="s">
        <v>1606</v>
      </c>
      <c r="I1212" s="4" t="s">
        <v>2392</v>
      </c>
      <c r="J1212" s="4" t="s">
        <v>2677</v>
      </c>
      <c r="K1212" s="8"/>
      <c r="L1212" s="8" t="s">
        <v>2691</v>
      </c>
      <c r="M1212" s="9">
        <f t="shared" si="1"/>
        <v>36</v>
      </c>
    </row>
    <row r="1213" ht="12.75" customHeight="1">
      <c r="A1213" s="4">
        <f t="shared" si="2"/>
        <v>1212</v>
      </c>
      <c r="B1213" s="4" t="s">
        <v>2696</v>
      </c>
      <c r="C1213" s="5" t="s">
        <v>2697</v>
      </c>
      <c r="D1213" s="4"/>
      <c r="E1213" s="4"/>
      <c r="F1213" s="4" t="s">
        <v>22</v>
      </c>
      <c r="G1213" s="6">
        <v>9.8</v>
      </c>
      <c r="H1213" s="7" t="s">
        <v>1606</v>
      </c>
      <c r="I1213" s="4" t="s">
        <v>2392</v>
      </c>
      <c r="J1213" s="4" t="s">
        <v>2677</v>
      </c>
      <c r="K1213" s="8"/>
      <c r="L1213" s="8" t="s">
        <v>2691</v>
      </c>
      <c r="M1213" s="9">
        <f t="shared" si="1"/>
        <v>36</v>
      </c>
    </row>
    <row r="1214" ht="12.75" customHeight="1">
      <c r="A1214" s="4">
        <f t="shared" si="2"/>
        <v>1213</v>
      </c>
      <c r="B1214" s="4" t="s">
        <v>2698</v>
      </c>
      <c r="C1214" s="5" t="s">
        <v>2699</v>
      </c>
      <c r="D1214" s="4"/>
      <c r="E1214" s="4"/>
      <c r="F1214" s="4" t="s">
        <v>22</v>
      </c>
      <c r="G1214" s="6">
        <v>19.9</v>
      </c>
      <c r="H1214" s="7" t="s">
        <v>1606</v>
      </c>
      <c r="I1214" s="4" t="s">
        <v>2392</v>
      </c>
      <c r="J1214" s="4" t="s">
        <v>2677</v>
      </c>
      <c r="K1214" s="8"/>
      <c r="L1214" s="8" t="s">
        <v>2691</v>
      </c>
      <c r="M1214" s="9">
        <f t="shared" si="1"/>
        <v>36</v>
      </c>
    </row>
    <row r="1215" ht="12.75" customHeight="1">
      <c r="A1215" s="4">
        <f t="shared" si="2"/>
        <v>1214</v>
      </c>
      <c r="B1215" s="4" t="s">
        <v>2700</v>
      </c>
      <c r="C1215" s="5" t="s">
        <v>2701</v>
      </c>
      <c r="D1215" s="4"/>
      <c r="E1215" s="4"/>
      <c r="F1215" s="4" t="s">
        <v>22</v>
      </c>
      <c r="G1215" s="6">
        <v>4.1</v>
      </c>
      <c r="H1215" s="7" t="s">
        <v>1606</v>
      </c>
      <c r="I1215" s="4" t="s">
        <v>17</v>
      </c>
      <c r="J1215" s="4" t="s">
        <v>2702</v>
      </c>
      <c r="K1215" s="8"/>
      <c r="L1215" s="8" t="s">
        <v>2594</v>
      </c>
      <c r="M1215" s="9">
        <f t="shared" si="1"/>
        <v>46</v>
      </c>
    </row>
    <row r="1216" ht="12.75" customHeight="1">
      <c r="A1216" s="4">
        <f t="shared" si="2"/>
        <v>1215</v>
      </c>
      <c r="B1216" s="4" t="s">
        <v>2703</v>
      </c>
      <c r="C1216" s="5" t="s">
        <v>2704</v>
      </c>
      <c r="D1216" s="4"/>
      <c r="E1216" s="4"/>
      <c r="F1216" s="4" t="s">
        <v>22</v>
      </c>
      <c r="G1216" s="6">
        <v>4.1</v>
      </c>
      <c r="H1216" s="7" t="s">
        <v>1606</v>
      </c>
      <c r="I1216" s="4" t="s">
        <v>17</v>
      </c>
      <c r="J1216" s="4" t="s">
        <v>2702</v>
      </c>
      <c r="K1216" s="8"/>
      <c r="L1216" s="8" t="s">
        <v>2594</v>
      </c>
      <c r="M1216" s="9">
        <f t="shared" si="1"/>
        <v>45</v>
      </c>
    </row>
    <row r="1217" ht="12.75" customHeight="1">
      <c r="A1217" s="4">
        <f t="shared" si="2"/>
        <v>1216</v>
      </c>
      <c r="B1217" s="4" t="s">
        <v>2705</v>
      </c>
      <c r="C1217" s="5" t="s">
        <v>2706</v>
      </c>
      <c r="D1217" s="4"/>
      <c r="E1217" s="4"/>
      <c r="F1217" s="4" t="s">
        <v>22</v>
      </c>
      <c r="G1217" s="6">
        <v>4.63</v>
      </c>
      <c r="H1217" s="7" t="s">
        <v>1606</v>
      </c>
      <c r="I1217" s="4" t="s">
        <v>2085</v>
      </c>
      <c r="J1217" s="4" t="s">
        <v>2707</v>
      </c>
      <c r="K1217" s="8"/>
      <c r="L1217" s="8" t="s">
        <v>33</v>
      </c>
      <c r="M1217" s="9">
        <f t="shared" si="1"/>
        <v>37</v>
      </c>
    </row>
    <row r="1218" ht="12.75" customHeight="1">
      <c r="A1218" s="4">
        <f t="shared" si="2"/>
        <v>1217</v>
      </c>
      <c r="B1218" s="4" t="s">
        <v>2708</v>
      </c>
      <c r="C1218" s="5" t="s">
        <v>2709</v>
      </c>
      <c r="D1218" s="4"/>
      <c r="E1218" s="4"/>
      <c r="F1218" s="4" t="s">
        <v>22</v>
      </c>
      <c r="G1218" s="6">
        <v>4.63</v>
      </c>
      <c r="H1218" s="7" t="s">
        <v>1606</v>
      </c>
      <c r="I1218" s="4" t="s">
        <v>2085</v>
      </c>
      <c r="J1218" s="4" t="s">
        <v>2707</v>
      </c>
      <c r="K1218" s="8"/>
      <c r="L1218" s="8" t="s">
        <v>33</v>
      </c>
      <c r="M1218" s="9">
        <f t="shared" si="1"/>
        <v>37</v>
      </c>
    </row>
    <row r="1219" ht="12.75" customHeight="1">
      <c r="A1219" s="4">
        <f t="shared" si="2"/>
        <v>1218</v>
      </c>
      <c r="B1219" s="4" t="s">
        <v>2710</v>
      </c>
      <c r="C1219" s="5" t="s">
        <v>2711</v>
      </c>
      <c r="D1219" s="4"/>
      <c r="E1219" s="4"/>
      <c r="F1219" s="4" t="s">
        <v>22</v>
      </c>
      <c r="G1219" s="24">
        <v>6.79</v>
      </c>
      <c r="H1219" s="7" t="s">
        <v>1606</v>
      </c>
      <c r="I1219" s="4" t="s">
        <v>2085</v>
      </c>
      <c r="J1219" s="4" t="s">
        <v>2707</v>
      </c>
      <c r="K1219" s="8"/>
      <c r="L1219" s="8" t="s">
        <v>33</v>
      </c>
      <c r="M1219" s="9">
        <f t="shared" si="1"/>
        <v>37</v>
      </c>
    </row>
    <row r="1220" ht="12.75" customHeight="1">
      <c r="A1220" s="4">
        <f t="shared" si="2"/>
        <v>1219</v>
      </c>
      <c r="B1220" s="4" t="s">
        <v>2712</v>
      </c>
      <c r="C1220" s="5" t="s">
        <v>2713</v>
      </c>
      <c r="D1220" s="4"/>
      <c r="E1220" s="4"/>
      <c r="F1220" s="4" t="s">
        <v>22</v>
      </c>
      <c r="G1220" s="6">
        <v>9.87</v>
      </c>
      <c r="H1220" s="7" t="s">
        <v>1606</v>
      </c>
      <c r="I1220" s="4" t="s">
        <v>2085</v>
      </c>
      <c r="J1220" s="4" t="s">
        <v>2707</v>
      </c>
      <c r="K1220" s="8"/>
      <c r="L1220" s="8" t="s">
        <v>33</v>
      </c>
      <c r="M1220" s="9">
        <f t="shared" si="1"/>
        <v>38</v>
      </c>
    </row>
    <row r="1221" ht="12.75" customHeight="1">
      <c r="A1221" s="4">
        <f t="shared" si="2"/>
        <v>1220</v>
      </c>
      <c r="B1221" s="4" t="s">
        <v>2714</v>
      </c>
      <c r="C1221" s="5" t="s">
        <v>2715</v>
      </c>
      <c r="D1221" s="4"/>
      <c r="E1221" s="4"/>
      <c r="F1221" s="4" t="s">
        <v>22</v>
      </c>
      <c r="G1221" s="6">
        <v>16.13</v>
      </c>
      <c r="H1221" s="7" t="s">
        <v>1606</v>
      </c>
      <c r="I1221" s="4" t="s">
        <v>1574</v>
      </c>
      <c r="J1221" s="4" t="s">
        <v>2082</v>
      </c>
      <c r="K1221" s="8"/>
      <c r="L1221" s="8" t="s">
        <v>2716</v>
      </c>
      <c r="M1221" s="9">
        <f t="shared" si="1"/>
        <v>37</v>
      </c>
    </row>
    <row r="1222" ht="12.75" customHeight="1">
      <c r="A1222" s="4">
        <f t="shared" si="2"/>
        <v>1221</v>
      </c>
      <c r="B1222" s="4" t="s">
        <v>2717</v>
      </c>
      <c r="C1222" s="5" t="s">
        <v>2718</v>
      </c>
      <c r="D1222" s="4"/>
      <c r="E1222" s="4"/>
      <c r="F1222" s="4" t="s">
        <v>22</v>
      </c>
      <c r="G1222" s="6">
        <v>20.75</v>
      </c>
      <c r="H1222" s="7" t="s">
        <v>1606</v>
      </c>
      <c r="I1222" s="4" t="s">
        <v>1574</v>
      </c>
      <c r="J1222" s="4" t="s">
        <v>2082</v>
      </c>
      <c r="K1222" s="8"/>
      <c r="L1222" s="8" t="s">
        <v>2716</v>
      </c>
      <c r="M1222" s="9">
        <f t="shared" si="1"/>
        <v>37</v>
      </c>
    </row>
    <row r="1223" ht="12.75" customHeight="1">
      <c r="A1223" s="4">
        <f t="shared" si="2"/>
        <v>1222</v>
      </c>
      <c r="B1223" s="4" t="s">
        <v>2719</v>
      </c>
      <c r="C1223" s="5" t="s">
        <v>2720</v>
      </c>
      <c r="D1223" s="4"/>
      <c r="E1223" s="4"/>
      <c r="F1223" s="4" t="s">
        <v>22</v>
      </c>
      <c r="G1223" s="6">
        <v>25.07</v>
      </c>
      <c r="H1223" s="7" t="s">
        <v>1606</v>
      </c>
      <c r="I1223" s="4" t="s">
        <v>1574</v>
      </c>
      <c r="J1223" s="4" t="s">
        <v>2082</v>
      </c>
      <c r="K1223" s="8"/>
      <c r="L1223" s="8" t="s">
        <v>2716</v>
      </c>
      <c r="M1223" s="9">
        <f t="shared" si="1"/>
        <v>37</v>
      </c>
    </row>
    <row r="1224" ht="12.75" customHeight="1">
      <c r="A1224" s="4">
        <f t="shared" si="2"/>
        <v>1223</v>
      </c>
      <c r="B1224" s="4" t="s">
        <v>2721</v>
      </c>
      <c r="C1224" s="5" t="s">
        <v>2722</v>
      </c>
      <c r="D1224" s="4"/>
      <c r="E1224" s="4"/>
      <c r="F1224" s="4" t="s">
        <v>22</v>
      </c>
      <c r="G1224" s="6">
        <v>6.32</v>
      </c>
      <c r="H1224" s="7" t="s">
        <v>1606</v>
      </c>
      <c r="I1224" s="4" t="s">
        <v>1574</v>
      </c>
      <c r="J1224" s="4" t="s">
        <v>2082</v>
      </c>
      <c r="K1224" s="8"/>
      <c r="L1224" s="8" t="s">
        <v>2716</v>
      </c>
      <c r="M1224" s="9">
        <f t="shared" si="1"/>
        <v>37</v>
      </c>
    </row>
    <row r="1225" ht="12.75" customHeight="1">
      <c r="A1225" s="4">
        <f t="shared" si="2"/>
        <v>1224</v>
      </c>
      <c r="B1225" s="4" t="s">
        <v>2723</v>
      </c>
      <c r="C1225" s="5" t="s">
        <v>2724</v>
      </c>
      <c r="D1225" s="4"/>
      <c r="E1225" s="4"/>
      <c r="F1225" s="4" t="s">
        <v>22</v>
      </c>
      <c r="G1225" s="6">
        <v>6.32</v>
      </c>
      <c r="H1225" s="7" t="s">
        <v>1606</v>
      </c>
      <c r="I1225" s="4" t="s">
        <v>1574</v>
      </c>
      <c r="J1225" s="4" t="s">
        <v>2082</v>
      </c>
      <c r="K1225" s="8"/>
      <c r="L1225" s="8" t="s">
        <v>2716</v>
      </c>
      <c r="M1225" s="9">
        <f t="shared" si="1"/>
        <v>36</v>
      </c>
    </row>
    <row r="1226" ht="12.75" customHeight="1">
      <c r="A1226" s="4">
        <f t="shared" si="2"/>
        <v>1225</v>
      </c>
      <c r="B1226" s="4" t="s">
        <v>2725</v>
      </c>
      <c r="C1226" s="5" t="s">
        <v>2726</v>
      </c>
      <c r="D1226" s="4"/>
      <c r="E1226" s="4"/>
      <c r="F1226" s="4" t="s">
        <v>22</v>
      </c>
      <c r="G1226" s="6">
        <v>0.13</v>
      </c>
      <c r="H1226" s="7" t="s">
        <v>1606</v>
      </c>
      <c r="I1226" s="4" t="s">
        <v>17</v>
      </c>
      <c r="J1226" s="4" t="s">
        <v>2037</v>
      </c>
      <c r="K1226" s="8"/>
      <c r="L1226" s="8" t="s">
        <v>33</v>
      </c>
      <c r="M1226" s="9">
        <f t="shared" si="1"/>
        <v>45</v>
      </c>
    </row>
    <row r="1227" ht="12.75" customHeight="1">
      <c r="A1227" s="4">
        <f t="shared" si="2"/>
        <v>1226</v>
      </c>
      <c r="B1227" s="4" t="s">
        <v>2727</v>
      </c>
      <c r="C1227" s="5" t="s">
        <v>2728</v>
      </c>
      <c r="D1227" s="4"/>
      <c r="E1227" s="4"/>
      <c r="F1227" s="4" t="s">
        <v>22</v>
      </c>
      <c r="G1227" s="6">
        <v>27.03</v>
      </c>
      <c r="H1227" s="7" t="s">
        <v>1606</v>
      </c>
      <c r="I1227" s="4" t="s">
        <v>2646</v>
      </c>
      <c r="J1227" s="4" t="s">
        <v>2729</v>
      </c>
      <c r="K1227" s="8"/>
      <c r="L1227" s="8" t="s">
        <v>33</v>
      </c>
      <c r="M1227" s="9">
        <f t="shared" si="1"/>
        <v>26</v>
      </c>
    </row>
    <row r="1228" ht="12.75" customHeight="1">
      <c r="A1228" s="4">
        <f t="shared" si="2"/>
        <v>1227</v>
      </c>
      <c r="B1228" s="4" t="s">
        <v>2730</v>
      </c>
      <c r="C1228" s="5" t="s">
        <v>2731</v>
      </c>
      <c r="D1228" s="4"/>
      <c r="E1228" s="4"/>
      <c r="F1228" s="4" t="s">
        <v>22</v>
      </c>
      <c r="G1228" s="6">
        <v>0.14</v>
      </c>
      <c r="H1228" s="7" t="s">
        <v>1606</v>
      </c>
      <c r="I1228" s="4" t="s">
        <v>1773</v>
      </c>
      <c r="J1228" s="4" t="s">
        <v>1774</v>
      </c>
      <c r="K1228" s="8"/>
      <c r="L1228" s="8" t="s">
        <v>33</v>
      </c>
      <c r="M1228" s="9">
        <f t="shared" si="1"/>
        <v>29</v>
      </c>
    </row>
    <row r="1229" ht="12.75" customHeight="1">
      <c r="A1229" s="4">
        <f t="shared" si="2"/>
        <v>1228</v>
      </c>
      <c r="B1229" s="4" t="s">
        <v>2732</v>
      </c>
      <c r="C1229" s="5" t="s">
        <v>2733</v>
      </c>
      <c r="D1229" s="4"/>
      <c r="E1229" s="4"/>
      <c r="F1229" s="4" t="s">
        <v>22</v>
      </c>
      <c r="G1229" s="6">
        <v>0.14</v>
      </c>
      <c r="H1229" s="7" t="s">
        <v>1606</v>
      </c>
      <c r="I1229" s="4" t="s">
        <v>1773</v>
      </c>
      <c r="J1229" s="4" t="s">
        <v>1774</v>
      </c>
      <c r="K1229" s="8"/>
      <c r="L1229" s="8" t="s">
        <v>33</v>
      </c>
      <c r="M1229" s="9">
        <f t="shared" si="1"/>
        <v>25</v>
      </c>
    </row>
    <row r="1230" ht="12.75" customHeight="1">
      <c r="A1230" s="4">
        <f t="shared" si="2"/>
        <v>1229</v>
      </c>
      <c r="B1230" s="4" t="s">
        <v>2734</v>
      </c>
      <c r="C1230" s="5" t="s">
        <v>2735</v>
      </c>
      <c r="D1230" s="4"/>
      <c r="E1230" s="4"/>
      <c r="F1230" s="4" t="s">
        <v>22</v>
      </c>
      <c r="G1230" s="6">
        <v>0.14</v>
      </c>
      <c r="H1230" s="7" t="s">
        <v>1606</v>
      </c>
      <c r="I1230" s="4" t="s">
        <v>1773</v>
      </c>
      <c r="J1230" s="4" t="s">
        <v>1774</v>
      </c>
      <c r="K1230" s="8"/>
      <c r="L1230" s="8" t="s">
        <v>33</v>
      </c>
      <c r="M1230" s="9">
        <f t="shared" si="1"/>
        <v>27</v>
      </c>
    </row>
    <row r="1231" ht="12.75" customHeight="1">
      <c r="A1231" s="4">
        <f t="shared" si="2"/>
        <v>1230</v>
      </c>
      <c r="B1231" s="4" t="s">
        <v>2736</v>
      </c>
      <c r="C1231" s="5" t="s">
        <v>2737</v>
      </c>
      <c r="D1231" s="4"/>
      <c r="E1231" s="4"/>
      <c r="F1231" s="4" t="s">
        <v>22</v>
      </c>
      <c r="G1231" s="6">
        <v>0.14</v>
      </c>
      <c r="H1231" s="7" t="s">
        <v>1606</v>
      </c>
      <c r="I1231" s="4" t="s">
        <v>1773</v>
      </c>
      <c r="J1231" s="4" t="s">
        <v>1774</v>
      </c>
      <c r="K1231" s="8"/>
      <c r="L1231" s="8" t="s">
        <v>33</v>
      </c>
      <c r="M1231" s="9">
        <f t="shared" si="1"/>
        <v>28</v>
      </c>
    </row>
    <row r="1232" ht="12.75" customHeight="1">
      <c r="A1232" s="4">
        <f t="shared" si="2"/>
        <v>1231</v>
      </c>
      <c r="B1232" s="4" t="s">
        <v>2738</v>
      </c>
      <c r="C1232" s="5" t="s">
        <v>2739</v>
      </c>
      <c r="D1232" s="4"/>
      <c r="E1232" s="4"/>
      <c r="F1232" s="4" t="s">
        <v>22</v>
      </c>
      <c r="G1232" s="6">
        <v>0.14</v>
      </c>
      <c r="H1232" s="7" t="s">
        <v>1606</v>
      </c>
      <c r="I1232" s="4" t="s">
        <v>1773</v>
      </c>
      <c r="J1232" s="4" t="s">
        <v>1774</v>
      </c>
      <c r="K1232" s="8"/>
      <c r="L1232" s="8" t="s">
        <v>33</v>
      </c>
      <c r="M1232" s="9">
        <f t="shared" si="1"/>
        <v>26</v>
      </c>
    </row>
    <row r="1233" ht="12.75" customHeight="1">
      <c r="A1233" s="4">
        <f t="shared" si="2"/>
        <v>1232</v>
      </c>
      <c r="B1233" s="4" t="s">
        <v>2740</v>
      </c>
      <c r="C1233" s="5" t="s">
        <v>2741</v>
      </c>
      <c r="D1233" s="4"/>
      <c r="E1233" s="4"/>
      <c r="F1233" s="4" t="s">
        <v>22</v>
      </c>
      <c r="G1233" s="6">
        <v>6.61</v>
      </c>
      <c r="H1233" s="7" t="s">
        <v>1606</v>
      </c>
      <c r="I1233" s="4" t="s">
        <v>2475</v>
      </c>
      <c r="J1233" s="4" t="s">
        <v>2742</v>
      </c>
      <c r="K1233" s="8"/>
      <c r="L1233" s="8" t="s">
        <v>33</v>
      </c>
      <c r="M1233" s="9">
        <f t="shared" si="1"/>
        <v>45</v>
      </c>
    </row>
    <row r="1234" ht="12.75" customHeight="1">
      <c r="A1234" s="4">
        <f t="shared" si="2"/>
        <v>1233</v>
      </c>
      <c r="B1234" s="4" t="s">
        <v>2743</v>
      </c>
      <c r="C1234" s="5" t="s">
        <v>2744</v>
      </c>
      <c r="D1234" s="4"/>
      <c r="E1234" s="4"/>
      <c r="F1234" s="4" t="s">
        <v>1694</v>
      </c>
      <c r="G1234" s="6">
        <v>32.7</v>
      </c>
      <c r="H1234" s="7" t="s">
        <v>1606</v>
      </c>
      <c r="I1234" s="4" t="s">
        <v>2044</v>
      </c>
      <c r="J1234" s="4" t="s">
        <v>2045</v>
      </c>
      <c r="K1234" s="8"/>
      <c r="L1234" s="8" t="s">
        <v>2745</v>
      </c>
      <c r="M1234" s="9">
        <f t="shared" si="1"/>
        <v>21</v>
      </c>
    </row>
    <row r="1235" ht="12.75" customHeight="1">
      <c r="A1235" s="4">
        <f t="shared" si="2"/>
        <v>1234</v>
      </c>
      <c r="B1235" s="4" t="s">
        <v>2746</v>
      </c>
      <c r="C1235" s="5" t="s">
        <v>2747</v>
      </c>
      <c r="D1235" s="4"/>
      <c r="E1235" s="4"/>
      <c r="F1235" s="4" t="s">
        <v>22</v>
      </c>
      <c r="G1235" s="6">
        <v>324.32</v>
      </c>
      <c r="H1235" s="7" t="s">
        <v>1606</v>
      </c>
      <c r="I1235" s="4" t="s">
        <v>2748</v>
      </c>
      <c r="J1235" s="4" t="s">
        <v>2749</v>
      </c>
      <c r="K1235" s="8"/>
      <c r="L1235" s="8" t="s">
        <v>33</v>
      </c>
      <c r="M1235" s="9">
        <f t="shared" si="1"/>
        <v>51</v>
      </c>
    </row>
    <row r="1236" ht="12.75" customHeight="1">
      <c r="A1236" s="4">
        <f t="shared" si="2"/>
        <v>1235</v>
      </c>
      <c r="B1236" s="4" t="s">
        <v>2750</v>
      </c>
      <c r="C1236" s="5" t="s">
        <v>2751</v>
      </c>
      <c r="D1236" s="4"/>
      <c r="E1236" s="4"/>
      <c r="F1236" s="4" t="s">
        <v>1764</v>
      </c>
      <c r="G1236" s="6">
        <v>29.46</v>
      </c>
      <c r="H1236" s="7" t="s">
        <v>1606</v>
      </c>
      <c r="I1236" s="4" t="s">
        <v>1574</v>
      </c>
      <c r="J1236" s="4" t="s">
        <v>2082</v>
      </c>
      <c r="K1236" s="8"/>
      <c r="L1236" s="8" t="s">
        <v>2752</v>
      </c>
      <c r="M1236" s="9">
        <f t="shared" si="1"/>
        <v>26</v>
      </c>
    </row>
    <row r="1237" ht="12.75" customHeight="1">
      <c r="A1237" s="4">
        <f t="shared" si="2"/>
        <v>1236</v>
      </c>
      <c r="B1237" s="4" t="s">
        <v>2753</v>
      </c>
      <c r="C1237" s="5" t="s">
        <v>2754</v>
      </c>
      <c r="D1237" s="4"/>
      <c r="E1237" s="4"/>
      <c r="F1237" s="4" t="s">
        <v>1764</v>
      </c>
      <c r="G1237" s="6">
        <v>6.32</v>
      </c>
      <c r="H1237" s="7" t="s">
        <v>1606</v>
      </c>
      <c r="I1237" s="4" t="s">
        <v>1697</v>
      </c>
      <c r="J1237" s="4" t="s">
        <v>2755</v>
      </c>
      <c r="K1237" s="8"/>
      <c r="L1237" s="8" t="s">
        <v>2756</v>
      </c>
      <c r="M1237" s="9">
        <f t="shared" si="1"/>
        <v>24</v>
      </c>
    </row>
    <row r="1238" ht="12.75" customHeight="1">
      <c r="A1238" s="4">
        <f t="shared" si="2"/>
        <v>1237</v>
      </c>
      <c r="B1238" s="4" t="s">
        <v>2757</v>
      </c>
      <c r="C1238" s="5" t="s">
        <v>2758</v>
      </c>
      <c r="D1238" s="4"/>
      <c r="E1238" s="4"/>
      <c r="F1238" s="4" t="s">
        <v>1694</v>
      </c>
      <c r="G1238" s="6">
        <v>52.7</v>
      </c>
      <c r="H1238" s="7" t="s">
        <v>1606</v>
      </c>
      <c r="I1238" s="4" t="s">
        <v>2044</v>
      </c>
      <c r="J1238" s="4" t="s">
        <v>2759</v>
      </c>
      <c r="K1238" s="8"/>
      <c r="L1238" s="8" t="s">
        <v>33</v>
      </c>
      <c r="M1238" s="9">
        <f t="shared" si="1"/>
        <v>31</v>
      </c>
    </row>
    <row r="1239" ht="12.75" customHeight="1">
      <c r="A1239" s="4">
        <f t="shared" si="2"/>
        <v>1238</v>
      </c>
      <c r="B1239" s="4" t="s">
        <v>2760</v>
      </c>
      <c r="C1239" s="5" t="s">
        <v>2761</v>
      </c>
      <c r="D1239" s="4"/>
      <c r="E1239" s="4"/>
      <c r="F1239" s="4" t="s">
        <v>22</v>
      </c>
      <c r="G1239" s="6">
        <v>17.3</v>
      </c>
      <c r="H1239" s="7" t="s">
        <v>1606</v>
      </c>
      <c r="I1239" s="4" t="s">
        <v>1475</v>
      </c>
      <c r="J1239" s="4" t="s">
        <v>1476</v>
      </c>
      <c r="K1239" s="8"/>
      <c r="L1239" s="8" t="s">
        <v>2762</v>
      </c>
      <c r="M1239" s="9">
        <f t="shared" si="1"/>
        <v>21</v>
      </c>
    </row>
    <row r="1240" ht="12.75" customHeight="1">
      <c r="A1240" s="4">
        <f t="shared" si="2"/>
        <v>1239</v>
      </c>
      <c r="B1240" s="4" t="s">
        <v>2763</v>
      </c>
      <c r="C1240" s="5" t="s">
        <v>2764</v>
      </c>
      <c r="D1240" s="4"/>
      <c r="E1240" s="4"/>
      <c r="F1240" s="4" t="s">
        <v>22</v>
      </c>
      <c r="G1240" s="6">
        <v>2.42</v>
      </c>
      <c r="H1240" s="7" t="s">
        <v>1606</v>
      </c>
      <c r="I1240" s="4" t="s">
        <v>2085</v>
      </c>
      <c r="J1240" s="4" t="s">
        <v>2707</v>
      </c>
      <c r="K1240" s="8"/>
      <c r="L1240" s="8" t="s">
        <v>33</v>
      </c>
      <c r="M1240" s="9">
        <f t="shared" si="1"/>
        <v>47</v>
      </c>
    </row>
    <row r="1241" ht="12.75" customHeight="1">
      <c r="A1241" s="4">
        <f t="shared" si="2"/>
        <v>1240</v>
      </c>
      <c r="B1241" s="4" t="s">
        <v>2765</v>
      </c>
      <c r="C1241" s="5" t="s">
        <v>2766</v>
      </c>
      <c r="D1241" s="4"/>
      <c r="E1241" s="4"/>
      <c r="F1241" s="4" t="s">
        <v>22</v>
      </c>
      <c r="G1241" s="6">
        <v>2.16</v>
      </c>
      <c r="H1241" s="7" t="s">
        <v>1606</v>
      </c>
      <c r="I1241" s="4" t="s">
        <v>17</v>
      </c>
      <c r="J1241" s="4" t="s">
        <v>45</v>
      </c>
      <c r="K1241" s="8"/>
      <c r="L1241" s="8" t="s">
        <v>33</v>
      </c>
      <c r="M1241" s="9">
        <f t="shared" si="1"/>
        <v>24</v>
      </c>
    </row>
    <row r="1242" ht="12.75" customHeight="1">
      <c r="A1242" s="4">
        <f t="shared" si="2"/>
        <v>1241</v>
      </c>
      <c r="B1242" s="4" t="s">
        <v>2767</v>
      </c>
      <c r="C1242" s="5" t="s">
        <v>2768</v>
      </c>
      <c r="D1242" s="4"/>
      <c r="E1242" s="4"/>
      <c r="F1242" s="4" t="s">
        <v>1772</v>
      </c>
      <c r="G1242" s="6">
        <v>0.57</v>
      </c>
      <c r="H1242" s="7" t="s">
        <v>1606</v>
      </c>
      <c r="I1242" s="4" t="s">
        <v>1773</v>
      </c>
      <c r="J1242" s="4" t="s">
        <v>1774</v>
      </c>
      <c r="K1242" s="8"/>
      <c r="L1242" s="8" t="s">
        <v>33</v>
      </c>
      <c r="M1242" s="9">
        <f t="shared" si="1"/>
        <v>42</v>
      </c>
    </row>
    <row r="1243" ht="12.75" customHeight="1">
      <c r="A1243" s="4">
        <f t="shared" si="2"/>
        <v>1242</v>
      </c>
      <c r="B1243" s="4" t="s">
        <v>2769</v>
      </c>
      <c r="C1243" s="5" t="s">
        <v>2770</v>
      </c>
      <c r="D1243" s="4"/>
      <c r="E1243" s="4"/>
      <c r="F1243" s="4" t="s">
        <v>22</v>
      </c>
      <c r="G1243" s="6">
        <v>1.49</v>
      </c>
      <c r="H1243" s="7" t="s">
        <v>1606</v>
      </c>
      <c r="I1243" s="4" t="s">
        <v>1794</v>
      </c>
      <c r="J1243" s="4" t="s">
        <v>165</v>
      </c>
      <c r="K1243" s="8"/>
      <c r="L1243" s="8" t="s">
        <v>33</v>
      </c>
      <c r="M1243" s="9">
        <f t="shared" si="1"/>
        <v>26</v>
      </c>
    </row>
    <row r="1244" ht="12.75" customHeight="1">
      <c r="A1244" s="4">
        <f t="shared" si="2"/>
        <v>1243</v>
      </c>
      <c r="B1244" s="4" t="s">
        <v>2771</v>
      </c>
      <c r="C1244" s="5" t="s">
        <v>2772</v>
      </c>
      <c r="D1244" s="4"/>
      <c r="E1244" s="4"/>
      <c r="F1244" s="4" t="s">
        <v>22</v>
      </c>
      <c r="G1244" s="6">
        <v>86.49</v>
      </c>
      <c r="H1244" s="7" t="s">
        <v>1606</v>
      </c>
      <c r="I1244" s="4" t="s">
        <v>1746</v>
      </c>
      <c r="J1244" s="4" t="s">
        <v>2773</v>
      </c>
      <c r="K1244" s="8"/>
      <c r="L1244" s="8" t="s">
        <v>512</v>
      </c>
      <c r="M1244" s="9">
        <f t="shared" si="1"/>
        <v>33</v>
      </c>
    </row>
    <row r="1245" ht="12.75" customHeight="1">
      <c r="A1245" s="4">
        <f t="shared" si="2"/>
        <v>1244</v>
      </c>
      <c r="B1245" s="4" t="s">
        <v>2774</v>
      </c>
      <c r="C1245" s="5" t="s">
        <v>2775</v>
      </c>
      <c r="D1245" s="4"/>
      <c r="E1245" s="4"/>
      <c r="F1245" s="4" t="s">
        <v>22</v>
      </c>
      <c r="G1245" s="6">
        <v>13.51</v>
      </c>
      <c r="H1245" s="7" t="s">
        <v>1606</v>
      </c>
      <c r="I1245" s="4" t="s">
        <v>1574</v>
      </c>
      <c r="J1245" s="4" t="s">
        <v>2434</v>
      </c>
      <c r="K1245" s="8"/>
      <c r="L1245" s="8" t="s">
        <v>33</v>
      </c>
      <c r="M1245" s="9">
        <f t="shared" si="1"/>
        <v>50</v>
      </c>
    </row>
    <row r="1246" ht="12.75" customHeight="1">
      <c r="A1246" s="4">
        <f t="shared" si="2"/>
        <v>1245</v>
      </c>
      <c r="B1246" s="4" t="s">
        <v>2776</v>
      </c>
      <c r="C1246" s="5" t="s">
        <v>2777</v>
      </c>
      <c r="D1246" s="4"/>
      <c r="E1246" s="4"/>
      <c r="F1246" s="4" t="s">
        <v>1791</v>
      </c>
      <c r="G1246" s="6">
        <v>14.0</v>
      </c>
      <c r="H1246" s="7" t="s">
        <v>1606</v>
      </c>
      <c r="I1246" s="4" t="s">
        <v>1574</v>
      </c>
      <c r="J1246" s="4" t="s">
        <v>2434</v>
      </c>
      <c r="K1246" s="8"/>
      <c r="L1246" s="8" t="s">
        <v>33</v>
      </c>
      <c r="M1246" s="9">
        <f t="shared" si="1"/>
        <v>30</v>
      </c>
    </row>
    <row r="1247" ht="12.75" customHeight="1">
      <c r="A1247" s="4">
        <f t="shared" si="2"/>
        <v>1246</v>
      </c>
      <c r="B1247" s="4" t="s">
        <v>2778</v>
      </c>
      <c r="C1247" s="5" t="s">
        <v>2779</v>
      </c>
      <c r="D1247" s="4"/>
      <c r="E1247" s="4"/>
      <c r="F1247" s="4" t="s">
        <v>22</v>
      </c>
      <c r="G1247" s="6">
        <v>11.35</v>
      </c>
      <c r="H1247" s="7" t="s">
        <v>1606</v>
      </c>
      <c r="I1247" s="4" t="s">
        <v>1574</v>
      </c>
      <c r="J1247" s="4" t="s">
        <v>2434</v>
      </c>
      <c r="K1247" s="8"/>
      <c r="L1247" s="8" t="s">
        <v>19</v>
      </c>
      <c r="M1247" s="9">
        <f t="shared" si="1"/>
        <v>56</v>
      </c>
    </row>
    <row r="1248" ht="12.75" customHeight="1">
      <c r="A1248" s="4">
        <f t="shared" si="2"/>
        <v>1247</v>
      </c>
      <c r="B1248" s="4" t="s">
        <v>2780</v>
      </c>
      <c r="C1248" s="5" t="s">
        <v>2781</v>
      </c>
      <c r="D1248" s="4"/>
      <c r="E1248" s="4"/>
      <c r="F1248" s="4" t="s">
        <v>1791</v>
      </c>
      <c r="G1248" s="6">
        <v>1.01</v>
      </c>
      <c r="H1248" s="7" t="s">
        <v>1606</v>
      </c>
      <c r="I1248" s="4" t="s">
        <v>1574</v>
      </c>
      <c r="J1248" s="4" t="s">
        <v>2434</v>
      </c>
      <c r="K1248" s="8"/>
      <c r="L1248" s="8" t="s">
        <v>19</v>
      </c>
      <c r="M1248" s="9">
        <f t="shared" si="1"/>
        <v>39</v>
      </c>
    </row>
    <row r="1249" ht="12.75" customHeight="1">
      <c r="A1249" s="4">
        <f t="shared" si="2"/>
        <v>1248</v>
      </c>
      <c r="B1249" s="4" t="s">
        <v>2782</v>
      </c>
      <c r="C1249" s="5" t="s">
        <v>2783</v>
      </c>
      <c r="D1249" s="4"/>
      <c r="E1249" s="4"/>
      <c r="F1249" s="4" t="s">
        <v>1791</v>
      </c>
      <c r="G1249" s="6">
        <v>6.64</v>
      </c>
      <c r="H1249" s="7" t="s">
        <v>1606</v>
      </c>
      <c r="I1249" s="4" t="s">
        <v>1574</v>
      </c>
      <c r="J1249" s="4" t="s">
        <v>2434</v>
      </c>
      <c r="K1249" s="8"/>
      <c r="L1249" s="8" t="s">
        <v>19</v>
      </c>
      <c r="M1249" s="9">
        <f t="shared" si="1"/>
        <v>60</v>
      </c>
    </row>
    <row r="1250" ht="12.75" customHeight="1">
      <c r="A1250" s="4">
        <f t="shared" si="2"/>
        <v>1249</v>
      </c>
      <c r="B1250" s="4" t="s">
        <v>2784</v>
      </c>
      <c r="C1250" s="5" t="s">
        <v>2785</v>
      </c>
      <c r="D1250" s="4"/>
      <c r="E1250" s="4"/>
      <c r="F1250" s="4" t="s">
        <v>1791</v>
      </c>
      <c r="G1250" s="6">
        <v>6.64</v>
      </c>
      <c r="H1250" s="7" t="s">
        <v>1606</v>
      </c>
      <c r="I1250" s="4" t="s">
        <v>1574</v>
      </c>
      <c r="J1250" s="4" t="s">
        <v>2434</v>
      </c>
      <c r="K1250" s="8"/>
      <c r="L1250" s="8" t="s">
        <v>19</v>
      </c>
      <c r="M1250" s="9">
        <f t="shared" si="1"/>
        <v>63</v>
      </c>
    </row>
    <row r="1251" ht="12.75" customHeight="1">
      <c r="A1251" s="4">
        <f t="shared" si="2"/>
        <v>1250</v>
      </c>
      <c r="B1251" s="4" t="s">
        <v>2786</v>
      </c>
      <c r="C1251" s="5" t="s">
        <v>2787</v>
      </c>
      <c r="D1251" s="4"/>
      <c r="E1251" s="4"/>
      <c r="F1251" s="4" t="s">
        <v>1791</v>
      </c>
      <c r="G1251" s="6">
        <v>2.66</v>
      </c>
      <c r="H1251" s="7" t="s">
        <v>1606</v>
      </c>
      <c r="I1251" s="4" t="s">
        <v>1574</v>
      </c>
      <c r="J1251" s="4" t="s">
        <v>2434</v>
      </c>
      <c r="K1251" s="8"/>
      <c r="L1251" s="8" t="s">
        <v>19</v>
      </c>
      <c r="M1251" s="9">
        <f t="shared" si="1"/>
        <v>59</v>
      </c>
    </row>
    <row r="1252" ht="12.75" customHeight="1">
      <c r="A1252" s="4">
        <f t="shared" si="2"/>
        <v>1251</v>
      </c>
      <c r="B1252" s="4" t="s">
        <v>2788</v>
      </c>
      <c r="C1252" s="5" t="s">
        <v>2789</v>
      </c>
      <c r="D1252" s="4"/>
      <c r="E1252" s="4"/>
      <c r="F1252" s="4" t="s">
        <v>1791</v>
      </c>
      <c r="G1252" s="6">
        <v>2.66</v>
      </c>
      <c r="H1252" s="7" t="s">
        <v>1606</v>
      </c>
      <c r="I1252" s="4" t="s">
        <v>1574</v>
      </c>
      <c r="J1252" s="4" t="s">
        <v>2434</v>
      </c>
      <c r="K1252" s="8"/>
      <c r="L1252" s="8" t="s">
        <v>19</v>
      </c>
      <c r="M1252" s="9">
        <f t="shared" si="1"/>
        <v>61</v>
      </c>
    </row>
    <row r="1253" ht="12.75" customHeight="1">
      <c r="A1253" s="4">
        <f t="shared" si="2"/>
        <v>1252</v>
      </c>
      <c r="B1253" s="4" t="s">
        <v>2790</v>
      </c>
      <c r="C1253" s="5" t="s">
        <v>2791</v>
      </c>
      <c r="D1253" s="4"/>
      <c r="E1253" s="4"/>
      <c r="F1253" s="4" t="s">
        <v>1791</v>
      </c>
      <c r="G1253" s="6">
        <v>2.66</v>
      </c>
      <c r="H1253" s="7" t="s">
        <v>1606</v>
      </c>
      <c r="I1253" s="4" t="s">
        <v>1574</v>
      </c>
      <c r="J1253" s="4" t="s">
        <v>2434</v>
      </c>
      <c r="K1253" s="8"/>
      <c r="L1253" s="8" t="s">
        <v>19</v>
      </c>
      <c r="M1253" s="9">
        <f t="shared" si="1"/>
        <v>59</v>
      </c>
    </row>
    <row r="1254" ht="12.75" customHeight="1">
      <c r="A1254" s="4">
        <f t="shared" si="2"/>
        <v>1253</v>
      </c>
      <c r="B1254" s="4" t="s">
        <v>2792</v>
      </c>
      <c r="C1254" s="5" t="s">
        <v>2793</v>
      </c>
      <c r="D1254" s="4"/>
      <c r="E1254" s="4"/>
      <c r="F1254" s="4" t="s">
        <v>1791</v>
      </c>
      <c r="G1254" s="6">
        <v>6.64</v>
      </c>
      <c r="H1254" s="7" t="s">
        <v>1606</v>
      </c>
      <c r="I1254" s="4" t="s">
        <v>1574</v>
      </c>
      <c r="J1254" s="4" t="s">
        <v>2434</v>
      </c>
      <c r="K1254" s="8"/>
      <c r="L1254" s="8" t="s">
        <v>19</v>
      </c>
      <c r="M1254" s="9">
        <f t="shared" si="1"/>
        <v>60</v>
      </c>
    </row>
    <row r="1255" ht="12.75" customHeight="1">
      <c r="A1255" s="4">
        <f t="shared" si="2"/>
        <v>1254</v>
      </c>
      <c r="B1255" s="4" t="s">
        <v>2794</v>
      </c>
      <c r="C1255" s="5" t="s">
        <v>2795</v>
      </c>
      <c r="D1255" s="4"/>
      <c r="E1255" s="4"/>
      <c r="F1255" s="4" t="s">
        <v>1791</v>
      </c>
      <c r="G1255" s="6">
        <v>1.46</v>
      </c>
      <c r="H1255" s="7" t="s">
        <v>1606</v>
      </c>
      <c r="I1255" s="4" t="s">
        <v>1574</v>
      </c>
      <c r="J1255" s="4" t="s">
        <v>2434</v>
      </c>
      <c r="K1255" s="8"/>
      <c r="L1255" s="8" t="s">
        <v>19</v>
      </c>
      <c r="M1255" s="9">
        <f t="shared" si="1"/>
        <v>73</v>
      </c>
    </row>
    <row r="1256" ht="12.75" customHeight="1">
      <c r="A1256" s="4">
        <f t="shared" si="2"/>
        <v>1255</v>
      </c>
      <c r="B1256" s="4" t="s">
        <v>2796</v>
      </c>
      <c r="C1256" s="5" t="s">
        <v>2797</v>
      </c>
      <c r="D1256" s="4"/>
      <c r="E1256" s="4"/>
      <c r="F1256" s="4" t="s">
        <v>1791</v>
      </c>
      <c r="G1256" s="6">
        <v>1.46</v>
      </c>
      <c r="H1256" s="7" t="s">
        <v>1606</v>
      </c>
      <c r="I1256" s="4" t="s">
        <v>1574</v>
      </c>
      <c r="J1256" s="4" t="s">
        <v>2434</v>
      </c>
      <c r="K1256" s="8"/>
      <c r="L1256" s="8" t="s">
        <v>19</v>
      </c>
      <c r="M1256" s="9">
        <f t="shared" si="1"/>
        <v>69</v>
      </c>
    </row>
    <row r="1257" ht="12.75" customHeight="1">
      <c r="A1257" s="4">
        <f t="shared" si="2"/>
        <v>1256</v>
      </c>
      <c r="B1257" s="4" t="s">
        <v>2798</v>
      </c>
      <c r="C1257" s="5" t="s">
        <v>2799</v>
      </c>
      <c r="D1257" s="4"/>
      <c r="E1257" s="4"/>
      <c r="F1257" s="4" t="s">
        <v>1791</v>
      </c>
      <c r="G1257" s="6">
        <v>1.46</v>
      </c>
      <c r="H1257" s="7" t="s">
        <v>1606</v>
      </c>
      <c r="I1257" s="4" t="s">
        <v>1574</v>
      </c>
      <c r="J1257" s="4" t="s">
        <v>2434</v>
      </c>
      <c r="K1257" s="8"/>
      <c r="L1257" s="8" t="s">
        <v>19</v>
      </c>
      <c r="M1257" s="9">
        <f t="shared" si="1"/>
        <v>71</v>
      </c>
    </row>
    <row r="1258" ht="12.75" customHeight="1">
      <c r="A1258" s="4">
        <f t="shared" si="2"/>
        <v>1257</v>
      </c>
      <c r="B1258" s="4" t="s">
        <v>2800</v>
      </c>
      <c r="C1258" s="5" t="s">
        <v>2801</v>
      </c>
      <c r="D1258" s="4"/>
      <c r="E1258" s="4"/>
      <c r="F1258" s="4" t="s">
        <v>1791</v>
      </c>
      <c r="G1258" s="6">
        <v>1.64</v>
      </c>
      <c r="H1258" s="7" t="s">
        <v>1606</v>
      </c>
      <c r="I1258" s="4" t="s">
        <v>1574</v>
      </c>
      <c r="J1258" s="4" t="s">
        <v>2434</v>
      </c>
      <c r="K1258" s="8"/>
      <c r="L1258" s="8" t="s">
        <v>19</v>
      </c>
      <c r="M1258" s="9">
        <f t="shared" si="1"/>
        <v>70</v>
      </c>
    </row>
    <row r="1259" ht="12.75" customHeight="1">
      <c r="A1259" s="4">
        <f t="shared" si="2"/>
        <v>1258</v>
      </c>
      <c r="B1259" s="4" t="s">
        <v>2802</v>
      </c>
      <c r="C1259" s="5" t="s">
        <v>2803</v>
      </c>
      <c r="D1259" s="4"/>
      <c r="E1259" s="4"/>
      <c r="F1259" s="4" t="s">
        <v>1791</v>
      </c>
      <c r="G1259" s="6">
        <v>1.46</v>
      </c>
      <c r="H1259" s="7" t="s">
        <v>1606</v>
      </c>
      <c r="I1259" s="4" t="s">
        <v>1574</v>
      </c>
      <c r="J1259" s="4" t="s">
        <v>2434</v>
      </c>
      <c r="K1259" s="8"/>
      <c r="L1259" s="8" t="s">
        <v>19</v>
      </c>
      <c r="M1259" s="9">
        <f t="shared" si="1"/>
        <v>70</v>
      </c>
    </row>
    <row r="1260" ht="12.75" customHeight="1">
      <c r="A1260" s="4">
        <f t="shared" si="2"/>
        <v>1259</v>
      </c>
      <c r="B1260" s="4" t="s">
        <v>2804</v>
      </c>
      <c r="C1260" s="5" t="s">
        <v>2805</v>
      </c>
      <c r="D1260" s="4"/>
      <c r="E1260" s="4"/>
      <c r="F1260" s="4" t="s">
        <v>1791</v>
      </c>
      <c r="G1260" s="6">
        <v>1.46</v>
      </c>
      <c r="H1260" s="7" t="s">
        <v>1606</v>
      </c>
      <c r="I1260" s="4" t="s">
        <v>1574</v>
      </c>
      <c r="J1260" s="4" t="s">
        <v>2434</v>
      </c>
      <c r="K1260" s="8"/>
      <c r="L1260" s="8" t="s">
        <v>19</v>
      </c>
      <c r="M1260" s="9">
        <f t="shared" si="1"/>
        <v>70</v>
      </c>
    </row>
    <row r="1261" ht="12.75" customHeight="1">
      <c r="A1261" s="4">
        <f t="shared" si="2"/>
        <v>1260</v>
      </c>
      <c r="B1261" s="4" t="s">
        <v>2806</v>
      </c>
      <c r="C1261" s="5" t="s">
        <v>2807</v>
      </c>
      <c r="D1261" s="4"/>
      <c r="E1261" s="4"/>
      <c r="F1261" s="4" t="s">
        <v>1791</v>
      </c>
      <c r="G1261" s="6">
        <v>45.95</v>
      </c>
      <c r="H1261" s="7" t="s">
        <v>1606</v>
      </c>
      <c r="I1261" s="4" t="s">
        <v>1574</v>
      </c>
      <c r="J1261" s="4" t="s">
        <v>2434</v>
      </c>
      <c r="K1261" s="8"/>
      <c r="L1261" s="8" t="s">
        <v>19</v>
      </c>
      <c r="M1261" s="9">
        <f t="shared" si="1"/>
        <v>54</v>
      </c>
    </row>
    <row r="1262" ht="12.75" customHeight="1">
      <c r="A1262" s="4">
        <f t="shared" si="2"/>
        <v>1261</v>
      </c>
      <c r="B1262" s="4" t="s">
        <v>2808</v>
      </c>
      <c r="C1262" s="5" t="s">
        <v>2809</v>
      </c>
      <c r="D1262" s="4"/>
      <c r="E1262" s="4"/>
      <c r="F1262" s="4" t="s">
        <v>1791</v>
      </c>
      <c r="G1262" s="6">
        <v>23.82</v>
      </c>
      <c r="H1262" s="7" t="s">
        <v>1606</v>
      </c>
      <c r="I1262" s="4" t="s">
        <v>1574</v>
      </c>
      <c r="J1262" s="4" t="s">
        <v>2434</v>
      </c>
      <c r="K1262" s="8"/>
      <c r="L1262" s="8" t="s">
        <v>19</v>
      </c>
      <c r="M1262" s="9">
        <f t="shared" si="1"/>
        <v>56</v>
      </c>
    </row>
    <row r="1263" ht="12.75" customHeight="1">
      <c r="A1263" s="4">
        <f t="shared" si="2"/>
        <v>1262</v>
      </c>
      <c r="B1263" s="4" t="s">
        <v>2810</v>
      </c>
      <c r="C1263" s="5" t="s">
        <v>2811</v>
      </c>
      <c r="D1263" s="4"/>
      <c r="E1263" s="4"/>
      <c r="F1263" s="4" t="s">
        <v>1791</v>
      </c>
      <c r="G1263" s="6">
        <v>43.0</v>
      </c>
      <c r="H1263" s="7" t="s">
        <v>1606</v>
      </c>
      <c r="I1263" s="4" t="s">
        <v>1574</v>
      </c>
      <c r="J1263" s="4" t="s">
        <v>2812</v>
      </c>
      <c r="K1263" s="8"/>
      <c r="L1263" s="8" t="s">
        <v>1160</v>
      </c>
      <c r="M1263" s="9">
        <f t="shared" si="1"/>
        <v>40</v>
      </c>
    </row>
    <row r="1264" ht="12.75" customHeight="1">
      <c r="A1264" s="4">
        <f t="shared" si="2"/>
        <v>1263</v>
      </c>
      <c r="B1264" s="4" t="s">
        <v>2813</v>
      </c>
      <c r="C1264" s="5" t="s">
        <v>2814</v>
      </c>
      <c r="D1264" s="4"/>
      <c r="E1264" s="4"/>
      <c r="F1264" s="4" t="s">
        <v>1791</v>
      </c>
      <c r="G1264" s="6">
        <v>121.62</v>
      </c>
      <c r="H1264" s="7" t="s">
        <v>1606</v>
      </c>
      <c r="I1264" s="4" t="s">
        <v>1574</v>
      </c>
      <c r="J1264" s="4" t="s">
        <v>2812</v>
      </c>
      <c r="K1264" s="8"/>
      <c r="L1264" s="8" t="s">
        <v>1160</v>
      </c>
      <c r="M1264" s="9">
        <f t="shared" si="1"/>
        <v>40</v>
      </c>
    </row>
    <row r="1265" ht="12.75" customHeight="1">
      <c r="A1265" s="4">
        <f t="shared" si="2"/>
        <v>1264</v>
      </c>
      <c r="B1265" s="4" t="s">
        <v>2815</v>
      </c>
      <c r="C1265" s="5" t="s">
        <v>2816</v>
      </c>
      <c r="D1265" s="4"/>
      <c r="E1265" s="4"/>
      <c r="F1265" s="4" t="s">
        <v>22</v>
      </c>
      <c r="G1265" s="6">
        <v>2.5</v>
      </c>
      <c r="H1265" s="7" t="s">
        <v>1606</v>
      </c>
      <c r="I1265" s="4" t="s">
        <v>1574</v>
      </c>
      <c r="J1265" s="4" t="s">
        <v>2434</v>
      </c>
      <c r="K1265" s="8"/>
      <c r="L1265" s="8" t="s">
        <v>33</v>
      </c>
      <c r="M1265" s="9">
        <f t="shared" si="1"/>
        <v>41</v>
      </c>
    </row>
    <row r="1266" ht="12.75" customHeight="1">
      <c r="A1266" s="4">
        <f t="shared" si="2"/>
        <v>1265</v>
      </c>
      <c r="B1266" s="4" t="s">
        <v>2817</v>
      </c>
      <c r="C1266" s="5" t="s">
        <v>2818</v>
      </c>
      <c r="D1266" s="4"/>
      <c r="E1266" s="4"/>
      <c r="F1266" s="4" t="s">
        <v>1791</v>
      </c>
      <c r="G1266" s="6">
        <v>0.82</v>
      </c>
      <c r="H1266" s="7" t="s">
        <v>1606</v>
      </c>
      <c r="I1266" s="4" t="s">
        <v>2819</v>
      </c>
      <c r="J1266" s="4" t="s">
        <v>1544</v>
      </c>
      <c r="K1266" s="8"/>
      <c r="L1266" s="8" t="s">
        <v>33</v>
      </c>
      <c r="M1266" s="9">
        <f t="shared" si="1"/>
        <v>33</v>
      </c>
    </row>
    <row r="1267" ht="12.75" customHeight="1">
      <c r="A1267" s="4">
        <f t="shared" si="2"/>
        <v>1266</v>
      </c>
      <c r="B1267" s="4" t="s">
        <v>2820</v>
      </c>
      <c r="C1267" s="5" t="s">
        <v>2821</v>
      </c>
      <c r="D1267" s="4"/>
      <c r="E1267" s="4"/>
      <c r="F1267" s="4" t="s">
        <v>1791</v>
      </c>
      <c r="G1267" s="6">
        <v>1.22</v>
      </c>
      <c r="H1267" s="7" t="s">
        <v>1606</v>
      </c>
      <c r="I1267" s="4" t="s">
        <v>2819</v>
      </c>
      <c r="J1267" s="4" t="s">
        <v>1544</v>
      </c>
      <c r="K1267" s="8"/>
      <c r="L1267" s="8" t="s">
        <v>33</v>
      </c>
      <c r="M1267" s="9">
        <f t="shared" si="1"/>
        <v>32</v>
      </c>
    </row>
    <row r="1268" ht="12.75" customHeight="1">
      <c r="A1268" s="4">
        <f t="shared" si="2"/>
        <v>1267</v>
      </c>
      <c r="B1268" s="4" t="s">
        <v>2822</v>
      </c>
      <c r="C1268" s="5" t="s">
        <v>2823</v>
      </c>
      <c r="D1268" s="4"/>
      <c r="E1268" s="4"/>
      <c r="F1268" s="4" t="s">
        <v>1791</v>
      </c>
      <c r="G1268" s="6">
        <v>2.7</v>
      </c>
      <c r="H1268" s="7" t="s">
        <v>1606</v>
      </c>
      <c r="I1268" s="4" t="s">
        <v>1704</v>
      </c>
      <c r="J1268" s="4" t="s">
        <v>1856</v>
      </c>
      <c r="K1268" s="8"/>
      <c r="L1268" s="8" t="s">
        <v>33</v>
      </c>
      <c r="M1268" s="9">
        <f t="shared" si="1"/>
        <v>47</v>
      </c>
    </row>
    <row r="1269" ht="12.75" customHeight="1">
      <c r="A1269" s="4">
        <f t="shared" si="2"/>
        <v>1268</v>
      </c>
      <c r="B1269" s="4" t="s">
        <v>2824</v>
      </c>
      <c r="C1269" s="5" t="s">
        <v>2825</v>
      </c>
      <c r="D1269" s="4"/>
      <c r="E1269" s="4"/>
      <c r="F1269" s="4" t="s">
        <v>1791</v>
      </c>
      <c r="G1269" s="6">
        <v>4.03</v>
      </c>
      <c r="H1269" s="7" t="s">
        <v>1606</v>
      </c>
      <c r="I1269" s="4" t="s">
        <v>1704</v>
      </c>
      <c r="J1269" s="4" t="s">
        <v>1856</v>
      </c>
      <c r="K1269" s="8"/>
      <c r="L1269" s="8" t="s">
        <v>33</v>
      </c>
      <c r="M1269" s="9">
        <f t="shared" si="1"/>
        <v>37</v>
      </c>
    </row>
    <row r="1270" ht="12.75" customHeight="1">
      <c r="A1270" s="4">
        <f t="shared" si="2"/>
        <v>1269</v>
      </c>
      <c r="B1270" s="4" t="s">
        <v>2826</v>
      </c>
      <c r="C1270" s="5" t="s">
        <v>2827</v>
      </c>
      <c r="D1270" s="4"/>
      <c r="E1270" s="4"/>
      <c r="F1270" s="4" t="s">
        <v>1791</v>
      </c>
      <c r="G1270" s="6">
        <v>0.5</v>
      </c>
      <c r="H1270" s="7" t="s">
        <v>1606</v>
      </c>
      <c r="I1270" s="4" t="s">
        <v>2819</v>
      </c>
      <c r="J1270" s="4" t="s">
        <v>1544</v>
      </c>
      <c r="K1270" s="8"/>
      <c r="L1270" s="8" t="s">
        <v>33</v>
      </c>
      <c r="M1270" s="9">
        <f t="shared" si="1"/>
        <v>22</v>
      </c>
    </row>
    <row r="1271" ht="12.75" customHeight="1">
      <c r="A1271" s="4">
        <f t="shared" si="2"/>
        <v>1270</v>
      </c>
      <c r="B1271" s="4" t="s">
        <v>2828</v>
      </c>
      <c r="C1271" s="5" t="s">
        <v>2829</v>
      </c>
      <c r="D1271" s="4"/>
      <c r="E1271" s="4"/>
      <c r="F1271" s="4" t="s">
        <v>1791</v>
      </c>
      <c r="G1271" s="6">
        <v>6.51</v>
      </c>
      <c r="H1271" s="7" t="s">
        <v>1606</v>
      </c>
      <c r="I1271" s="4" t="s">
        <v>17</v>
      </c>
      <c r="J1271" s="4" t="s">
        <v>2830</v>
      </c>
      <c r="K1271" s="8"/>
      <c r="L1271" s="8" t="s">
        <v>33</v>
      </c>
      <c r="M1271" s="9">
        <f t="shared" si="1"/>
        <v>72</v>
      </c>
    </row>
    <row r="1272" ht="12.75" customHeight="1">
      <c r="A1272" s="4">
        <f t="shared" si="2"/>
        <v>1271</v>
      </c>
      <c r="B1272" s="4" t="s">
        <v>2831</v>
      </c>
      <c r="C1272" s="5" t="s">
        <v>2832</v>
      </c>
      <c r="D1272" s="4"/>
      <c r="E1272" s="4"/>
      <c r="F1272" s="4" t="s">
        <v>1791</v>
      </c>
      <c r="G1272" s="6">
        <v>6.51</v>
      </c>
      <c r="H1272" s="7" t="s">
        <v>1606</v>
      </c>
      <c r="I1272" s="4" t="s">
        <v>17</v>
      </c>
      <c r="J1272" s="4" t="s">
        <v>2830</v>
      </c>
      <c r="K1272" s="8"/>
      <c r="L1272" s="8" t="s">
        <v>33</v>
      </c>
      <c r="M1272" s="9">
        <f t="shared" si="1"/>
        <v>68</v>
      </c>
    </row>
    <row r="1273" ht="12.75" customHeight="1">
      <c r="A1273" s="4">
        <f t="shared" si="2"/>
        <v>1272</v>
      </c>
      <c r="B1273" s="4" t="s">
        <v>2833</v>
      </c>
      <c r="C1273" s="5" t="s">
        <v>2834</v>
      </c>
      <c r="D1273" s="4"/>
      <c r="E1273" s="4"/>
      <c r="F1273" s="4" t="s">
        <v>2391</v>
      </c>
      <c r="G1273" s="6">
        <v>10.81</v>
      </c>
      <c r="H1273" s="7" t="s">
        <v>1606</v>
      </c>
      <c r="I1273" s="4" t="s">
        <v>17</v>
      </c>
      <c r="J1273" s="4" t="s">
        <v>2830</v>
      </c>
      <c r="K1273" s="8"/>
      <c r="L1273" s="8" t="s">
        <v>33</v>
      </c>
      <c r="M1273" s="9">
        <f t="shared" si="1"/>
        <v>30</v>
      </c>
    </row>
    <row r="1274" ht="12.75" customHeight="1">
      <c r="A1274" s="4">
        <f t="shared" si="2"/>
        <v>1273</v>
      </c>
      <c r="B1274" s="4" t="s">
        <v>2835</v>
      </c>
      <c r="C1274" s="5" t="s">
        <v>2836</v>
      </c>
      <c r="D1274" s="4"/>
      <c r="E1274" s="4"/>
      <c r="F1274" s="4" t="s">
        <v>22</v>
      </c>
      <c r="G1274" s="6">
        <v>2.7</v>
      </c>
      <c r="H1274" s="7" t="s">
        <v>1606</v>
      </c>
      <c r="I1274" s="4" t="s">
        <v>1704</v>
      </c>
      <c r="J1274" s="4" t="s">
        <v>1856</v>
      </c>
      <c r="K1274" s="8"/>
      <c r="L1274" s="8" t="s">
        <v>33</v>
      </c>
      <c r="M1274" s="9">
        <f t="shared" si="1"/>
        <v>43</v>
      </c>
    </row>
    <row r="1275" ht="12.75" customHeight="1">
      <c r="A1275" s="4">
        <f t="shared" si="2"/>
        <v>1274</v>
      </c>
      <c r="B1275" s="4" t="s">
        <v>2837</v>
      </c>
      <c r="C1275" s="5" t="s">
        <v>2838</v>
      </c>
      <c r="D1275" s="4"/>
      <c r="E1275" s="4"/>
      <c r="F1275" s="4" t="s">
        <v>1791</v>
      </c>
      <c r="G1275" s="6">
        <v>1.27</v>
      </c>
      <c r="H1275" s="7" t="s">
        <v>1606</v>
      </c>
      <c r="I1275" s="4" t="s">
        <v>2819</v>
      </c>
      <c r="J1275" s="4" t="s">
        <v>1544</v>
      </c>
      <c r="K1275" s="8"/>
      <c r="L1275" s="8" t="s">
        <v>33</v>
      </c>
      <c r="M1275" s="9">
        <f t="shared" si="1"/>
        <v>33</v>
      </c>
    </row>
    <row r="1276" ht="12.75" customHeight="1">
      <c r="A1276" s="4">
        <f t="shared" si="2"/>
        <v>1275</v>
      </c>
      <c r="B1276" s="4" t="s">
        <v>2839</v>
      </c>
      <c r="C1276" s="5" t="s">
        <v>2840</v>
      </c>
      <c r="D1276" s="4"/>
      <c r="E1276" s="4"/>
      <c r="F1276" s="4" t="s">
        <v>1791</v>
      </c>
      <c r="G1276" s="6">
        <v>0.47</v>
      </c>
      <c r="H1276" s="7" t="s">
        <v>1606</v>
      </c>
      <c r="I1276" s="4" t="s">
        <v>2819</v>
      </c>
      <c r="J1276" s="4" t="s">
        <v>1544</v>
      </c>
      <c r="K1276" s="8"/>
      <c r="L1276" s="8" t="s">
        <v>33</v>
      </c>
      <c r="M1276" s="9">
        <f t="shared" si="1"/>
        <v>30</v>
      </c>
    </row>
    <row r="1277" ht="12.75" customHeight="1">
      <c r="A1277" s="4">
        <f t="shared" si="2"/>
        <v>1276</v>
      </c>
      <c r="B1277" s="4" t="s">
        <v>2841</v>
      </c>
      <c r="C1277" s="5" t="s">
        <v>2842</v>
      </c>
      <c r="D1277" s="4"/>
      <c r="E1277" s="4"/>
      <c r="F1277" s="4" t="s">
        <v>1791</v>
      </c>
      <c r="G1277" s="6">
        <v>0.47</v>
      </c>
      <c r="H1277" s="7" t="s">
        <v>1606</v>
      </c>
      <c r="I1277" s="4" t="s">
        <v>2819</v>
      </c>
      <c r="J1277" s="4" t="s">
        <v>1544</v>
      </c>
      <c r="K1277" s="8"/>
      <c r="L1277" s="8" t="s">
        <v>33</v>
      </c>
      <c r="M1277" s="9">
        <f t="shared" si="1"/>
        <v>32</v>
      </c>
    </row>
    <row r="1278" ht="12.75" customHeight="1">
      <c r="A1278" s="4">
        <f t="shared" si="2"/>
        <v>1277</v>
      </c>
      <c r="B1278" s="4" t="s">
        <v>2843</v>
      </c>
      <c r="C1278" s="5" t="s">
        <v>2844</v>
      </c>
      <c r="D1278" s="4"/>
      <c r="E1278" s="4"/>
      <c r="F1278" s="4" t="s">
        <v>22</v>
      </c>
      <c r="G1278" s="6">
        <v>2.98</v>
      </c>
      <c r="H1278" s="7" t="s">
        <v>1606</v>
      </c>
      <c r="I1278" s="4" t="s">
        <v>2819</v>
      </c>
      <c r="J1278" s="4" t="s">
        <v>1544</v>
      </c>
      <c r="K1278" s="8"/>
      <c r="L1278" s="8" t="s">
        <v>33</v>
      </c>
      <c r="M1278" s="9">
        <f t="shared" si="1"/>
        <v>30</v>
      </c>
    </row>
    <row r="1279" ht="12.75" customHeight="1">
      <c r="A1279" s="4">
        <f t="shared" si="2"/>
        <v>1278</v>
      </c>
      <c r="B1279" s="4" t="s">
        <v>2845</v>
      </c>
      <c r="C1279" s="5" t="s">
        <v>2846</v>
      </c>
      <c r="D1279" s="4"/>
      <c r="E1279" s="4"/>
      <c r="F1279" s="4" t="s">
        <v>1791</v>
      </c>
      <c r="G1279" s="6">
        <v>6.76</v>
      </c>
      <c r="H1279" s="7" t="s">
        <v>1606</v>
      </c>
      <c r="I1279" s="4" t="s">
        <v>1704</v>
      </c>
      <c r="J1279" s="4" t="s">
        <v>1856</v>
      </c>
      <c r="K1279" s="8"/>
      <c r="L1279" s="8" t="s">
        <v>33</v>
      </c>
      <c r="M1279" s="9">
        <f t="shared" si="1"/>
        <v>52</v>
      </c>
    </row>
    <row r="1280" ht="12.75" customHeight="1">
      <c r="A1280" s="4">
        <f t="shared" si="2"/>
        <v>1279</v>
      </c>
      <c r="B1280" s="4" t="s">
        <v>2847</v>
      </c>
      <c r="C1280" s="5" t="s">
        <v>2848</v>
      </c>
      <c r="D1280" s="4"/>
      <c r="E1280" s="4"/>
      <c r="F1280" s="4" t="s">
        <v>22</v>
      </c>
      <c r="G1280" s="6">
        <v>1.08</v>
      </c>
      <c r="H1280" s="7" t="s">
        <v>1606</v>
      </c>
      <c r="I1280" s="4" t="s">
        <v>1773</v>
      </c>
      <c r="J1280" s="4" t="s">
        <v>1774</v>
      </c>
      <c r="K1280" s="8"/>
      <c r="L1280" s="8" t="s">
        <v>33</v>
      </c>
      <c r="M1280" s="9">
        <f t="shared" si="1"/>
        <v>54</v>
      </c>
    </row>
    <row r="1281" ht="12.75" customHeight="1">
      <c r="A1281" s="4">
        <f t="shared" si="2"/>
        <v>1280</v>
      </c>
      <c r="B1281" s="4" t="s">
        <v>2849</v>
      </c>
      <c r="C1281" s="5" t="s">
        <v>2850</v>
      </c>
      <c r="D1281" s="4"/>
      <c r="E1281" s="4"/>
      <c r="F1281" s="4" t="s">
        <v>2391</v>
      </c>
      <c r="G1281" s="6">
        <v>5.68</v>
      </c>
      <c r="H1281" s="7" t="s">
        <v>1606</v>
      </c>
      <c r="I1281" s="4" t="s">
        <v>17</v>
      </c>
      <c r="J1281" s="4" t="s">
        <v>2830</v>
      </c>
      <c r="K1281" s="8"/>
      <c r="L1281" s="8" t="s">
        <v>19</v>
      </c>
      <c r="M1281" s="9">
        <f t="shared" si="1"/>
        <v>35</v>
      </c>
    </row>
    <row r="1282" ht="12.75" customHeight="1">
      <c r="A1282" s="4">
        <f t="shared" si="2"/>
        <v>1281</v>
      </c>
      <c r="B1282" s="4" t="s">
        <v>2851</v>
      </c>
      <c r="C1282" s="5" t="s">
        <v>2852</v>
      </c>
      <c r="D1282" s="4"/>
      <c r="E1282" s="4"/>
      <c r="F1282" s="4" t="s">
        <v>2391</v>
      </c>
      <c r="G1282" s="6">
        <v>2.07</v>
      </c>
      <c r="H1282" s="7" t="s">
        <v>1606</v>
      </c>
      <c r="I1282" s="4" t="s">
        <v>17</v>
      </c>
      <c r="J1282" s="4" t="s">
        <v>2830</v>
      </c>
      <c r="K1282" s="8"/>
      <c r="L1282" s="8" t="s">
        <v>19</v>
      </c>
      <c r="M1282" s="9">
        <f t="shared" si="1"/>
        <v>36</v>
      </c>
    </row>
    <row r="1283" ht="12.75" customHeight="1">
      <c r="A1283" s="4">
        <f t="shared" si="2"/>
        <v>1282</v>
      </c>
      <c r="B1283" s="4" t="s">
        <v>2853</v>
      </c>
      <c r="C1283" s="5" t="s">
        <v>2854</v>
      </c>
      <c r="D1283" s="4"/>
      <c r="E1283" s="4"/>
      <c r="F1283" s="4" t="s">
        <v>22</v>
      </c>
      <c r="G1283" s="6">
        <v>0.76</v>
      </c>
      <c r="H1283" s="7" t="s">
        <v>1606</v>
      </c>
      <c r="I1283" s="4" t="s">
        <v>1773</v>
      </c>
      <c r="J1283" s="4" t="s">
        <v>1774</v>
      </c>
      <c r="K1283" s="8"/>
      <c r="L1283" s="8" t="s">
        <v>2855</v>
      </c>
      <c r="M1283" s="9">
        <f t="shared" si="1"/>
        <v>27</v>
      </c>
    </row>
    <row r="1284" ht="12.75" customHeight="1">
      <c r="A1284" s="4">
        <f t="shared" si="2"/>
        <v>1283</v>
      </c>
      <c r="B1284" s="4" t="s">
        <v>2856</v>
      </c>
      <c r="C1284" s="5" t="s">
        <v>2857</v>
      </c>
      <c r="D1284" s="4"/>
      <c r="E1284" s="4"/>
      <c r="F1284" s="4" t="s">
        <v>22</v>
      </c>
      <c r="G1284" s="6">
        <v>1.03</v>
      </c>
      <c r="H1284" s="7" t="s">
        <v>1606</v>
      </c>
      <c r="I1284" s="4" t="s">
        <v>1773</v>
      </c>
      <c r="J1284" s="4" t="s">
        <v>1774</v>
      </c>
      <c r="K1284" s="8"/>
      <c r="L1284" s="8" t="s">
        <v>2855</v>
      </c>
      <c r="M1284" s="9">
        <f t="shared" si="1"/>
        <v>27</v>
      </c>
    </row>
    <row r="1285" ht="12.75" customHeight="1">
      <c r="A1285" s="4">
        <f t="shared" si="2"/>
        <v>1284</v>
      </c>
      <c r="B1285" s="4" t="s">
        <v>2858</v>
      </c>
      <c r="C1285" s="5" t="s">
        <v>2859</v>
      </c>
      <c r="D1285" s="4"/>
      <c r="E1285" s="4"/>
      <c r="F1285" s="4" t="s">
        <v>1791</v>
      </c>
      <c r="G1285" s="6">
        <v>2.16</v>
      </c>
      <c r="H1285" s="7" t="s">
        <v>1606</v>
      </c>
      <c r="I1285" s="4" t="s">
        <v>2860</v>
      </c>
      <c r="J1285" s="4" t="s">
        <v>2861</v>
      </c>
      <c r="K1285" s="8"/>
      <c r="L1285" s="8" t="s">
        <v>33</v>
      </c>
      <c r="M1285" s="9">
        <f t="shared" si="1"/>
        <v>38</v>
      </c>
    </row>
    <row r="1286" ht="12.75" customHeight="1">
      <c r="A1286" s="4">
        <f t="shared" si="2"/>
        <v>1285</v>
      </c>
      <c r="B1286" s="4" t="s">
        <v>2862</v>
      </c>
      <c r="C1286" s="5" t="s">
        <v>2863</v>
      </c>
      <c r="D1286" s="4"/>
      <c r="E1286" s="4"/>
      <c r="F1286" s="4" t="s">
        <v>22</v>
      </c>
      <c r="G1286" s="6">
        <v>0.3</v>
      </c>
      <c r="H1286" s="7" t="s">
        <v>1606</v>
      </c>
      <c r="I1286" s="4" t="s">
        <v>2860</v>
      </c>
      <c r="J1286" s="4" t="s">
        <v>2861</v>
      </c>
      <c r="K1286" s="8"/>
      <c r="L1286" s="8" t="s">
        <v>33</v>
      </c>
      <c r="M1286" s="9">
        <f t="shared" si="1"/>
        <v>20</v>
      </c>
    </row>
    <row r="1287" ht="12.75" customHeight="1">
      <c r="A1287" s="4">
        <f t="shared" si="2"/>
        <v>1286</v>
      </c>
      <c r="B1287" s="4" t="s">
        <v>2864</v>
      </c>
      <c r="C1287" s="5" t="s">
        <v>2865</v>
      </c>
      <c r="D1287" s="4"/>
      <c r="E1287" s="4"/>
      <c r="F1287" s="4" t="s">
        <v>1764</v>
      </c>
      <c r="G1287" s="6">
        <v>1.19</v>
      </c>
      <c r="H1287" s="7" t="s">
        <v>1606</v>
      </c>
      <c r="I1287" s="4" t="s">
        <v>1574</v>
      </c>
      <c r="J1287" s="4" t="s">
        <v>2075</v>
      </c>
      <c r="K1287" s="8"/>
      <c r="L1287" s="8" t="s">
        <v>33</v>
      </c>
      <c r="M1287" s="9">
        <f t="shared" si="1"/>
        <v>57</v>
      </c>
    </row>
    <row r="1288" ht="12.75" customHeight="1">
      <c r="A1288" s="4">
        <f t="shared" si="2"/>
        <v>1287</v>
      </c>
      <c r="B1288" s="4" t="s">
        <v>2866</v>
      </c>
      <c r="C1288" s="5" t="s">
        <v>2867</v>
      </c>
      <c r="D1288" s="4"/>
      <c r="E1288" s="4"/>
      <c r="F1288" s="4" t="s">
        <v>1764</v>
      </c>
      <c r="G1288" s="6">
        <v>0.62</v>
      </c>
      <c r="H1288" s="7" t="s">
        <v>1606</v>
      </c>
      <c r="I1288" s="4" t="s">
        <v>1574</v>
      </c>
      <c r="J1288" s="4" t="s">
        <v>2075</v>
      </c>
      <c r="K1288" s="8"/>
      <c r="L1288" s="8" t="s">
        <v>33</v>
      </c>
      <c r="M1288" s="9">
        <f t="shared" si="1"/>
        <v>57</v>
      </c>
    </row>
    <row r="1289" ht="12.75" customHeight="1">
      <c r="A1289" s="4">
        <f t="shared" si="2"/>
        <v>1288</v>
      </c>
      <c r="B1289" s="4" t="s">
        <v>2868</v>
      </c>
      <c r="C1289" s="5" t="s">
        <v>2869</v>
      </c>
      <c r="D1289" s="4"/>
      <c r="E1289" s="4"/>
      <c r="F1289" s="4" t="s">
        <v>1764</v>
      </c>
      <c r="G1289" s="6">
        <v>1.59</v>
      </c>
      <c r="H1289" s="7" t="s">
        <v>1606</v>
      </c>
      <c r="I1289" s="4" t="s">
        <v>1574</v>
      </c>
      <c r="J1289" s="4" t="s">
        <v>2075</v>
      </c>
      <c r="K1289" s="8"/>
      <c r="L1289" s="8" t="s">
        <v>33</v>
      </c>
      <c r="M1289" s="9">
        <f t="shared" si="1"/>
        <v>57</v>
      </c>
    </row>
    <row r="1290" ht="12.75" customHeight="1">
      <c r="A1290" s="4">
        <f t="shared" si="2"/>
        <v>1289</v>
      </c>
      <c r="B1290" s="4" t="s">
        <v>2870</v>
      </c>
      <c r="C1290" s="5" t="s">
        <v>2871</v>
      </c>
      <c r="D1290" s="4"/>
      <c r="E1290" s="4"/>
      <c r="F1290" s="4" t="s">
        <v>1764</v>
      </c>
      <c r="G1290" s="6">
        <v>1.65</v>
      </c>
      <c r="H1290" s="7" t="s">
        <v>1606</v>
      </c>
      <c r="I1290" s="4" t="s">
        <v>1574</v>
      </c>
      <c r="J1290" s="4" t="s">
        <v>2075</v>
      </c>
      <c r="K1290" s="8"/>
      <c r="L1290" s="8" t="s">
        <v>33</v>
      </c>
      <c r="M1290" s="9">
        <f t="shared" si="1"/>
        <v>57</v>
      </c>
    </row>
    <row r="1291" ht="12.75" customHeight="1">
      <c r="A1291" s="4">
        <f t="shared" si="2"/>
        <v>1290</v>
      </c>
      <c r="B1291" s="4" t="s">
        <v>2872</v>
      </c>
      <c r="C1291" s="5" t="s">
        <v>2873</v>
      </c>
      <c r="D1291" s="4"/>
      <c r="E1291" s="4"/>
      <c r="F1291" s="4" t="s">
        <v>1764</v>
      </c>
      <c r="G1291" s="6">
        <v>1.65</v>
      </c>
      <c r="H1291" s="7" t="s">
        <v>1606</v>
      </c>
      <c r="I1291" s="4" t="s">
        <v>1574</v>
      </c>
      <c r="J1291" s="4" t="s">
        <v>2075</v>
      </c>
      <c r="K1291" s="8"/>
      <c r="L1291" s="8" t="s">
        <v>33</v>
      </c>
      <c r="M1291" s="9">
        <f t="shared" si="1"/>
        <v>57</v>
      </c>
    </row>
    <row r="1292" ht="12.75" customHeight="1">
      <c r="A1292" s="4">
        <f t="shared" si="2"/>
        <v>1291</v>
      </c>
      <c r="B1292" s="4" t="s">
        <v>2874</v>
      </c>
      <c r="C1292" s="5" t="s">
        <v>2875</v>
      </c>
      <c r="D1292" s="4"/>
      <c r="E1292" s="4"/>
      <c r="F1292" s="4" t="s">
        <v>1764</v>
      </c>
      <c r="G1292" s="6">
        <v>3.23</v>
      </c>
      <c r="H1292" s="7" t="s">
        <v>1606</v>
      </c>
      <c r="I1292" s="4" t="s">
        <v>1574</v>
      </c>
      <c r="J1292" s="4" t="s">
        <v>2075</v>
      </c>
      <c r="K1292" s="8"/>
      <c r="L1292" s="8" t="s">
        <v>33</v>
      </c>
      <c r="M1292" s="9">
        <f t="shared" si="1"/>
        <v>57</v>
      </c>
    </row>
    <row r="1293" ht="12.75" customHeight="1">
      <c r="A1293" s="4">
        <f t="shared" si="2"/>
        <v>1292</v>
      </c>
      <c r="B1293" s="4" t="s">
        <v>2876</v>
      </c>
      <c r="C1293" s="5" t="s">
        <v>2877</v>
      </c>
      <c r="D1293" s="4"/>
      <c r="E1293" s="4"/>
      <c r="F1293" s="4" t="s">
        <v>1764</v>
      </c>
      <c r="G1293" s="6">
        <v>3.23</v>
      </c>
      <c r="H1293" s="7" t="s">
        <v>1606</v>
      </c>
      <c r="I1293" s="4" t="s">
        <v>1574</v>
      </c>
      <c r="J1293" s="4" t="s">
        <v>2075</v>
      </c>
      <c r="K1293" s="8"/>
      <c r="L1293" s="8" t="s">
        <v>33</v>
      </c>
      <c r="M1293" s="9">
        <f t="shared" si="1"/>
        <v>57</v>
      </c>
    </row>
    <row r="1294" ht="12.75" customHeight="1">
      <c r="A1294" s="4">
        <f t="shared" si="2"/>
        <v>1293</v>
      </c>
      <c r="B1294" s="4" t="s">
        <v>2878</v>
      </c>
      <c r="C1294" s="5" t="s">
        <v>2879</v>
      </c>
      <c r="D1294" s="4"/>
      <c r="E1294" s="4"/>
      <c r="F1294" s="4" t="s">
        <v>1764</v>
      </c>
      <c r="G1294" s="6">
        <v>3.23</v>
      </c>
      <c r="H1294" s="7" t="s">
        <v>1606</v>
      </c>
      <c r="I1294" s="4" t="s">
        <v>1574</v>
      </c>
      <c r="J1294" s="4" t="s">
        <v>2075</v>
      </c>
      <c r="K1294" s="8"/>
      <c r="L1294" s="8" t="s">
        <v>33</v>
      </c>
      <c r="M1294" s="9">
        <f t="shared" si="1"/>
        <v>58</v>
      </c>
    </row>
    <row r="1295" ht="12.75" customHeight="1">
      <c r="A1295" s="4">
        <f t="shared" si="2"/>
        <v>1294</v>
      </c>
      <c r="B1295" s="4" t="s">
        <v>2880</v>
      </c>
      <c r="C1295" s="5" t="s">
        <v>2881</v>
      </c>
      <c r="D1295" s="4"/>
      <c r="E1295" s="4"/>
      <c r="F1295" s="4" t="s">
        <v>1764</v>
      </c>
      <c r="G1295" s="6">
        <v>2.43</v>
      </c>
      <c r="H1295" s="7" t="s">
        <v>1606</v>
      </c>
      <c r="I1295" s="4" t="s">
        <v>1574</v>
      </c>
      <c r="J1295" s="4" t="s">
        <v>2075</v>
      </c>
      <c r="K1295" s="8"/>
      <c r="L1295" s="8" t="s">
        <v>33</v>
      </c>
      <c r="M1295" s="9">
        <f t="shared" si="1"/>
        <v>57</v>
      </c>
    </row>
    <row r="1296" ht="12.75" customHeight="1">
      <c r="A1296" s="4">
        <f t="shared" si="2"/>
        <v>1295</v>
      </c>
      <c r="B1296" s="4" t="s">
        <v>2882</v>
      </c>
      <c r="C1296" s="5" t="s">
        <v>2883</v>
      </c>
      <c r="D1296" s="4"/>
      <c r="E1296" s="4"/>
      <c r="F1296" s="4" t="s">
        <v>1764</v>
      </c>
      <c r="G1296" s="6">
        <v>10.89</v>
      </c>
      <c r="H1296" s="7" t="s">
        <v>1606</v>
      </c>
      <c r="I1296" s="4" t="s">
        <v>1574</v>
      </c>
      <c r="J1296" s="4" t="s">
        <v>2075</v>
      </c>
      <c r="K1296" s="8"/>
      <c r="L1296" s="8" t="s">
        <v>33</v>
      </c>
      <c r="M1296" s="9">
        <f t="shared" si="1"/>
        <v>57</v>
      </c>
    </row>
    <row r="1297" ht="12.75" customHeight="1">
      <c r="A1297" s="4">
        <f t="shared" si="2"/>
        <v>1296</v>
      </c>
      <c r="B1297" s="4" t="s">
        <v>2884</v>
      </c>
      <c r="C1297" s="5" t="s">
        <v>2885</v>
      </c>
      <c r="D1297" s="4"/>
      <c r="E1297" s="4"/>
      <c r="F1297" s="4" t="s">
        <v>1764</v>
      </c>
      <c r="G1297" s="6">
        <v>3.53</v>
      </c>
      <c r="H1297" s="7" t="s">
        <v>1606</v>
      </c>
      <c r="I1297" s="4" t="s">
        <v>1574</v>
      </c>
      <c r="J1297" s="4" t="s">
        <v>2075</v>
      </c>
      <c r="K1297" s="8"/>
      <c r="L1297" s="8" t="s">
        <v>33</v>
      </c>
      <c r="M1297" s="9">
        <f t="shared" si="1"/>
        <v>57</v>
      </c>
    </row>
    <row r="1298" ht="12.75" customHeight="1">
      <c r="A1298" s="4">
        <f t="shared" si="2"/>
        <v>1297</v>
      </c>
      <c r="B1298" s="4" t="s">
        <v>2886</v>
      </c>
      <c r="C1298" s="5" t="s">
        <v>2887</v>
      </c>
      <c r="D1298" s="4"/>
      <c r="E1298" s="4"/>
      <c r="F1298" s="4" t="s">
        <v>1764</v>
      </c>
      <c r="G1298" s="6">
        <v>3.92</v>
      </c>
      <c r="H1298" s="7" t="s">
        <v>1606</v>
      </c>
      <c r="I1298" s="4" t="s">
        <v>1574</v>
      </c>
      <c r="J1298" s="4" t="s">
        <v>2075</v>
      </c>
      <c r="K1298" s="8"/>
      <c r="L1298" s="8" t="s">
        <v>33</v>
      </c>
      <c r="M1298" s="9">
        <f t="shared" si="1"/>
        <v>57</v>
      </c>
    </row>
    <row r="1299" ht="12.75" customHeight="1">
      <c r="A1299" s="4">
        <f t="shared" si="2"/>
        <v>1298</v>
      </c>
      <c r="B1299" s="4" t="s">
        <v>2888</v>
      </c>
      <c r="C1299" s="5" t="s">
        <v>2889</v>
      </c>
      <c r="D1299" s="4"/>
      <c r="E1299" s="4"/>
      <c r="F1299" s="4" t="s">
        <v>1764</v>
      </c>
      <c r="G1299" s="6">
        <v>4.03</v>
      </c>
      <c r="H1299" s="7" t="s">
        <v>1606</v>
      </c>
      <c r="I1299" s="4" t="s">
        <v>1574</v>
      </c>
      <c r="J1299" s="4" t="s">
        <v>2075</v>
      </c>
      <c r="K1299" s="8"/>
      <c r="L1299" s="8" t="s">
        <v>33</v>
      </c>
      <c r="M1299" s="9">
        <f t="shared" si="1"/>
        <v>57</v>
      </c>
    </row>
    <row r="1300" ht="12.75" customHeight="1">
      <c r="A1300" s="4">
        <f t="shared" si="2"/>
        <v>1299</v>
      </c>
      <c r="B1300" s="4" t="s">
        <v>2890</v>
      </c>
      <c r="C1300" s="5" t="s">
        <v>2891</v>
      </c>
      <c r="D1300" s="4"/>
      <c r="E1300" s="4"/>
      <c r="F1300" s="4" t="s">
        <v>1764</v>
      </c>
      <c r="G1300" s="6">
        <v>4.11</v>
      </c>
      <c r="H1300" s="7" t="s">
        <v>1606</v>
      </c>
      <c r="I1300" s="4" t="s">
        <v>1574</v>
      </c>
      <c r="J1300" s="4" t="s">
        <v>2075</v>
      </c>
      <c r="K1300" s="8"/>
      <c r="L1300" s="8" t="s">
        <v>33</v>
      </c>
      <c r="M1300" s="9">
        <f t="shared" si="1"/>
        <v>57</v>
      </c>
    </row>
    <row r="1301" ht="12.75" customHeight="1">
      <c r="A1301" s="4">
        <f t="shared" si="2"/>
        <v>1300</v>
      </c>
      <c r="B1301" s="4" t="s">
        <v>2892</v>
      </c>
      <c r="C1301" s="5" t="s">
        <v>2893</v>
      </c>
      <c r="D1301" s="4"/>
      <c r="E1301" s="4"/>
      <c r="F1301" s="4" t="s">
        <v>1764</v>
      </c>
      <c r="G1301" s="6">
        <v>6.22</v>
      </c>
      <c r="H1301" s="7" t="s">
        <v>1606</v>
      </c>
      <c r="I1301" s="4" t="s">
        <v>1574</v>
      </c>
      <c r="J1301" s="4" t="s">
        <v>2075</v>
      </c>
      <c r="K1301" s="8"/>
      <c r="L1301" s="8" t="s">
        <v>33</v>
      </c>
      <c r="M1301" s="9">
        <f t="shared" si="1"/>
        <v>57</v>
      </c>
    </row>
    <row r="1302" ht="12.75" customHeight="1">
      <c r="A1302" s="4">
        <f t="shared" si="2"/>
        <v>1301</v>
      </c>
      <c r="B1302" s="4" t="s">
        <v>2894</v>
      </c>
      <c r="C1302" s="5" t="s">
        <v>2895</v>
      </c>
      <c r="D1302" s="4"/>
      <c r="E1302" s="4"/>
      <c r="F1302" s="4" t="s">
        <v>1764</v>
      </c>
      <c r="G1302" s="6">
        <v>6.22</v>
      </c>
      <c r="H1302" s="7" t="s">
        <v>1606</v>
      </c>
      <c r="I1302" s="4" t="s">
        <v>1574</v>
      </c>
      <c r="J1302" s="4" t="s">
        <v>2075</v>
      </c>
      <c r="K1302" s="8"/>
      <c r="L1302" s="8" t="s">
        <v>33</v>
      </c>
      <c r="M1302" s="9">
        <f t="shared" si="1"/>
        <v>58</v>
      </c>
    </row>
    <row r="1303" ht="12.75" customHeight="1">
      <c r="A1303" s="4">
        <f t="shared" si="2"/>
        <v>1302</v>
      </c>
      <c r="B1303" s="4" t="s">
        <v>2896</v>
      </c>
      <c r="C1303" s="5" t="s">
        <v>2897</v>
      </c>
      <c r="D1303" s="4"/>
      <c r="E1303" s="4"/>
      <c r="F1303" s="4" t="s">
        <v>1764</v>
      </c>
      <c r="G1303" s="6">
        <v>6.49</v>
      </c>
      <c r="H1303" s="7" t="s">
        <v>1606</v>
      </c>
      <c r="I1303" s="4" t="s">
        <v>1574</v>
      </c>
      <c r="J1303" s="4" t="s">
        <v>2075</v>
      </c>
      <c r="K1303" s="8"/>
      <c r="L1303" s="8" t="s">
        <v>33</v>
      </c>
      <c r="M1303" s="9">
        <f t="shared" si="1"/>
        <v>57</v>
      </c>
    </row>
    <row r="1304" ht="12.75" customHeight="1">
      <c r="A1304" s="4">
        <f t="shared" si="2"/>
        <v>1303</v>
      </c>
      <c r="B1304" s="4" t="s">
        <v>2898</v>
      </c>
      <c r="C1304" s="5" t="s">
        <v>2899</v>
      </c>
      <c r="D1304" s="4"/>
      <c r="E1304" s="4"/>
      <c r="F1304" s="4" t="s">
        <v>1764</v>
      </c>
      <c r="G1304" s="6">
        <v>6.45</v>
      </c>
      <c r="H1304" s="7" t="s">
        <v>1606</v>
      </c>
      <c r="I1304" s="4" t="s">
        <v>1574</v>
      </c>
      <c r="J1304" s="4" t="s">
        <v>2075</v>
      </c>
      <c r="K1304" s="8"/>
      <c r="L1304" s="8" t="s">
        <v>33</v>
      </c>
      <c r="M1304" s="9">
        <f t="shared" si="1"/>
        <v>57</v>
      </c>
    </row>
    <row r="1305" ht="12.75" customHeight="1">
      <c r="A1305" s="4">
        <f t="shared" si="2"/>
        <v>1304</v>
      </c>
      <c r="B1305" s="4" t="s">
        <v>2900</v>
      </c>
      <c r="C1305" s="5" t="s">
        <v>2901</v>
      </c>
      <c r="D1305" s="4"/>
      <c r="E1305" s="4"/>
      <c r="F1305" s="4" t="s">
        <v>1764</v>
      </c>
      <c r="G1305" s="6">
        <v>6.45</v>
      </c>
      <c r="H1305" s="7" t="s">
        <v>1606</v>
      </c>
      <c r="I1305" s="4" t="s">
        <v>1574</v>
      </c>
      <c r="J1305" s="4" t="s">
        <v>2075</v>
      </c>
      <c r="K1305" s="8"/>
      <c r="L1305" s="8" t="s">
        <v>33</v>
      </c>
      <c r="M1305" s="9">
        <f t="shared" si="1"/>
        <v>57</v>
      </c>
    </row>
    <row r="1306" ht="12.75" customHeight="1">
      <c r="A1306" s="4">
        <f t="shared" si="2"/>
        <v>1305</v>
      </c>
      <c r="B1306" s="4" t="s">
        <v>2902</v>
      </c>
      <c r="C1306" s="5" t="s">
        <v>2903</v>
      </c>
      <c r="D1306" s="4"/>
      <c r="E1306" s="4"/>
      <c r="F1306" s="4" t="s">
        <v>1764</v>
      </c>
      <c r="G1306" s="6">
        <v>7.16</v>
      </c>
      <c r="H1306" s="7" t="s">
        <v>1606</v>
      </c>
      <c r="I1306" s="4" t="s">
        <v>1574</v>
      </c>
      <c r="J1306" s="4" t="s">
        <v>2075</v>
      </c>
      <c r="K1306" s="8"/>
      <c r="L1306" s="8" t="s">
        <v>33</v>
      </c>
      <c r="M1306" s="9">
        <f t="shared" si="1"/>
        <v>57</v>
      </c>
    </row>
    <row r="1307" ht="12.75" customHeight="1">
      <c r="A1307" s="4">
        <f t="shared" si="2"/>
        <v>1306</v>
      </c>
      <c r="B1307" s="4" t="s">
        <v>2904</v>
      </c>
      <c r="C1307" s="5" t="s">
        <v>2905</v>
      </c>
      <c r="D1307" s="4"/>
      <c r="E1307" s="4"/>
      <c r="F1307" s="4" t="s">
        <v>1764</v>
      </c>
      <c r="G1307" s="6">
        <v>7.81</v>
      </c>
      <c r="H1307" s="7" t="s">
        <v>1606</v>
      </c>
      <c r="I1307" s="4" t="s">
        <v>1574</v>
      </c>
      <c r="J1307" s="4" t="s">
        <v>2075</v>
      </c>
      <c r="K1307" s="8"/>
      <c r="L1307" s="8" t="s">
        <v>33</v>
      </c>
      <c r="M1307" s="9">
        <f t="shared" si="1"/>
        <v>57</v>
      </c>
    </row>
    <row r="1308" ht="12.75" customHeight="1">
      <c r="A1308" s="4">
        <f t="shared" si="2"/>
        <v>1307</v>
      </c>
      <c r="B1308" s="4" t="s">
        <v>2906</v>
      </c>
      <c r="C1308" s="5" t="s">
        <v>2907</v>
      </c>
      <c r="D1308" s="4"/>
      <c r="E1308" s="4"/>
      <c r="F1308" s="4" t="s">
        <v>1764</v>
      </c>
      <c r="G1308" s="6">
        <v>4.09</v>
      </c>
      <c r="H1308" s="7" t="s">
        <v>1606</v>
      </c>
      <c r="I1308" s="4" t="s">
        <v>1574</v>
      </c>
      <c r="J1308" s="4" t="s">
        <v>2075</v>
      </c>
      <c r="K1308" s="8"/>
      <c r="L1308" s="8" t="s">
        <v>33</v>
      </c>
      <c r="M1308" s="9">
        <f t="shared" si="1"/>
        <v>57</v>
      </c>
    </row>
    <row r="1309" ht="12.75" customHeight="1">
      <c r="A1309" s="4">
        <f t="shared" si="2"/>
        <v>1308</v>
      </c>
      <c r="B1309" s="4" t="s">
        <v>2908</v>
      </c>
      <c r="C1309" s="5" t="s">
        <v>2909</v>
      </c>
      <c r="D1309" s="4"/>
      <c r="E1309" s="4"/>
      <c r="F1309" s="4" t="s">
        <v>1764</v>
      </c>
      <c r="G1309" s="6">
        <v>11.42</v>
      </c>
      <c r="H1309" s="7" t="s">
        <v>1606</v>
      </c>
      <c r="I1309" s="4" t="s">
        <v>1574</v>
      </c>
      <c r="J1309" s="4" t="s">
        <v>2075</v>
      </c>
      <c r="K1309" s="8"/>
      <c r="L1309" s="8" t="s">
        <v>33</v>
      </c>
      <c r="M1309" s="9">
        <f t="shared" si="1"/>
        <v>57</v>
      </c>
    </row>
    <row r="1310" ht="12.75" customHeight="1">
      <c r="A1310" s="4">
        <f t="shared" si="2"/>
        <v>1309</v>
      </c>
      <c r="B1310" s="4" t="s">
        <v>2910</v>
      </c>
      <c r="C1310" s="5" t="s">
        <v>2911</v>
      </c>
      <c r="D1310" s="4"/>
      <c r="E1310" s="4"/>
      <c r="F1310" s="4" t="s">
        <v>1764</v>
      </c>
      <c r="G1310" s="6">
        <v>14.46</v>
      </c>
      <c r="H1310" s="7" t="s">
        <v>1606</v>
      </c>
      <c r="I1310" s="4" t="s">
        <v>1574</v>
      </c>
      <c r="J1310" s="4" t="s">
        <v>2075</v>
      </c>
      <c r="K1310" s="8"/>
      <c r="L1310" s="8" t="s">
        <v>33</v>
      </c>
      <c r="M1310" s="9">
        <f t="shared" si="1"/>
        <v>57</v>
      </c>
    </row>
    <row r="1311" ht="12.75" customHeight="1">
      <c r="A1311" s="4">
        <f t="shared" si="2"/>
        <v>1310</v>
      </c>
      <c r="B1311" s="4" t="s">
        <v>2912</v>
      </c>
      <c r="C1311" s="5" t="s">
        <v>2913</v>
      </c>
      <c r="D1311" s="4"/>
      <c r="E1311" s="4"/>
      <c r="F1311" s="4" t="s">
        <v>1764</v>
      </c>
      <c r="G1311" s="6">
        <v>15.19</v>
      </c>
      <c r="H1311" s="7" t="s">
        <v>1606</v>
      </c>
      <c r="I1311" s="4" t="s">
        <v>1574</v>
      </c>
      <c r="J1311" s="4" t="s">
        <v>2075</v>
      </c>
      <c r="K1311" s="8"/>
      <c r="L1311" s="8" t="s">
        <v>33</v>
      </c>
      <c r="M1311" s="9">
        <f t="shared" si="1"/>
        <v>57</v>
      </c>
    </row>
    <row r="1312" ht="12.75" customHeight="1">
      <c r="A1312" s="4">
        <f t="shared" si="2"/>
        <v>1311</v>
      </c>
      <c r="B1312" s="4" t="s">
        <v>2914</v>
      </c>
      <c r="C1312" s="5" t="s">
        <v>2915</v>
      </c>
      <c r="D1312" s="4"/>
      <c r="E1312" s="4"/>
      <c r="F1312" s="4" t="s">
        <v>1764</v>
      </c>
      <c r="G1312" s="6">
        <v>16.04</v>
      </c>
      <c r="H1312" s="7" t="s">
        <v>1606</v>
      </c>
      <c r="I1312" s="4" t="s">
        <v>1574</v>
      </c>
      <c r="J1312" s="4" t="s">
        <v>2075</v>
      </c>
      <c r="K1312" s="8"/>
      <c r="L1312" s="8" t="s">
        <v>33</v>
      </c>
      <c r="M1312" s="9">
        <f t="shared" si="1"/>
        <v>57</v>
      </c>
    </row>
    <row r="1313" ht="12.75" customHeight="1">
      <c r="A1313" s="4">
        <f t="shared" si="2"/>
        <v>1312</v>
      </c>
      <c r="B1313" s="4" t="s">
        <v>2916</v>
      </c>
      <c r="C1313" s="5" t="s">
        <v>2917</v>
      </c>
      <c r="D1313" s="4"/>
      <c r="E1313" s="4"/>
      <c r="F1313" s="4" t="s">
        <v>1764</v>
      </c>
      <c r="G1313" s="6">
        <v>20.27</v>
      </c>
      <c r="H1313" s="7" t="s">
        <v>1606</v>
      </c>
      <c r="I1313" s="4" t="s">
        <v>1574</v>
      </c>
      <c r="J1313" s="4" t="s">
        <v>2075</v>
      </c>
      <c r="K1313" s="8"/>
      <c r="L1313" s="8" t="s">
        <v>33</v>
      </c>
      <c r="M1313" s="9">
        <f t="shared" si="1"/>
        <v>57</v>
      </c>
    </row>
    <row r="1314" ht="12.75" customHeight="1">
      <c r="A1314" s="4">
        <f t="shared" si="2"/>
        <v>1313</v>
      </c>
      <c r="B1314" s="4" t="s">
        <v>2918</v>
      </c>
      <c r="C1314" s="5" t="s">
        <v>2919</v>
      </c>
      <c r="D1314" s="4"/>
      <c r="E1314" s="4"/>
      <c r="F1314" s="4" t="s">
        <v>22</v>
      </c>
      <c r="G1314" s="6">
        <v>55.65</v>
      </c>
      <c r="H1314" s="7" t="s">
        <v>1606</v>
      </c>
      <c r="I1314" s="4" t="s">
        <v>2423</v>
      </c>
      <c r="J1314" s="4" t="s">
        <v>2424</v>
      </c>
      <c r="K1314" s="8"/>
      <c r="L1314" s="8" t="s">
        <v>33</v>
      </c>
      <c r="M1314" s="9">
        <f t="shared" si="1"/>
        <v>43</v>
      </c>
    </row>
    <row r="1315" ht="12.75" customHeight="1">
      <c r="A1315" s="4">
        <f t="shared" si="2"/>
        <v>1314</v>
      </c>
      <c r="B1315" s="4" t="s">
        <v>2920</v>
      </c>
      <c r="C1315" s="5" t="s">
        <v>2921</v>
      </c>
      <c r="D1315" s="4"/>
      <c r="E1315" s="4"/>
      <c r="F1315" s="4" t="s">
        <v>22</v>
      </c>
      <c r="G1315" s="6">
        <v>55.65</v>
      </c>
      <c r="H1315" s="7" t="s">
        <v>1606</v>
      </c>
      <c r="I1315" s="4" t="s">
        <v>2423</v>
      </c>
      <c r="J1315" s="4" t="s">
        <v>2424</v>
      </c>
      <c r="K1315" s="8"/>
      <c r="L1315" s="8" t="s">
        <v>33</v>
      </c>
      <c r="M1315" s="9">
        <f t="shared" si="1"/>
        <v>46</v>
      </c>
    </row>
    <row r="1316" ht="12.75" customHeight="1">
      <c r="A1316" s="4">
        <f t="shared" si="2"/>
        <v>1315</v>
      </c>
      <c r="B1316" s="4" t="s">
        <v>2922</v>
      </c>
      <c r="C1316" s="5" t="s">
        <v>2923</v>
      </c>
      <c r="D1316" s="4"/>
      <c r="E1316" s="4"/>
      <c r="F1316" s="4" t="s">
        <v>22</v>
      </c>
      <c r="G1316" s="6">
        <v>186.44</v>
      </c>
      <c r="H1316" s="7" t="s">
        <v>1606</v>
      </c>
      <c r="I1316" s="4" t="s">
        <v>2423</v>
      </c>
      <c r="J1316" s="4" t="s">
        <v>2424</v>
      </c>
      <c r="K1316" s="8"/>
      <c r="L1316" s="8" t="s">
        <v>33</v>
      </c>
      <c r="M1316" s="9">
        <f t="shared" si="1"/>
        <v>43</v>
      </c>
    </row>
    <row r="1317" ht="12.75" customHeight="1">
      <c r="A1317" s="4">
        <f t="shared" si="2"/>
        <v>1316</v>
      </c>
      <c r="B1317" s="4" t="s">
        <v>2924</v>
      </c>
      <c r="C1317" s="5" t="s">
        <v>2925</v>
      </c>
      <c r="D1317" s="4"/>
      <c r="E1317" s="4"/>
      <c r="F1317" s="4" t="s">
        <v>1779</v>
      </c>
      <c r="G1317" s="6">
        <v>1.73</v>
      </c>
      <c r="H1317" s="7" t="s">
        <v>1606</v>
      </c>
      <c r="I1317" s="4" t="s">
        <v>2926</v>
      </c>
      <c r="J1317" s="4" t="s">
        <v>2927</v>
      </c>
      <c r="K1317" s="8"/>
      <c r="L1317" s="8" t="s">
        <v>2928</v>
      </c>
      <c r="M1317" s="9">
        <f t="shared" si="1"/>
        <v>24</v>
      </c>
    </row>
    <row r="1318" ht="12.75" customHeight="1">
      <c r="A1318" s="4">
        <f t="shared" si="2"/>
        <v>1317</v>
      </c>
      <c r="B1318" s="4" t="s">
        <v>2929</v>
      </c>
      <c r="C1318" s="5" t="s">
        <v>2930</v>
      </c>
      <c r="D1318" s="4"/>
      <c r="E1318" s="4"/>
      <c r="F1318" s="4" t="s">
        <v>1779</v>
      </c>
      <c r="G1318" s="6">
        <v>2.15</v>
      </c>
      <c r="H1318" s="7" t="s">
        <v>1606</v>
      </c>
      <c r="I1318" s="4" t="s">
        <v>2926</v>
      </c>
      <c r="J1318" s="4" t="s">
        <v>2927</v>
      </c>
      <c r="K1318" s="8"/>
      <c r="L1318" s="8" t="s">
        <v>2928</v>
      </c>
      <c r="M1318" s="9">
        <f t="shared" si="1"/>
        <v>20</v>
      </c>
    </row>
    <row r="1319" ht="12.75" customHeight="1">
      <c r="A1319" s="4">
        <f t="shared" si="2"/>
        <v>1318</v>
      </c>
      <c r="B1319" s="4" t="s">
        <v>2931</v>
      </c>
      <c r="C1319" s="5" t="s">
        <v>2932</v>
      </c>
      <c r="D1319" s="4"/>
      <c r="E1319" s="4"/>
      <c r="F1319" s="4" t="s">
        <v>1779</v>
      </c>
      <c r="G1319" s="6">
        <v>0.92</v>
      </c>
      <c r="H1319" s="7" t="s">
        <v>1606</v>
      </c>
      <c r="I1319" s="4" t="s">
        <v>2926</v>
      </c>
      <c r="J1319" s="4" t="s">
        <v>2927</v>
      </c>
      <c r="K1319" s="8"/>
      <c r="L1319" s="8" t="s">
        <v>2928</v>
      </c>
      <c r="M1319" s="9">
        <f t="shared" si="1"/>
        <v>24</v>
      </c>
    </row>
    <row r="1320" ht="12.75" customHeight="1">
      <c r="A1320" s="4">
        <f t="shared" si="2"/>
        <v>1319</v>
      </c>
      <c r="B1320" s="4" t="s">
        <v>2933</v>
      </c>
      <c r="C1320" s="5" t="s">
        <v>2934</v>
      </c>
      <c r="D1320" s="4"/>
      <c r="E1320" s="4"/>
      <c r="F1320" s="4" t="s">
        <v>1779</v>
      </c>
      <c r="G1320" s="6">
        <v>1.27</v>
      </c>
      <c r="H1320" s="7" t="s">
        <v>1606</v>
      </c>
      <c r="I1320" s="4" t="s">
        <v>2926</v>
      </c>
      <c r="J1320" s="4" t="s">
        <v>2927</v>
      </c>
      <c r="K1320" s="8"/>
      <c r="L1320" s="8" t="s">
        <v>2928</v>
      </c>
      <c r="M1320" s="9">
        <f t="shared" si="1"/>
        <v>20</v>
      </c>
    </row>
    <row r="1321" ht="12.75" customHeight="1">
      <c r="A1321" s="4">
        <f t="shared" si="2"/>
        <v>1320</v>
      </c>
      <c r="B1321" s="4" t="s">
        <v>2935</v>
      </c>
      <c r="C1321" s="5" t="s">
        <v>2936</v>
      </c>
      <c r="D1321" s="4"/>
      <c r="E1321" s="4"/>
      <c r="F1321" s="4" t="s">
        <v>1779</v>
      </c>
      <c r="G1321" s="6">
        <v>0.89</v>
      </c>
      <c r="H1321" s="7" t="s">
        <v>1606</v>
      </c>
      <c r="I1321" s="4" t="s">
        <v>2926</v>
      </c>
      <c r="J1321" s="4" t="s">
        <v>2927</v>
      </c>
      <c r="K1321" s="8"/>
      <c r="L1321" s="8" t="s">
        <v>2928</v>
      </c>
      <c r="M1321" s="9">
        <f t="shared" si="1"/>
        <v>20</v>
      </c>
    </row>
    <row r="1322" ht="12.75" customHeight="1">
      <c r="A1322" s="4">
        <f t="shared" si="2"/>
        <v>1321</v>
      </c>
      <c r="B1322" s="4" t="s">
        <v>2937</v>
      </c>
      <c r="C1322" s="5" t="s">
        <v>2938</v>
      </c>
      <c r="D1322" s="4"/>
      <c r="E1322" s="4"/>
      <c r="F1322" s="4" t="s">
        <v>1779</v>
      </c>
      <c r="G1322" s="6">
        <v>1.07</v>
      </c>
      <c r="H1322" s="7" t="s">
        <v>1606</v>
      </c>
      <c r="I1322" s="4" t="s">
        <v>2926</v>
      </c>
      <c r="J1322" s="4" t="s">
        <v>2927</v>
      </c>
      <c r="K1322" s="8"/>
      <c r="L1322" s="8" t="s">
        <v>2928</v>
      </c>
      <c r="M1322" s="9">
        <f t="shared" si="1"/>
        <v>20</v>
      </c>
    </row>
    <row r="1323" ht="12.75" customHeight="1">
      <c r="A1323" s="4">
        <f t="shared" si="2"/>
        <v>1322</v>
      </c>
      <c r="B1323" s="4" t="s">
        <v>2939</v>
      </c>
      <c r="C1323" s="5" t="s">
        <v>2940</v>
      </c>
      <c r="D1323" s="4"/>
      <c r="E1323" s="4"/>
      <c r="F1323" s="4" t="s">
        <v>22</v>
      </c>
      <c r="G1323" s="6">
        <v>1.08</v>
      </c>
      <c r="H1323" s="7" t="s">
        <v>1606</v>
      </c>
      <c r="I1323" s="4" t="s">
        <v>2941</v>
      </c>
      <c r="J1323" s="4" t="s">
        <v>2942</v>
      </c>
      <c r="K1323" s="8"/>
      <c r="L1323" s="8" t="s">
        <v>33</v>
      </c>
      <c r="M1323" s="9">
        <f t="shared" si="1"/>
        <v>29</v>
      </c>
    </row>
    <row r="1324" ht="12.75" customHeight="1">
      <c r="A1324" s="4">
        <f t="shared" si="2"/>
        <v>1323</v>
      </c>
      <c r="B1324" s="4" t="s">
        <v>2943</v>
      </c>
      <c r="C1324" s="5" t="s">
        <v>2944</v>
      </c>
      <c r="D1324" s="4"/>
      <c r="E1324" s="4"/>
      <c r="F1324" s="4" t="s">
        <v>1772</v>
      </c>
      <c r="G1324" s="6">
        <v>0.63</v>
      </c>
      <c r="H1324" s="7" t="s">
        <v>1606</v>
      </c>
      <c r="I1324" s="4" t="s">
        <v>1773</v>
      </c>
      <c r="J1324" s="4" t="s">
        <v>1774</v>
      </c>
      <c r="K1324" s="8"/>
      <c r="L1324" s="8" t="s">
        <v>2097</v>
      </c>
      <c r="M1324" s="9">
        <f t="shared" si="1"/>
        <v>34</v>
      </c>
    </row>
    <row r="1325" ht="12.75" customHeight="1">
      <c r="A1325" s="4">
        <f t="shared" si="2"/>
        <v>1324</v>
      </c>
      <c r="B1325" s="4" t="s">
        <v>2945</v>
      </c>
      <c r="C1325" s="5" t="s">
        <v>2946</v>
      </c>
      <c r="D1325" s="4"/>
      <c r="E1325" s="4"/>
      <c r="F1325" s="4" t="s">
        <v>1772</v>
      </c>
      <c r="G1325" s="6">
        <v>0.63</v>
      </c>
      <c r="H1325" s="7" t="s">
        <v>1606</v>
      </c>
      <c r="I1325" s="4" t="s">
        <v>1773</v>
      </c>
      <c r="J1325" s="4" t="s">
        <v>1774</v>
      </c>
      <c r="K1325" s="8"/>
      <c r="L1325" s="8" t="s">
        <v>2097</v>
      </c>
      <c r="M1325" s="9">
        <f t="shared" si="1"/>
        <v>27</v>
      </c>
    </row>
    <row r="1326" ht="12.75" customHeight="1">
      <c r="A1326" s="4">
        <f t="shared" si="2"/>
        <v>1325</v>
      </c>
      <c r="B1326" s="4" t="s">
        <v>2947</v>
      </c>
      <c r="C1326" s="5" t="s">
        <v>2948</v>
      </c>
      <c r="D1326" s="4"/>
      <c r="E1326" s="4"/>
      <c r="F1326" s="4" t="s">
        <v>1772</v>
      </c>
      <c r="G1326" s="6">
        <v>0.19</v>
      </c>
      <c r="H1326" s="7" t="s">
        <v>1606</v>
      </c>
      <c r="I1326" s="4" t="s">
        <v>1773</v>
      </c>
      <c r="J1326" s="4" t="s">
        <v>1774</v>
      </c>
      <c r="K1326" s="8"/>
      <c r="L1326" s="8" t="s">
        <v>2097</v>
      </c>
      <c r="M1326" s="9">
        <f t="shared" si="1"/>
        <v>48</v>
      </c>
    </row>
    <row r="1327" ht="12.75" customHeight="1">
      <c r="A1327" s="4">
        <f t="shared" si="2"/>
        <v>1326</v>
      </c>
      <c r="B1327" s="4" t="s">
        <v>2949</v>
      </c>
      <c r="C1327" s="5" t="s">
        <v>2950</v>
      </c>
      <c r="D1327" s="4"/>
      <c r="E1327" s="4"/>
      <c r="F1327" s="4" t="s">
        <v>1772</v>
      </c>
      <c r="G1327" s="6">
        <v>0.19</v>
      </c>
      <c r="H1327" s="7" t="s">
        <v>1606</v>
      </c>
      <c r="I1327" s="4" t="s">
        <v>1773</v>
      </c>
      <c r="J1327" s="4" t="s">
        <v>1774</v>
      </c>
      <c r="K1327" s="8"/>
      <c r="L1327" s="8" t="s">
        <v>2097</v>
      </c>
      <c r="M1327" s="9">
        <f t="shared" si="1"/>
        <v>24</v>
      </c>
    </row>
    <row r="1328" ht="12.75" customHeight="1">
      <c r="A1328" s="4">
        <f t="shared" si="2"/>
        <v>1327</v>
      </c>
      <c r="B1328" s="4" t="s">
        <v>2951</v>
      </c>
      <c r="C1328" s="5" t="s">
        <v>2952</v>
      </c>
      <c r="D1328" s="4"/>
      <c r="E1328" s="4"/>
      <c r="F1328" s="4" t="s">
        <v>22</v>
      </c>
      <c r="G1328" s="6">
        <v>0.97</v>
      </c>
      <c r="H1328" s="7" t="s">
        <v>1606</v>
      </c>
      <c r="I1328" s="4" t="s">
        <v>1623</v>
      </c>
      <c r="J1328" s="4" t="s">
        <v>2953</v>
      </c>
      <c r="K1328" s="8"/>
      <c r="L1328" s="8" t="s">
        <v>2231</v>
      </c>
      <c r="M1328" s="9">
        <f t="shared" si="1"/>
        <v>53</v>
      </c>
    </row>
    <row r="1329" ht="12.75" customHeight="1">
      <c r="A1329" s="4">
        <f t="shared" si="2"/>
        <v>1328</v>
      </c>
      <c r="B1329" s="4" t="s">
        <v>2954</v>
      </c>
      <c r="C1329" s="5" t="s">
        <v>2955</v>
      </c>
      <c r="D1329" s="4"/>
      <c r="E1329" s="4"/>
      <c r="F1329" s="4" t="s">
        <v>22</v>
      </c>
      <c r="G1329" s="6">
        <v>1.35</v>
      </c>
      <c r="H1329" s="7" t="s">
        <v>1606</v>
      </c>
      <c r="I1329" s="4" t="s">
        <v>1623</v>
      </c>
      <c r="J1329" s="4" t="s">
        <v>2953</v>
      </c>
      <c r="K1329" s="8"/>
      <c r="L1329" s="8" t="s">
        <v>2231</v>
      </c>
      <c r="M1329" s="9">
        <f t="shared" si="1"/>
        <v>53</v>
      </c>
    </row>
    <row r="1330" ht="12.75" customHeight="1">
      <c r="A1330" s="4">
        <f t="shared" si="2"/>
        <v>1329</v>
      </c>
      <c r="B1330" s="4" t="s">
        <v>2956</v>
      </c>
      <c r="C1330" s="5" t="s">
        <v>2957</v>
      </c>
      <c r="D1330" s="4"/>
      <c r="E1330" s="4"/>
      <c r="F1330" s="4" t="s">
        <v>22</v>
      </c>
      <c r="G1330" s="6">
        <v>2.7</v>
      </c>
      <c r="H1330" s="7" t="s">
        <v>1606</v>
      </c>
      <c r="I1330" s="4" t="s">
        <v>1623</v>
      </c>
      <c r="J1330" s="4" t="s">
        <v>2953</v>
      </c>
      <c r="K1330" s="8"/>
      <c r="L1330" s="8" t="s">
        <v>2231</v>
      </c>
      <c r="M1330" s="9">
        <f t="shared" si="1"/>
        <v>53</v>
      </c>
    </row>
    <row r="1331" ht="12.75" customHeight="1">
      <c r="A1331" s="4">
        <f t="shared" si="2"/>
        <v>1330</v>
      </c>
      <c r="B1331" s="4" t="s">
        <v>2958</v>
      </c>
      <c r="C1331" s="5" t="s">
        <v>2959</v>
      </c>
      <c r="D1331" s="4"/>
      <c r="E1331" s="4"/>
      <c r="F1331" s="4" t="s">
        <v>22</v>
      </c>
      <c r="G1331" s="6">
        <v>2.3</v>
      </c>
      <c r="H1331" s="7" t="s">
        <v>1606</v>
      </c>
      <c r="I1331" s="4" t="s">
        <v>1623</v>
      </c>
      <c r="J1331" s="4" t="s">
        <v>2953</v>
      </c>
      <c r="K1331" s="8"/>
      <c r="L1331" s="8" t="s">
        <v>2231</v>
      </c>
      <c r="M1331" s="9">
        <f t="shared" si="1"/>
        <v>53</v>
      </c>
    </row>
    <row r="1332" ht="12.75" customHeight="1">
      <c r="A1332" s="4">
        <f t="shared" si="2"/>
        <v>1331</v>
      </c>
      <c r="B1332" s="4" t="s">
        <v>2960</v>
      </c>
      <c r="C1332" s="5" t="s">
        <v>2961</v>
      </c>
      <c r="D1332" s="4"/>
      <c r="E1332" s="4"/>
      <c r="F1332" s="4" t="s">
        <v>22</v>
      </c>
      <c r="G1332" s="6">
        <v>2.16</v>
      </c>
      <c r="H1332" s="7" t="s">
        <v>1606</v>
      </c>
      <c r="I1332" s="4" t="s">
        <v>1623</v>
      </c>
      <c r="J1332" s="4" t="s">
        <v>2230</v>
      </c>
      <c r="K1332" s="8"/>
      <c r="L1332" s="8" t="s">
        <v>2231</v>
      </c>
      <c r="M1332" s="9">
        <f t="shared" si="1"/>
        <v>49</v>
      </c>
    </row>
    <row r="1333" ht="12.75" customHeight="1">
      <c r="A1333" s="4">
        <f t="shared" si="2"/>
        <v>1332</v>
      </c>
      <c r="B1333" s="4" t="s">
        <v>2962</v>
      </c>
      <c r="C1333" s="5" t="s">
        <v>2963</v>
      </c>
      <c r="D1333" s="4"/>
      <c r="E1333" s="4"/>
      <c r="F1333" s="4" t="s">
        <v>22</v>
      </c>
      <c r="G1333" s="6">
        <v>1.08</v>
      </c>
      <c r="H1333" s="7" t="s">
        <v>1606</v>
      </c>
      <c r="I1333" s="4" t="s">
        <v>1623</v>
      </c>
      <c r="J1333" s="4" t="s">
        <v>2230</v>
      </c>
      <c r="K1333" s="8"/>
      <c r="L1333" s="8" t="s">
        <v>2231</v>
      </c>
      <c r="M1333" s="9">
        <f t="shared" si="1"/>
        <v>49</v>
      </c>
    </row>
    <row r="1334" ht="12.75" customHeight="1">
      <c r="A1334" s="4">
        <f t="shared" si="2"/>
        <v>1333</v>
      </c>
      <c r="B1334" s="4" t="s">
        <v>2964</v>
      </c>
      <c r="C1334" s="5" t="s">
        <v>2965</v>
      </c>
      <c r="D1334" s="4"/>
      <c r="E1334" s="4"/>
      <c r="F1334" s="4" t="s">
        <v>22</v>
      </c>
      <c r="G1334" s="6">
        <v>4.05</v>
      </c>
      <c r="H1334" s="7" t="s">
        <v>1606</v>
      </c>
      <c r="I1334" s="4" t="s">
        <v>1623</v>
      </c>
      <c r="J1334" s="4" t="s">
        <v>2230</v>
      </c>
      <c r="K1334" s="8"/>
      <c r="L1334" s="8" t="s">
        <v>2231</v>
      </c>
      <c r="M1334" s="9">
        <f t="shared" si="1"/>
        <v>49</v>
      </c>
    </row>
    <row r="1335" ht="12.75" customHeight="1">
      <c r="A1335" s="4">
        <f t="shared" si="2"/>
        <v>1334</v>
      </c>
      <c r="B1335" s="4" t="s">
        <v>2966</v>
      </c>
      <c r="C1335" s="5" t="s">
        <v>2967</v>
      </c>
      <c r="D1335" s="4"/>
      <c r="E1335" s="4"/>
      <c r="F1335" s="4" t="s">
        <v>22</v>
      </c>
      <c r="G1335" s="6">
        <v>3.24</v>
      </c>
      <c r="H1335" s="7" t="s">
        <v>1606</v>
      </c>
      <c r="I1335" s="4" t="s">
        <v>1623</v>
      </c>
      <c r="J1335" s="4" t="s">
        <v>2230</v>
      </c>
      <c r="K1335" s="8"/>
      <c r="L1335" s="8" t="s">
        <v>2231</v>
      </c>
      <c r="M1335" s="9">
        <f t="shared" si="1"/>
        <v>49</v>
      </c>
    </row>
    <row r="1336" ht="12.75" customHeight="1">
      <c r="A1336" s="4">
        <f t="shared" si="2"/>
        <v>1335</v>
      </c>
      <c r="B1336" s="4" t="s">
        <v>2968</v>
      </c>
      <c r="C1336" s="5" t="s">
        <v>2969</v>
      </c>
      <c r="D1336" s="4"/>
      <c r="E1336" s="4"/>
      <c r="F1336" s="4" t="s">
        <v>22</v>
      </c>
      <c r="G1336" s="6">
        <v>0.68</v>
      </c>
      <c r="H1336" s="7" t="s">
        <v>1606</v>
      </c>
      <c r="I1336" s="4" t="s">
        <v>1623</v>
      </c>
      <c r="J1336" s="4" t="s">
        <v>2230</v>
      </c>
      <c r="K1336" s="8"/>
      <c r="L1336" s="8" t="s">
        <v>2231</v>
      </c>
      <c r="M1336" s="9">
        <f t="shared" si="1"/>
        <v>51</v>
      </c>
    </row>
    <row r="1337" ht="12.75" customHeight="1">
      <c r="A1337" s="4">
        <f t="shared" si="2"/>
        <v>1336</v>
      </c>
      <c r="B1337" s="4" t="s">
        <v>2970</v>
      </c>
      <c r="C1337" s="5" t="s">
        <v>2971</v>
      </c>
      <c r="D1337" s="4"/>
      <c r="E1337" s="4"/>
      <c r="F1337" s="4" t="s">
        <v>22</v>
      </c>
      <c r="G1337" s="6">
        <v>1.08</v>
      </c>
      <c r="H1337" s="7" t="s">
        <v>1606</v>
      </c>
      <c r="I1337" s="4" t="s">
        <v>1623</v>
      </c>
      <c r="J1337" s="4" t="s">
        <v>2230</v>
      </c>
      <c r="K1337" s="8"/>
      <c r="L1337" s="8" t="s">
        <v>2231</v>
      </c>
      <c r="M1337" s="9">
        <f t="shared" si="1"/>
        <v>51</v>
      </c>
    </row>
    <row r="1338" ht="12.75" customHeight="1">
      <c r="A1338" s="4">
        <f t="shared" si="2"/>
        <v>1337</v>
      </c>
      <c r="B1338" s="4" t="s">
        <v>2972</v>
      </c>
      <c r="C1338" s="5" t="s">
        <v>2973</v>
      </c>
      <c r="D1338" s="4"/>
      <c r="E1338" s="4"/>
      <c r="F1338" s="4" t="s">
        <v>22</v>
      </c>
      <c r="G1338" s="6">
        <v>4.57</v>
      </c>
      <c r="H1338" s="7" t="s">
        <v>1606</v>
      </c>
      <c r="I1338" s="4" t="s">
        <v>1773</v>
      </c>
      <c r="J1338" s="4" t="s">
        <v>2953</v>
      </c>
      <c r="K1338" s="8"/>
      <c r="L1338" s="8" t="s">
        <v>2974</v>
      </c>
      <c r="M1338" s="9">
        <f t="shared" si="1"/>
        <v>46</v>
      </c>
    </row>
    <row r="1339" ht="12.75" customHeight="1">
      <c r="A1339" s="4">
        <f t="shared" si="2"/>
        <v>1338</v>
      </c>
      <c r="B1339" s="4" t="s">
        <v>2975</v>
      </c>
      <c r="C1339" s="5" t="s">
        <v>2976</v>
      </c>
      <c r="D1339" s="4"/>
      <c r="E1339" s="4"/>
      <c r="F1339" s="4" t="s">
        <v>22</v>
      </c>
      <c r="G1339" s="6">
        <v>1.73</v>
      </c>
      <c r="H1339" s="7" t="s">
        <v>1606</v>
      </c>
      <c r="I1339" s="4" t="s">
        <v>1773</v>
      </c>
      <c r="J1339" s="4" t="s">
        <v>2953</v>
      </c>
      <c r="K1339" s="8"/>
      <c r="L1339" s="8" t="s">
        <v>2974</v>
      </c>
      <c r="M1339" s="9">
        <f t="shared" si="1"/>
        <v>48</v>
      </c>
    </row>
    <row r="1340" ht="12.75" customHeight="1">
      <c r="A1340" s="4">
        <f t="shared" si="2"/>
        <v>1339</v>
      </c>
      <c r="B1340" s="4" t="s">
        <v>2977</v>
      </c>
      <c r="C1340" s="5" t="s">
        <v>2978</v>
      </c>
      <c r="D1340" s="4"/>
      <c r="E1340" s="4"/>
      <c r="F1340" s="4" t="s">
        <v>22</v>
      </c>
      <c r="G1340" s="6">
        <v>13.51</v>
      </c>
      <c r="H1340" s="7" t="s">
        <v>1606</v>
      </c>
      <c r="I1340" s="4" t="s">
        <v>1773</v>
      </c>
      <c r="J1340" s="4" t="s">
        <v>2953</v>
      </c>
      <c r="K1340" s="8"/>
      <c r="L1340" s="8" t="s">
        <v>2974</v>
      </c>
      <c r="M1340" s="9">
        <f t="shared" si="1"/>
        <v>46</v>
      </c>
    </row>
    <row r="1341" ht="12.75" customHeight="1">
      <c r="A1341" s="4">
        <f t="shared" si="2"/>
        <v>1340</v>
      </c>
      <c r="B1341" s="4" t="s">
        <v>2979</v>
      </c>
      <c r="C1341" s="5" t="s">
        <v>2980</v>
      </c>
      <c r="D1341" s="4"/>
      <c r="E1341" s="4"/>
      <c r="F1341" s="4" t="s">
        <v>22</v>
      </c>
      <c r="G1341" s="6">
        <v>10.81</v>
      </c>
      <c r="H1341" s="7" t="s">
        <v>1606</v>
      </c>
      <c r="I1341" s="4" t="s">
        <v>1773</v>
      </c>
      <c r="J1341" s="4" t="s">
        <v>2953</v>
      </c>
      <c r="K1341" s="8"/>
      <c r="L1341" s="8" t="s">
        <v>2974</v>
      </c>
      <c r="M1341" s="9">
        <f t="shared" si="1"/>
        <v>46</v>
      </c>
    </row>
    <row r="1342" ht="12.75" customHeight="1">
      <c r="A1342" s="4">
        <f t="shared" si="2"/>
        <v>1341</v>
      </c>
      <c r="B1342" s="4" t="s">
        <v>2981</v>
      </c>
      <c r="C1342" s="5" t="s">
        <v>2982</v>
      </c>
      <c r="D1342" s="4"/>
      <c r="E1342" s="4"/>
      <c r="F1342" s="4" t="s">
        <v>22</v>
      </c>
      <c r="G1342" s="6">
        <v>3.38</v>
      </c>
      <c r="H1342" s="7" t="s">
        <v>1606</v>
      </c>
      <c r="I1342" s="4" t="s">
        <v>1773</v>
      </c>
      <c r="J1342" s="4" t="s">
        <v>2953</v>
      </c>
      <c r="K1342" s="8"/>
      <c r="L1342" s="8" t="s">
        <v>2974</v>
      </c>
      <c r="M1342" s="9">
        <f t="shared" si="1"/>
        <v>48</v>
      </c>
    </row>
    <row r="1343" ht="12.75" customHeight="1">
      <c r="A1343" s="4">
        <f t="shared" si="2"/>
        <v>1342</v>
      </c>
      <c r="B1343" s="4" t="s">
        <v>2983</v>
      </c>
      <c r="C1343" s="5" t="s">
        <v>2984</v>
      </c>
      <c r="D1343" s="4"/>
      <c r="E1343" s="4"/>
      <c r="F1343" s="4" t="s">
        <v>22</v>
      </c>
      <c r="G1343" s="6">
        <v>16.22</v>
      </c>
      <c r="H1343" s="7" t="s">
        <v>1606</v>
      </c>
      <c r="I1343" s="4" t="s">
        <v>1773</v>
      </c>
      <c r="J1343" s="4" t="s">
        <v>2953</v>
      </c>
      <c r="K1343" s="8"/>
      <c r="L1343" s="8" t="s">
        <v>2974</v>
      </c>
      <c r="M1343" s="9">
        <f t="shared" si="1"/>
        <v>46</v>
      </c>
    </row>
    <row r="1344" ht="12.75" customHeight="1">
      <c r="A1344" s="4">
        <f t="shared" si="2"/>
        <v>1343</v>
      </c>
      <c r="B1344" s="4" t="s">
        <v>2985</v>
      </c>
      <c r="C1344" s="5" t="s">
        <v>2986</v>
      </c>
      <c r="D1344" s="4"/>
      <c r="E1344" s="4"/>
      <c r="F1344" s="4" t="s">
        <v>22</v>
      </c>
      <c r="G1344" s="6">
        <v>2.97</v>
      </c>
      <c r="H1344" s="7" t="s">
        <v>1606</v>
      </c>
      <c r="I1344" s="4" t="s">
        <v>1773</v>
      </c>
      <c r="J1344" s="4" t="s">
        <v>2987</v>
      </c>
      <c r="K1344" s="8"/>
      <c r="L1344" s="8" t="s">
        <v>2988</v>
      </c>
      <c r="M1344" s="9">
        <f t="shared" si="1"/>
        <v>53</v>
      </c>
    </row>
    <row r="1345" ht="12.75" customHeight="1">
      <c r="A1345" s="4">
        <f t="shared" si="2"/>
        <v>1344</v>
      </c>
      <c r="B1345" s="4" t="s">
        <v>2989</v>
      </c>
      <c r="C1345" s="5" t="s">
        <v>2990</v>
      </c>
      <c r="D1345" s="4"/>
      <c r="E1345" s="4"/>
      <c r="F1345" s="4" t="s">
        <v>22</v>
      </c>
      <c r="G1345" s="6">
        <v>2.7</v>
      </c>
      <c r="H1345" s="7" t="s">
        <v>1606</v>
      </c>
      <c r="I1345" s="4" t="s">
        <v>1773</v>
      </c>
      <c r="J1345" s="4" t="s">
        <v>2987</v>
      </c>
      <c r="K1345" s="8"/>
      <c r="L1345" s="8" t="s">
        <v>2988</v>
      </c>
      <c r="M1345" s="9">
        <f t="shared" si="1"/>
        <v>53</v>
      </c>
    </row>
    <row r="1346" ht="12.75" customHeight="1">
      <c r="A1346" s="4">
        <f t="shared" si="2"/>
        <v>1345</v>
      </c>
      <c r="B1346" s="4" t="s">
        <v>2991</v>
      </c>
      <c r="C1346" s="5" t="s">
        <v>2992</v>
      </c>
      <c r="D1346" s="4"/>
      <c r="E1346" s="4"/>
      <c r="F1346" s="4" t="s">
        <v>22</v>
      </c>
      <c r="G1346" s="6">
        <v>1.46</v>
      </c>
      <c r="H1346" s="7" t="s">
        <v>1606</v>
      </c>
      <c r="I1346" s="4" t="s">
        <v>1773</v>
      </c>
      <c r="J1346" s="4" t="s">
        <v>2987</v>
      </c>
      <c r="K1346" s="8"/>
      <c r="L1346" s="8" t="s">
        <v>2988</v>
      </c>
      <c r="M1346" s="9">
        <f t="shared" si="1"/>
        <v>50</v>
      </c>
    </row>
    <row r="1347" ht="12.75" customHeight="1">
      <c r="A1347" s="4">
        <f t="shared" si="2"/>
        <v>1346</v>
      </c>
      <c r="B1347" s="4" t="s">
        <v>2993</v>
      </c>
      <c r="C1347" s="5" t="s">
        <v>2994</v>
      </c>
      <c r="D1347" s="4"/>
      <c r="E1347" s="4"/>
      <c r="F1347" s="4" t="s">
        <v>22</v>
      </c>
      <c r="G1347" s="6">
        <v>1.22</v>
      </c>
      <c r="H1347" s="7" t="s">
        <v>1606</v>
      </c>
      <c r="I1347" s="4" t="s">
        <v>1623</v>
      </c>
      <c r="J1347" s="4" t="s">
        <v>2987</v>
      </c>
      <c r="K1347" s="8"/>
      <c r="L1347" s="8" t="s">
        <v>2988</v>
      </c>
      <c r="M1347" s="9">
        <f t="shared" si="1"/>
        <v>49</v>
      </c>
    </row>
    <row r="1348" ht="12.75" customHeight="1">
      <c r="A1348" s="4">
        <f t="shared" si="2"/>
        <v>1347</v>
      </c>
      <c r="B1348" s="4" t="s">
        <v>2995</v>
      </c>
      <c r="C1348" s="5" t="s">
        <v>2996</v>
      </c>
      <c r="D1348" s="4"/>
      <c r="E1348" s="4"/>
      <c r="F1348" s="4" t="s">
        <v>22</v>
      </c>
      <c r="G1348" s="6">
        <v>0.51</v>
      </c>
      <c r="H1348" s="7" t="s">
        <v>1606</v>
      </c>
      <c r="I1348" s="4" t="s">
        <v>1623</v>
      </c>
      <c r="J1348" s="4" t="s">
        <v>2987</v>
      </c>
      <c r="K1348" s="8"/>
      <c r="L1348" s="8" t="s">
        <v>2988</v>
      </c>
      <c r="M1348" s="9">
        <f t="shared" si="1"/>
        <v>52</v>
      </c>
    </row>
    <row r="1349" ht="12.75" customHeight="1">
      <c r="A1349" s="4">
        <f t="shared" si="2"/>
        <v>1348</v>
      </c>
      <c r="B1349" s="4" t="s">
        <v>2997</v>
      </c>
      <c r="C1349" s="5" t="s">
        <v>2998</v>
      </c>
      <c r="D1349" s="4"/>
      <c r="E1349" s="4"/>
      <c r="F1349" s="4" t="s">
        <v>22</v>
      </c>
      <c r="G1349" s="21">
        <v>0.51</v>
      </c>
      <c r="H1349" s="7" t="s">
        <v>1606</v>
      </c>
      <c r="I1349" s="4" t="s">
        <v>1623</v>
      </c>
      <c r="J1349" s="4" t="s">
        <v>2987</v>
      </c>
      <c r="K1349" s="8"/>
      <c r="L1349" s="8" t="s">
        <v>2988</v>
      </c>
      <c r="M1349" s="9">
        <f t="shared" si="1"/>
        <v>51</v>
      </c>
    </row>
    <row r="1350" ht="12.75" customHeight="1">
      <c r="A1350" s="4">
        <f t="shared" si="2"/>
        <v>1349</v>
      </c>
      <c r="B1350" s="4" t="s">
        <v>2999</v>
      </c>
      <c r="C1350" s="5" t="s">
        <v>3000</v>
      </c>
      <c r="D1350" s="4"/>
      <c r="E1350" s="4"/>
      <c r="F1350" s="4" t="s">
        <v>22</v>
      </c>
      <c r="G1350" s="6">
        <v>4.05</v>
      </c>
      <c r="H1350" s="7" t="s">
        <v>1606</v>
      </c>
      <c r="I1350" s="4" t="s">
        <v>1623</v>
      </c>
      <c r="J1350" s="4" t="s">
        <v>2987</v>
      </c>
      <c r="K1350" s="8"/>
      <c r="L1350" s="8" t="s">
        <v>2988</v>
      </c>
      <c r="M1350" s="9">
        <f t="shared" si="1"/>
        <v>49</v>
      </c>
    </row>
    <row r="1351" ht="12.75" customHeight="1">
      <c r="A1351" s="4">
        <f t="shared" si="2"/>
        <v>1350</v>
      </c>
      <c r="B1351" s="4" t="s">
        <v>3001</v>
      </c>
      <c r="C1351" s="5" t="s">
        <v>3002</v>
      </c>
      <c r="D1351" s="4"/>
      <c r="E1351" s="4"/>
      <c r="F1351" s="4" t="s">
        <v>22</v>
      </c>
      <c r="G1351" s="6">
        <v>4.46</v>
      </c>
      <c r="H1351" s="7" t="s">
        <v>1606</v>
      </c>
      <c r="I1351" s="4" t="s">
        <v>1623</v>
      </c>
      <c r="J1351" s="4" t="s">
        <v>2987</v>
      </c>
      <c r="K1351" s="8"/>
      <c r="L1351" s="8" t="s">
        <v>2988</v>
      </c>
      <c r="M1351" s="9">
        <f t="shared" si="1"/>
        <v>49</v>
      </c>
    </row>
    <row r="1352" ht="12.75" customHeight="1">
      <c r="A1352" s="4">
        <f t="shared" si="2"/>
        <v>1351</v>
      </c>
      <c r="B1352" s="4" t="s">
        <v>3003</v>
      </c>
      <c r="C1352" s="5" t="s">
        <v>3004</v>
      </c>
      <c r="D1352" s="4"/>
      <c r="E1352" s="4"/>
      <c r="F1352" s="4" t="s">
        <v>22</v>
      </c>
      <c r="G1352" s="6">
        <v>0.81</v>
      </c>
      <c r="H1352" s="7" t="s">
        <v>1606</v>
      </c>
      <c r="I1352" s="4" t="s">
        <v>1623</v>
      </c>
      <c r="J1352" s="4" t="s">
        <v>2987</v>
      </c>
      <c r="K1352" s="8"/>
      <c r="L1352" s="8" t="s">
        <v>2988</v>
      </c>
      <c r="M1352" s="9">
        <f t="shared" si="1"/>
        <v>51</v>
      </c>
    </row>
    <row r="1353" ht="12.75" customHeight="1">
      <c r="A1353" s="4">
        <f t="shared" si="2"/>
        <v>1352</v>
      </c>
      <c r="B1353" s="4" t="s">
        <v>3005</v>
      </c>
      <c r="C1353" s="5" t="s">
        <v>3006</v>
      </c>
      <c r="D1353" s="4"/>
      <c r="E1353" s="4"/>
      <c r="F1353" s="4" t="s">
        <v>22</v>
      </c>
      <c r="G1353" s="6">
        <v>0.81</v>
      </c>
      <c r="H1353" s="7" t="s">
        <v>1606</v>
      </c>
      <c r="I1353" s="4" t="s">
        <v>1623</v>
      </c>
      <c r="J1353" s="4" t="s">
        <v>2987</v>
      </c>
      <c r="K1353" s="8"/>
      <c r="L1353" s="8" t="s">
        <v>2988</v>
      </c>
      <c r="M1353" s="9">
        <f t="shared" si="1"/>
        <v>51</v>
      </c>
    </row>
    <row r="1354" ht="12.75" customHeight="1">
      <c r="A1354" s="4">
        <f t="shared" si="2"/>
        <v>1353</v>
      </c>
      <c r="B1354" s="4" t="s">
        <v>3007</v>
      </c>
      <c r="C1354" s="5" t="s">
        <v>3008</v>
      </c>
      <c r="D1354" s="4"/>
      <c r="E1354" s="4"/>
      <c r="F1354" s="4" t="s">
        <v>371</v>
      </c>
      <c r="G1354" s="6">
        <v>1.62</v>
      </c>
      <c r="H1354" s="7" t="s">
        <v>1606</v>
      </c>
      <c r="I1354" s="4" t="s">
        <v>1623</v>
      </c>
      <c r="J1354" s="4" t="s">
        <v>2230</v>
      </c>
      <c r="K1354" s="8"/>
      <c r="L1354" s="8" t="s">
        <v>2231</v>
      </c>
      <c r="M1354" s="9">
        <f t="shared" si="1"/>
        <v>49</v>
      </c>
    </row>
    <row r="1355" ht="12.75" customHeight="1">
      <c r="A1355" s="4">
        <f t="shared" si="2"/>
        <v>1354</v>
      </c>
      <c r="B1355" s="4" t="s">
        <v>3009</v>
      </c>
      <c r="C1355" s="5" t="s">
        <v>3010</v>
      </c>
      <c r="D1355" s="4"/>
      <c r="E1355" s="4"/>
      <c r="F1355" s="4" t="s">
        <v>371</v>
      </c>
      <c r="G1355" s="6">
        <v>2.84</v>
      </c>
      <c r="H1355" s="7" t="s">
        <v>1606</v>
      </c>
      <c r="I1355" s="4" t="s">
        <v>1623</v>
      </c>
      <c r="J1355" s="4" t="s">
        <v>2230</v>
      </c>
      <c r="K1355" s="8"/>
      <c r="L1355" s="8" t="s">
        <v>2231</v>
      </c>
      <c r="M1355" s="9">
        <f t="shared" si="1"/>
        <v>49</v>
      </c>
    </row>
    <row r="1356" ht="12.75" customHeight="1">
      <c r="A1356" s="4">
        <f t="shared" si="2"/>
        <v>1355</v>
      </c>
      <c r="B1356" s="4" t="s">
        <v>3011</v>
      </c>
      <c r="C1356" s="5" t="s">
        <v>3012</v>
      </c>
      <c r="D1356" s="4"/>
      <c r="E1356" s="4"/>
      <c r="F1356" s="4" t="s">
        <v>371</v>
      </c>
      <c r="G1356" s="6">
        <v>1.49</v>
      </c>
      <c r="H1356" s="7" t="s">
        <v>1606</v>
      </c>
      <c r="I1356" s="4" t="s">
        <v>1623</v>
      </c>
      <c r="J1356" s="4" t="s">
        <v>2230</v>
      </c>
      <c r="K1356" s="8"/>
      <c r="L1356" s="8" t="s">
        <v>2231</v>
      </c>
      <c r="M1356" s="9">
        <f t="shared" si="1"/>
        <v>46</v>
      </c>
    </row>
    <row r="1357" ht="12.75" customHeight="1">
      <c r="A1357" s="4">
        <f t="shared" si="2"/>
        <v>1356</v>
      </c>
      <c r="B1357" s="4" t="s">
        <v>3013</v>
      </c>
      <c r="C1357" s="5" t="s">
        <v>3014</v>
      </c>
      <c r="D1357" s="4"/>
      <c r="E1357" s="4"/>
      <c r="F1357" s="4" t="s">
        <v>371</v>
      </c>
      <c r="G1357" s="6">
        <v>2.57</v>
      </c>
      <c r="H1357" s="7" t="s">
        <v>1606</v>
      </c>
      <c r="I1357" s="4" t="s">
        <v>1623</v>
      </c>
      <c r="J1357" s="4" t="s">
        <v>2230</v>
      </c>
      <c r="K1357" s="8"/>
      <c r="L1357" s="8" t="s">
        <v>2231</v>
      </c>
      <c r="M1357" s="9">
        <f t="shared" si="1"/>
        <v>45</v>
      </c>
    </row>
    <row r="1358" ht="12.75" customHeight="1">
      <c r="A1358" s="4">
        <f t="shared" si="2"/>
        <v>1357</v>
      </c>
      <c r="B1358" s="4" t="s">
        <v>3015</v>
      </c>
      <c r="C1358" s="5" t="s">
        <v>3016</v>
      </c>
      <c r="D1358" s="4"/>
      <c r="E1358" s="4"/>
      <c r="F1358" s="4" t="s">
        <v>371</v>
      </c>
      <c r="G1358" s="6">
        <v>0.68</v>
      </c>
      <c r="H1358" s="7" t="s">
        <v>1606</v>
      </c>
      <c r="I1358" s="4" t="s">
        <v>1623</v>
      </c>
      <c r="J1358" s="4" t="s">
        <v>2230</v>
      </c>
      <c r="K1358" s="8"/>
      <c r="L1358" s="8" t="s">
        <v>2231</v>
      </c>
      <c r="M1358" s="9">
        <f t="shared" si="1"/>
        <v>48</v>
      </c>
    </row>
    <row r="1359" ht="12.75" customHeight="1">
      <c r="A1359" s="4">
        <f t="shared" si="2"/>
        <v>1358</v>
      </c>
      <c r="B1359" s="4" t="s">
        <v>3017</v>
      </c>
      <c r="C1359" s="5" t="s">
        <v>3018</v>
      </c>
      <c r="D1359" s="4"/>
      <c r="E1359" s="4"/>
      <c r="F1359" s="4" t="s">
        <v>371</v>
      </c>
      <c r="G1359" s="6">
        <v>0.7</v>
      </c>
      <c r="H1359" s="7" t="s">
        <v>1606</v>
      </c>
      <c r="I1359" s="4" t="s">
        <v>1623</v>
      </c>
      <c r="J1359" s="4" t="s">
        <v>2230</v>
      </c>
      <c r="K1359" s="8"/>
      <c r="L1359" s="8" t="s">
        <v>2231</v>
      </c>
      <c r="M1359" s="9">
        <f t="shared" si="1"/>
        <v>47</v>
      </c>
    </row>
    <row r="1360" ht="12.75" customHeight="1">
      <c r="A1360" s="4">
        <f t="shared" si="2"/>
        <v>1359</v>
      </c>
      <c r="B1360" s="4" t="s">
        <v>3019</v>
      </c>
      <c r="C1360" s="5" t="s">
        <v>3020</v>
      </c>
      <c r="D1360" s="4"/>
      <c r="E1360" s="4"/>
      <c r="F1360" s="4" t="s">
        <v>371</v>
      </c>
      <c r="G1360" s="6">
        <v>4.19</v>
      </c>
      <c r="H1360" s="7" t="s">
        <v>1606</v>
      </c>
      <c r="I1360" s="4" t="s">
        <v>1623</v>
      </c>
      <c r="J1360" s="4" t="s">
        <v>2230</v>
      </c>
      <c r="K1360" s="8"/>
      <c r="L1360" s="8" t="s">
        <v>2231</v>
      </c>
      <c r="M1360" s="9">
        <f t="shared" si="1"/>
        <v>45</v>
      </c>
    </row>
    <row r="1361" ht="12.75" customHeight="1">
      <c r="A1361" s="4">
        <f t="shared" si="2"/>
        <v>1360</v>
      </c>
      <c r="B1361" s="4" t="s">
        <v>3021</v>
      </c>
      <c r="C1361" s="5" t="s">
        <v>3022</v>
      </c>
      <c r="D1361" s="4"/>
      <c r="E1361" s="4"/>
      <c r="F1361" s="4" t="s">
        <v>371</v>
      </c>
      <c r="G1361" s="6">
        <v>4.73</v>
      </c>
      <c r="H1361" s="7" t="s">
        <v>1606</v>
      </c>
      <c r="I1361" s="4" t="s">
        <v>1623</v>
      </c>
      <c r="J1361" s="4" t="s">
        <v>2230</v>
      </c>
      <c r="K1361" s="8"/>
      <c r="L1361" s="8" t="s">
        <v>2231</v>
      </c>
      <c r="M1361" s="9">
        <f t="shared" si="1"/>
        <v>45</v>
      </c>
    </row>
    <row r="1362" ht="12.75" customHeight="1">
      <c r="A1362" s="4">
        <f t="shared" si="2"/>
        <v>1361</v>
      </c>
      <c r="B1362" s="4" t="s">
        <v>3023</v>
      </c>
      <c r="C1362" s="5" t="s">
        <v>3024</v>
      </c>
      <c r="D1362" s="4"/>
      <c r="E1362" s="4"/>
      <c r="F1362" s="4" t="s">
        <v>371</v>
      </c>
      <c r="G1362" s="6">
        <v>1.22</v>
      </c>
      <c r="H1362" s="7" t="s">
        <v>1606</v>
      </c>
      <c r="I1362" s="4" t="s">
        <v>1623</v>
      </c>
      <c r="J1362" s="4" t="s">
        <v>2230</v>
      </c>
      <c r="K1362" s="8"/>
      <c r="L1362" s="8" t="s">
        <v>2231</v>
      </c>
      <c r="M1362" s="9">
        <f t="shared" si="1"/>
        <v>47</v>
      </c>
    </row>
    <row r="1363" ht="12.75" customHeight="1">
      <c r="A1363" s="4">
        <f t="shared" si="2"/>
        <v>1362</v>
      </c>
      <c r="B1363" s="4" t="s">
        <v>3025</v>
      </c>
      <c r="C1363" s="5" t="s">
        <v>3026</v>
      </c>
      <c r="D1363" s="4"/>
      <c r="E1363" s="4"/>
      <c r="F1363" s="4" t="s">
        <v>371</v>
      </c>
      <c r="G1363" s="6">
        <v>1.89</v>
      </c>
      <c r="H1363" s="7" t="s">
        <v>1606</v>
      </c>
      <c r="I1363" s="4" t="s">
        <v>1623</v>
      </c>
      <c r="J1363" s="4" t="s">
        <v>2230</v>
      </c>
      <c r="K1363" s="8"/>
      <c r="L1363" s="8" t="s">
        <v>2231</v>
      </c>
      <c r="M1363" s="9">
        <f t="shared" si="1"/>
        <v>47</v>
      </c>
    </row>
    <row r="1364" ht="12.75" customHeight="1">
      <c r="A1364" s="4">
        <f t="shared" si="2"/>
        <v>1363</v>
      </c>
      <c r="B1364" s="4" t="s">
        <v>3027</v>
      </c>
      <c r="C1364" s="5" t="s">
        <v>3028</v>
      </c>
      <c r="D1364" s="4"/>
      <c r="E1364" s="4"/>
      <c r="F1364" s="4" t="s">
        <v>22</v>
      </c>
      <c r="G1364" s="6">
        <v>1.32</v>
      </c>
      <c r="H1364" s="7" t="s">
        <v>1606</v>
      </c>
      <c r="I1364" s="4" t="s">
        <v>1623</v>
      </c>
      <c r="J1364" s="4" t="s">
        <v>3029</v>
      </c>
      <c r="K1364" s="8"/>
      <c r="L1364" s="8" t="s">
        <v>2623</v>
      </c>
      <c r="M1364" s="9">
        <f t="shared" si="1"/>
        <v>24</v>
      </c>
    </row>
    <row r="1365" ht="12.75" customHeight="1">
      <c r="A1365" s="4">
        <f t="shared" si="2"/>
        <v>1364</v>
      </c>
      <c r="B1365" s="4" t="s">
        <v>3030</v>
      </c>
      <c r="C1365" s="5" t="s">
        <v>3031</v>
      </c>
      <c r="D1365" s="4"/>
      <c r="E1365" s="4"/>
      <c r="F1365" s="4" t="s">
        <v>22</v>
      </c>
      <c r="G1365" s="6">
        <v>2.57</v>
      </c>
      <c r="H1365" s="7" t="s">
        <v>1606</v>
      </c>
      <c r="I1365" s="4" t="s">
        <v>1623</v>
      </c>
      <c r="J1365" s="4" t="s">
        <v>3029</v>
      </c>
      <c r="K1365" s="8"/>
      <c r="L1365" s="8" t="s">
        <v>2623</v>
      </c>
      <c r="M1365" s="9">
        <f t="shared" si="1"/>
        <v>24</v>
      </c>
    </row>
    <row r="1366" ht="12.75" customHeight="1">
      <c r="A1366" s="4">
        <f t="shared" si="2"/>
        <v>1365</v>
      </c>
      <c r="B1366" s="4" t="s">
        <v>3032</v>
      </c>
      <c r="C1366" s="5" t="s">
        <v>3033</v>
      </c>
      <c r="D1366" s="4"/>
      <c r="E1366" s="4"/>
      <c r="F1366" s="4" t="s">
        <v>22</v>
      </c>
      <c r="G1366" s="6">
        <v>1.22</v>
      </c>
      <c r="H1366" s="7" t="s">
        <v>1606</v>
      </c>
      <c r="I1366" s="4" t="s">
        <v>1623</v>
      </c>
      <c r="J1366" s="4" t="s">
        <v>3029</v>
      </c>
      <c r="K1366" s="8"/>
      <c r="L1366" s="8" t="s">
        <v>2623</v>
      </c>
      <c r="M1366" s="9">
        <f t="shared" si="1"/>
        <v>20</v>
      </c>
    </row>
    <row r="1367" ht="12.75" customHeight="1">
      <c r="A1367" s="4">
        <f t="shared" si="2"/>
        <v>1366</v>
      </c>
      <c r="B1367" s="4" t="s">
        <v>3034</v>
      </c>
      <c r="C1367" s="5" t="s">
        <v>3035</v>
      </c>
      <c r="D1367" s="4"/>
      <c r="E1367" s="4"/>
      <c r="F1367" s="4" t="s">
        <v>22</v>
      </c>
      <c r="G1367" s="6">
        <v>1.41</v>
      </c>
      <c r="H1367" s="7" t="s">
        <v>1606</v>
      </c>
      <c r="I1367" s="4" t="s">
        <v>1623</v>
      </c>
      <c r="J1367" s="4" t="s">
        <v>3029</v>
      </c>
      <c r="K1367" s="8"/>
      <c r="L1367" s="8" t="s">
        <v>2623</v>
      </c>
      <c r="M1367" s="9">
        <f t="shared" si="1"/>
        <v>20</v>
      </c>
    </row>
    <row r="1368" ht="12.75" customHeight="1">
      <c r="A1368" s="4">
        <f t="shared" si="2"/>
        <v>1367</v>
      </c>
      <c r="B1368" s="4" t="s">
        <v>3036</v>
      </c>
      <c r="C1368" s="5" t="s">
        <v>3037</v>
      </c>
      <c r="D1368" s="4"/>
      <c r="E1368" s="4"/>
      <c r="F1368" s="4" t="s">
        <v>22</v>
      </c>
      <c r="G1368" s="6">
        <v>0.7</v>
      </c>
      <c r="H1368" s="7" t="s">
        <v>1606</v>
      </c>
      <c r="I1368" s="4" t="s">
        <v>1623</v>
      </c>
      <c r="J1368" s="4" t="s">
        <v>3029</v>
      </c>
      <c r="K1368" s="8"/>
      <c r="L1368" s="8" t="s">
        <v>2623</v>
      </c>
      <c r="M1368" s="9">
        <f t="shared" si="1"/>
        <v>22</v>
      </c>
    </row>
    <row r="1369" ht="12.75" customHeight="1">
      <c r="A1369" s="4">
        <f t="shared" si="2"/>
        <v>1368</v>
      </c>
      <c r="B1369" s="4" t="s">
        <v>3038</v>
      </c>
      <c r="C1369" s="5" t="s">
        <v>3039</v>
      </c>
      <c r="D1369" s="4"/>
      <c r="E1369" s="4"/>
      <c r="F1369" s="4" t="s">
        <v>22</v>
      </c>
      <c r="G1369" s="6">
        <v>0.62</v>
      </c>
      <c r="H1369" s="7" t="s">
        <v>1606</v>
      </c>
      <c r="I1369" s="4" t="s">
        <v>1623</v>
      </c>
      <c r="J1369" s="4" t="s">
        <v>3029</v>
      </c>
      <c r="K1369" s="8"/>
      <c r="L1369" s="8" t="s">
        <v>2623</v>
      </c>
      <c r="M1369" s="9">
        <f t="shared" si="1"/>
        <v>22</v>
      </c>
    </row>
    <row r="1370" ht="12.75" customHeight="1">
      <c r="A1370" s="4">
        <f t="shared" si="2"/>
        <v>1369</v>
      </c>
      <c r="B1370" s="4" t="s">
        <v>3040</v>
      </c>
      <c r="C1370" s="5" t="s">
        <v>3041</v>
      </c>
      <c r="D1370" s="4"/>
      <c r="E1370" s="4"/>
      <c r="F1370" s="4" t="s">
        <v>22</v>
      </c>
      <c r="G1370" s="6">
        <v>0.59</v>
      </c>
      <c r="H1370" s="7" t="s">
        <v>1606</v>
      </c>
      <c r="I1370" s="4" t="s">
        <v>1623</v>
      </c>
      <c r="J1370" s="4" t="s">
        <v>3029</v>
      </c>
      <c r="K1370" s="8"/>
      <c r="L1370" s="8" t="s">
        <v>2623</v>
      </c>
      <c r="M1370" s="9">
        <f t="shared" si="1"/>
        <v>20</v>
      </c>
    </row>
    <row r="1371" ht="12.75" customHeight="1">
      <c r="A1371" s="4">
        <f t="shared" si="2"/>
        <v>1370</v>
      </c>
      <c r="B1371" s="4" t="s">
        <v>3042</v>
      </c>
      <c r="C1371" s="5" t="s">
        <v>3043</v>
      </c>
      <c r="D1371" s="4"/>
      <c r="E1371" s="4"/>
      <c r="F1371" s="4" t="s">
        <v>22</v>
      </c>
      <c r="G1371" s="6">
        <v>0.62</v>
      </c>
      <c r="H1371" s="7" t="s">
        <v>1606</v>
      </c>
      <c r="I1371" s="4" t="s">
        <v>1623</v>
      </c>
      <c r="J1371" s="4" t="s">
        <v>3029</v>
      </c>
      <c r="K1371" s="8"/>
      <c r="L1371" s="8" t="s">
        <v>2623</v>
      </c>
      <c r="M1371" s="9">
        <f t="shared" si="1"/>
        <v>20</v>
      </c>
    </row>
    <row r="1372" ht="12.75" customHeight="1">
      <c r="A1372" s="4">
        <f t="shared" si="2"/>
        <v>1371</v>
      </c>
      <c r="B1372" s="4" t="s">
        <v>3044</v>
      </c>
      <c r="C1372" s="5" t="s">
        <v>3045</v>
      </c>
      <c r="D1372" s="4"/>
      <c r="E1372" s="4"/>
      <c r="F1372" s="4" t="s">
        <v>22</v>
      </c>
      <c r="G1372" s="6">
        <v>1.86</v>
      </c>
      <c r="H1372" s="7" t="s">
        <v>1606</v>
      </c>
      <c r="I1372" s="4" t="s">
        <v>1623</v>
      </c>
      <c r="J1372" s="4" t="s">
        <v>3029</v>
      </c>
      <c r="K1372" s="8"/>
      <c r="L1372" s="8" t="s">
        <v>2623</v>
      </c>
      <c r="M1372" s="9">
        <f t="shared" si="1"/>
        <v>20</v>
      </c>
    </row>
    <row r="1373" ht="12.75" customHeight="1">
      <c r="A1373" s="4">
        <f t="shared" si="2"/>
        <v>1372</v>
      </c>
      <c r="B1373" s="4" t="s">
        <v>3046</v>
      </c>
      <c r="C1373" s="5" t="s">
        <v>3047</v>
      </c>
      <c r="D1373" s="4"/>
      <c r="E1373" s="4"/>
      <c r="F1373" s="4" t="s">
        <v>22</v>
      </c>
      <c r="G1373" s="6">
        <v>2.03</v>
      </c>
      <c r="H1373" s="7" t="s">
        <v>1606</v>
      </c>
      <c r="I1373" s="4" t="s">
        <v>1623</v>
      </c>
      <c r="J1373" s="4" t="s">
        <v>3029</v>
      </c>
      <c r="K1373" s="8"/>
      <c r="L1373" s="8" t="s">
        <v>2623</v>
      </c>
      <c r="M1373" s="9">
        <f t="shared" si="1"/>
        <v>20</v>
      </c>
    </row>
    <row r="1374" ht="12.75" customHeight="1">
      <c r="A1374" s="4">
        <f t="shared" si="2"/>
        <v>1373</v>
      </c>
      <c r="B1374" s="4" t="s">
        <v>3048</v>
      </c>
      <c r="C1374" s="5" t="s">
        <v>3049</v>
      </c>
      <c r="D1374" s="4"/>
      <c r="E1374" s="4"/>
      <c r="F1374" s="4" t="s">
        <v>22</v>
      </c>
      <c r="G1374" s="6">
        <v>1.32</v>
      </c>
      <c r="H1374" s="7" t="s">
        <v>1606</v>
      </c>
      <c r="I1374" s="4" t="s">
        <v>1623</v>
      </c>
      <c r="J1374" s="4" t="s">
        <v>3029</v>
      </c>
      <c r="K1374" s="8"/>
      <c r="L1374" s="8" t="s">
        <v>2623</v>
      </c>
      <c r="M1374" s="9">
        <f t="shared" si="1"/>
        <v>22</v>
      </c>
    </row>
    <row r="1375" ht="12.75" customHeight="1">
      <c r="A1375" s="4">
        <f t="shared" si="2"/>
        <v>1374</v>
      </c>
      <c r="B1375" s="4" t="s">
        <v>3050</v>
      </c>
      <c r="C1375" s="5" t="s">
        <v>3051</v>
      </c>
      <c r="D1375" s="4"/>
      <c r="E1375" s="4"/>
      <c r="F1375" s="4" t="s">
        <v>22</v>
      </c>
      <c r="G1375" s="6">
        <v>0.97</v>
      </c>
      <c r="H1375" s="7" t="s">
        <v>1606</v>
      </c>
      <c r="I1375" s="4" t="s">
        <v>1623</v>
      </c>
      <c r="J1375" s="4" t="s">
        <v>3029</v>
      </c>
      <c r="K1375" s="8"/>
      <c r="L1375" s="8" t="s">
        <v>2623</v>
      </c>
      <c r="M1375" s="9">
        <f t="shared" si="1"/>
        <v>22</v>
      </c>
    </row>
    <row r="1376" ht="12.75" customHeight="1">
      <c r="A1376" s="4">
        <f t="shared" si="2"/>
        <v>1375</v>
      </c>
      <c r="B1376" s="4" t="s">
        <v>3052</v>
      </c>
      <c r="C1376" s="5" t="s">
        <v>3053</v>
      </c>
      <c r="D1376" s="4"/>
      <c r="E1376" s="4"/>
      <c r="F1376" s="4" t="s">
        <v>22</v>
      </c>
      <c r="G1376" s="6">
        <v>2.02</v>
      </c>
      <c r="H1376" s="7" t="s">
        <v>1606</v>
      </c>
      <c r="I1376" s="4" t="s">
        <v>1623</v>
      </c>
      <c r="J1376" s="4" t="s">
        <v>3029</v>
      </c>
      <c r="K1376" s="8"/>
      <c r="L1376" s="8" t="s">
        <v>2623</v>
      </c>
      <c r="M1376" s="9">
        <f t="shared" si="1"/>
        <v>20</v>
      </c>
    </row>
    <row r="1377" ht="12.75" customHeight="1">
      <c r="A1377" s="4">
        <f t="shared" si="2"/>
        <v>1376</v>
      </c>
      <c r="B1377" s="4" t="s">
        <v>3054</v>
      </c>
      <c r="C1377" s="5" t="s">
        <v>3055</v>
      </c>
      <c r="D1377" s="4"/>
      <c r="E1377" s="4"/>
      <c r="F1377" s="4" t="s">
        <v>22</v>
      </c>
      <c r="G1377" s="6">
        <v>2.24</v>
      </c>
      <c r="H1377" s="7" t="s">
        <v>1606</v>
      </c>
      <c r="I1377" s="4" t="s">
        <v>1623</v>
      </c>
      <c r="J1377" s="4" t="s">
        <v>3029</v>
      </c>
      <c r="K1377" s="8"/>
      <c r="L1377" s="8" t="s">
        <v>2623</v>
      </c>
      <c r="M1377" s="9">
        <f t="shared" si="1"/>
        <v>20</v>
      </c>
    </row>
    <row r="1378" ht="12.75" customHeight="1">
      <c r="A1378" s="4">
        <f t="shared" si="2"/>
        <v>1377</v>
      </c>
      <c r="B1378" s="4" t="s">
        <v>3056</v>
      </c>
      <c r="C1378" s="5" t="s">
        <v>3057</v>
      </c>
      <c r="D1378" s="4"/>
      <c r="E1378" s="4"/>
      <c r="F1378" s="4" t="s">
        <v>22</v>
      </c>
      <c r="G1378" s="6">
        <v>0.59</v>
      </c>
      <c r="H1378" s="7" t="s">
        <v>1606</v>
      </c>
      <c r="I1378" s="4" t="s">
        <v>1623</v>
      </c>
      <c r="J1378" s="4" t="s">
        <v>3029</v>
      </c>
      <c r="K1378" s="8"/>
      <c r="L1378" s="8" t="s">
        <v>2623</v>
      </c>
      <c r="M1378" s="9">
        <f t="shared" si="1"/>
        <v>32</v>
      </c>
    </row>
    <row r="1379" ht="12.75" customHeight="1">
      <c r="A1379" s="4">
        <f t="shared" si="2"/>
        <v>1378</v>
      </c>
      <c r="B1379" s="4" t="s">
        <v>3058</v>
      </c>
      <c r="C1379" s="5" t="s">
        <v>3059</v>
      </c>
      <c r="D1379" s="4"/>
      <c r="E1379" s="4"/>
      <c r="F1379" s="4" t="s">
        <v>22</v>
      </c>
      <c r="G1379" s="6">
        <v>0.62</v>
      </c>
      <c r="H1379" s="7" t="s">
        <v>1606</v>
      </c>
      <c r="I1379" s="4" t="s">
        <v>1623</v>
      </c>
      <c r="J1379" s="4" t="s">
        <v>3029</v>
      </c>
      <c r="K1379" s="8"/>
      <c r="L1379" s="8" t="s">
        <v>2623</v>
      </c>
      <c r="M1379" s="9">
        <f t="shared" si="1"/>
        <v>32</v>
      </c>
    </row>
    <row r="1380" ht="12.75" customHeight="1">
      <c r="A1380" s="4">
        <f t="shared" si="2"/>
        <v>1379</v>
      </c>
      <c r="B1380" s="4" t="s">
        <v>3060</v>
      </c>
      <c r="C1380" s="5" t="s">
        <v>3061</v>
      </c>
      <c r="D1380" s="4"/>
      <c r="E1380" s="4"/>
      <c r="F1380" s="4" t="s">
        <v>22</v>
      </c>
      <c r="G1380" s="6">
        <v>1.86</v>
      </c>
      <c r="H1380" s="7" t="s">
        <v>1606</v>
      </c>
      <c r="I1380" s="4" t="s">
        <v>1623</v>
      </c>
      <c r="J1380" s="4" t="s">
        <v>3029</v>
      </c>
      <c r="K1380" s="8"/>
      <c r="L1380" s="8" t="s">
        <v>2623</v>
      </c>
      <c r="M1380" s="9">
        <f t="shared" si="1"/>
        <v>32</v>
      </c>
    </row>
    <row r="1381" ht="12.75" customHeight="1">
      <c r="A1381" s="4">
        <f t="shared" si="2"/>
        <v>1380</v>
      </c>
      <c r="B1381" s="4" t="s">
        <v>3062</v>
      </c>
      <c r="C1381" s="5" t="s">
        <v>3063</v>
      </c>
      <c r="D1381" s="4"/>
      <c r="E1381" s="4"/>
      <c r="F1381" s="4" t="s">
        <v>22</v>
      </c>
      <c r="G1381" s="6">
        <v>2.03</v>
      </c>
      <c r="H1381" s="7" t="s">
        <v>1606</v>
      </c>
      <c r="I1381" s="4" t="s">
        <v>1623</v>
      </c>
      <c r="J1381" s="4" t="s">
        <v>3029</v>
      </c>
      <c r="K1381" s="8"/>
      <c r="L1381" s="8" t="s">
        <v>2623</v>
      </c>
      <c r="M1381" s="9">
        <f t="shared" si="1"/>
        <v>32</v>
      </c>
    </row>
    <row r="1382" ht="12.75" customHeight="1">
      <c r="A1382" s="4">
        <f t="shared" si="2"/>
        <v>1381</v>
      </c>
      <c r="B1382" s="4" t="s">
        <v>3064</v>
      </c>
      <c r="C1382" s="5" t="s">
        <v>3065</v>
      </c>
      <c r="D1382" s="4"/>
      <c r="E1382" s="4"/>
      <c r="F1382" s="4" t="s">
        <v>22</v>
      </c>
      <c r="G1382" s="6">
        <v>2.02</v>
      </c>
      <c r="H1382" s="7" t="s">
        <v>1606</v>
      </c>
      <c r="I1382" s="4" t="s">
        <v>1623</v>
      </c>
      <c r="J1382" s="4" t="s">
        <v>3029</v>
      </c>
      <c r="K1382" s="8"/>
      <c r="L1382" s="8" t="s">
        <v>2623</v>
      </c>
      <c r="M1382" s="9">
        <f t="shared" si="1"/>
        <v>32</v>
      </c>
    </row>
    <row r="1383" ht="12.75" customHeight="1">
      <c r="A1383" s="4">
        <f t="shared" si="2"/>
        <v>1382</v>
      </c>
      <c r="B1383" s="4" t="s">
        <v>3066</v>
      </c>
      <c r="C1383" s="5" t="s">
        <v>3067</v>
      </c>
      <c r="D1383" s="4"/>
      <c r="E1383" s="4"/>
      <c r="F1383" s="4" t="s">
        <v>22</v>
      </c>
      <c r="G1383" s="6">
        <v>2.24</v>
      </c>
      <c r="H1383" s="7" t="s">
        <v>1606</v>
      </c>
      <c r="I1383" s="4" t="s">
        <v>1623</v>
      </c>
      <c r="J1383" s="4" t="s">
        <v>3029</v>
      </c>
      <c r="K1383" s="8"/>
      <c r="L1383" s="8" t="s">
        <v>2623</v>
      </c>
      <c r="M1383" s="9">
        <f t="shared" si="1"/>
        <v>32</v>
      </c>
    </row>
    <row r="1384" ht="12.75" customHeight="1">
      <c r="A1384" s="4">
        <f t="shared" si="2"/>
        <v>1383</v>
      </c>
      <c r="B1384" s="4" t="s">
        <v>3068</v>
      </c>
      <c r="C1384" s="5" t="s">
        <v>3069</v>
      </c>
      <c r="D1384" s="4"/>
      <c r="E1384" s="4"/>
      <c r="F1384" s="4" t="s">
        <v>22</v>
      </c>
      <c r="G1384" s="6">
        <v>4.55</v>
      </c>
      <c r="H1384" s="7" t="s">
        <v>1606</v>
      </c>
      <c r="I1384" s="4" t="s">
        <v>1800</v>
      </c>
      <c r="J1384" s="4" t="s">
        <v>1801</v>
      </c>
      <c r="K1384" s="8"/>
      <c r="L1384" s="8" t="s">
        <v>33</v>
      </c>
      <c r="M1384" s="9">
        <f t="shared" si="1"/>
        <v>25</v>
      </c>
    </row>
    <row r="1385" ht="12.75" customHeight="1">
      <c r="A1385" s="4">
        <f t="shared" si="2"/>
        <v>1384</v>
      </c>
      <c r="B1385" s="4" t="s">
        <v>3070</v>
      </c>
      <c r="C1385" s="5" t="s">
        <v>3071</v>
      </c>
      <c r="D1385" s="4"/>
      <c r="E1385" s="4"/>
      <c r="F1385" s="4" t="s">
        <v>22</v>
      </c>
      <c r="G1385" s="6">
        <v>3.65</v>
      </c>
      <c r="H1385" s="7" t="s">
        <v>1606</v>
      </c>
      <c r="I1385" s="4" t="s">
        <v>1697</v>
      </c>
      <c r="J1385" s="4" t="s">
        <v>2755</v>
      </c>
      <c r="K1385" s="8"/>
      <c r="L1385" s="8" t="s">
        <v>3072</v>
      </c>
      <c r="M1385" s="9">
        <f t="shared" si="1"/>
        <v>35</v>
      </c>
    </row>
    <row r="1386" ht="12.75" customHeight="1">
      <c r="A1386" s="4">
        <f t="shared" si="2"/>
        <v>1385</v>
      </c>
      <c r="B1386" s="4" t="s">
        <v>3073</v>
      </c>
      <c r="C1386" s="5" t="s">
        <v>3074</v>
      </c>
      <c r="D1386" s="4"/>
      <c r="E1386" s="4"/>
      <c r="F1386" s="4" t="s">
        <v>1764</v>
      </c>
      <c r="G1386" s="6">
        <v>4.18</v>
      </c>
      <c r="H1386" s="7" t="s">
        <v>1606</v>
      </c>
      <c r="I1386" s="4" t="s">
        <v>1697</v>
      </c>
      <c r="J1386" s="4" t="s">
        <v>2755</v>
      </c>
      <c r="K1386" s="8"/>
      <c r="L1386" s="8" t="s">
        <v>3072</v>
      </c>
      <c r="M1386" s="9">
        <f t="shared" si="1"/>
        <v>35</v>
      </c>
    </row>
    <row r="1387" ht="12.75" customHeight="1">
      <c r="A1387" s="4">
        <f t="shared" si="2"/>
        <v>1386</v>
      </c>
      <c r="B1387" s="4" t="s">
        <v>3075</v>
      </c>
      <c r="C1387" s="5" t="s">
        <v>3076</v>
      </c>
      <c r="D1387" s="4"/>
      <c r="E1387" s="4"/>
      <c r="F1387" s="4" t="s">
        <v>2391</v>
      </c>
      <c r="G1387" s="6">
        <v>1.69</v>
      </c>
      <c r="H1387" s="7" t="s">
        <v>1606</v>
      </c>
      <c r="I1387" s="4" t="s">
        <v>1574</v>
      </c>
      <c r="J1387" s="4" t="s">
        <v>3077</v>
      </c>
      <c r="K1387" s="8"/>
      <c r="L1387" s="8" t="s">
        <v>2405</v>
      </c>
      <c r="M1387" s="9">
        <f t="shared" si="1"/>
        <v>60</v>
      </c>
    </row>
    <row r="1388" ht="12.75" customHeight="1">
      <c r="A1388" s="4">
        <f t="shared" si="2"/>
        <v>1387</v>
      </c>
      <c r="B1388" s="4" t="s">
        <v>3078</v>
      </c>
      <c r="C1388" s="5" t="s">
        <v>3079</v>
      </c>
      <c r="D1388" s="4"/>
      <c r="E1388" s="4"/>
      <c r="F1388" s="4" t="s">
        <v>2391</v>
      </c>
      <c r="G1388" s="6">
        <v>20.23</v>
      </c>
      <c r="H1388" s="7" t="s">
        <v>1606</v>
      </c>
      <c r="I1388" s="4" t="s">
        <v>1574</v>
      </c>
      <c r="J1388" s="4" t="s">
        <v>3077</v>
      </c>
      <c r="K1388" s="8"/>
      <c r="L1388" s="8" t="s">
        <v>2405</v>
      </c>
      <c r="M1388" s="9">
        <f t="shared" si="1"/>
        <v>72</v>
      </c>
    </row>
    <row r="1389" ht="12.75" customHeight="1">
      <c r="A1389" s="4">
        <f t="shared" si="2"/>
        <v>1388</v>
      </c>
      <c r="B1389" s="4" t="s">
        <v>3080</v>
      </c>
      <c r="C1389" s="5" t="s">
        <v>3081</v>
      </c>
      <c r="D1389" s="4"/>
      <c r="E1389" s="4"/>
      <c r="F1389" s="4" t="s">
        <v>2391</v>
      </c>
      <c r="G1389" s="6">
        <v>2.69</v>
      </c>
      <c r="H1389" s="7" t="s">
        <v>1606</v>
      </c>
      <c r="I1389" s="4" t="s">
        <v>1574</v>
      </c>
      <c r="J1389" s="4" t="s">
        <v>3077</v>
      </c>
      <c r="K1389" s="8"/>
      <c r="L1389" s="8" t="s">
        <v>2405</v>
      </c>
      <c r="M1389" s="9">
        <f t="shared" si="1"/>
        <v>60</v>
      </c>
    </row>
    <row r="1390" ht="12.75" customHeight="1">
      <c r="A1390" s="4">
        <f t="shared" si="2"/>
        <v>1389</v>
      </c>
      <c r="B1390" s="4" t="s">
        <v>3082</v>
      </c>
      <c r="C1390" s="5" t="s">
        <v>3083</v>
      </c>
      <c r="D1390" s="4"/>
      <c r="E1390" s="4"/>
      <c r="F1390" s="4" t="s">
        <v>2391</v>
      </c>
      <c r="G1390" s="6">
        <v>4.26</v>
      </c>
      <c r="H1390" s="7" t="s">
        <v>1606</v>
      </c>
      <c r="I1390" s="4" t="s">
        <v>1574</v>
      </c>
      <c r="J1390" s="4" t="s">
        <v>3077</v>
      </c>
      <c r="K1390" s="8"/>
      <c r="L1390" s="8" t="s">
        <v>2405</v>
      </c>
      <c r="M1390" s="9">
        <f t="shared" si="1"/>
        <v>60</v>
      </c>
    </row>
    <row r="1391" ht="12.75" customHeight="1">
      <c r="A1391" s="4">
        <f t="shared" si="2"/>
        <v>1390</v>
      </c>
      <c r="B1391" s="4" t="s">
        <v>3084</v>
      </c>
      <c r="C1391" s="5" t="s">
        <v>3085</v>
      </c>
      <c r="D1391" s="4"/>
      <c r="E1391" s="4"/>
      <c r="F1391" s="4" t="s">
        <v>2391</v>
      </c>
      <c r="G1391" s="6">
        <v>5.91</v>
      </c>
      <c r="H1391" s="7" t="s">
        <v>1606</v>
      </c>
      <c r="I1391" s="4" t="s">
        <v>1574</v>
      </c>
      <c r="J1391" s="4" t="s">
        <v>3077</v>
      </c>
      <c r="K1391" s="8"/>
      <c r="L1391" s="8" t="s">
        <v>2405</v>
      </c>
      <c r="M1391" s="9">
        <f t="shared" si="1"/>
        <v>60</v>
      </c>
    </row>
    <row r="1392" ht="12.75" customHeight="1">
      <c r="A1392" s="4">
        <f t="shared" si="2"/>
        <v>1391</v>
      </c>
      <c r="B1392" s="4" t="s">
        <v>3086</v>
      </c>
      <c r="C1392" s="5" t="s">
        <v>3087</v>
      </c>
      <c r="D1392" s="4"/>
      <c r="E1392" s="4"/>
      <c r="F1392" s="4" t="s">
        <v>2391</v>
      </c>
      <c r="G1392" s="6">
        <v>7.99</v>
      </c>
      <c r="H1392" s="7" t="s">
        <v>1606</v>
      </c>
      <c r="I1392" s="4" t="s">
        <v>1574</v>
      </c>
      <c r="J1392" s="4" t="s">
        <v>3077</v>
      </c>
      <c r="K1392" s="8"/>
      <c r="L1392" s="8" t="s">
        <v>2405</v>
      </c>
      <c r="M1392" s="9">
        <f t="shared" si="1"/>
        <v>70</v>
      </c>
    </row>
    <row r="1393" ht="12.75" customHeight="1">
      <c r="A1393" s="4">
        <f t="shared" si="2"/>
        <v>1392</v>
      </c>
      <c r="B1393" s="4" t="s">
        <v>3088</v>
      </c>
      <c r="C1393" s="5" t="s">
        <v>3089</v>
      </c>
      <c r="D1393" s="4"/>
      <c r="E1393" s="4"/>
      <c r="F1393" s="4" t="s">
        <v>2391</v>
      </c>
      <c r="G1393" s="6">
        <v>5.22</v>
      </c>
      <c r="H1393" s="7" t="s">
        <v>1606</v>
      </c>
      <c r="I1393" s="4" t="s">
        <v>1574</v>
      </c>
      <c r="J1393" s="4" t="s">
        <v>3077</v>
      </c>
      <c r="K1393" s="8"/>
      <c r="L1393" s="8" t="s">
        <v>2405</v>
      </c>
      <c r="M1393" s="9">
        <f t="shared" si="1"/>
        <v>61</v>
      </c>
    </row>
    <row r="1394" ht="12.75" customHeight="1">
      <c r="A1394" s="4">
        <f t="shared" si="2"/>
        <v>1393</v>
      </c>
      <c r="B1394" s="4" t="s">
        <v>3090</v>
      </c>
      <c r="C1394" s="5" t="s">
        <v>3091</v>
      </c>
      <c r="D1394" s="4"/>
      <c r="E1394" s="4"/>
      <c r="F1394" s="4" t="s">
        <v>2391</v>
      </c>
      <c r="G1394" s="6">
        <v>11.56</v>
      </c>
      <c r="H1394" s="7" t="s">
        <v>1606</v>
      </c>
      <c r="I1394" s="4" t="s">
        <v>1574</v>
      </c>
      <c r="J1394" s="4" t="s">
        <v>3077</v>
      </c>
      <c r="K1394" s="8"/>
      <c r="L1394" s="8" t="s">
        <v>2405</v>
      </c>
      <c r="M1394" s="9">
        <f t="shared" si="1"/>
        <v>71</v>
      </c>
    </row>
    <row r="1395" ht="12.75" customHeight="1">
      <c r="A1395" s="4">
        <f t="shared" si="2"/>
        <v>1394</v>
      </c>
      <c r="B1395" s="4" t="s">
        <v>3092</v>
      </c>
      <c r="C1395" s="5" t="s">
        <v>3093</v>
      </c>
      <c r="D1395" s="4"/>
      <c r="E1395" s="4"/>
      <c r="F1395" s="4" t="s">
        <v>2391</v>
      </c>
      <c r="G1395" s="6">
        <v>16.05</v>
      </c>
      <c r="H1395" s="7" t="s">
        <v>1606</v>
      </c>
      <c r="I1395" s="4" t="s">
        <v>1574</v>
      </c>
      <c r="J1395" s="4" t="s">
        <v>3077</v>
      </c>
      <c r="K1395" s="8"/>
      <c r="L1395" s="8" t="s">
        <v>2405</v>
      </c>
      <c r="M1395" s="9">
        <f t="shared" si="1"/>
        <v>71</v>
      </c>
    </row>
    <row r="1396" ht="12.75" customHeight="1">
      <c r="A1396" s="4">
        <f t="shared" si="2"/>
        <v>1395</v>
      </c>
      <c r="B1396" s="4" t="s">
        <v>3094</v>
      </c>
      <c r="C1396" s="5" t="s">
        <v>3095</v>
      </c>
      <c r="D1396" s="4"/>
      <c r="E1396" s="4"/>
      <c r="F1396" s="4" t="s">
        <v>22</v>
      </c>
      <c r="G1396" s="6">
        <v>132.65</v>
      </c>
      <c r="H1396" s="7" t="s">
        <v>1606</v>
      </c>
      <c r="I1396" s="4" t="s">
        <v>1574</v>
      </c>
      <c r="J1396" s="4" t="s">
        <v>1624</v>
      </c>
      <c r="K1396" s="8"/>
      <c r="L1396" s="8" t="s">
        <v>1659</v>
      </c>
      <c r="M1396" s="9">
        <f t="shared" si="1"/>
        <v>74</v>
      </c>
    </row>
    <row r="1397" ht="12.75" customHeight="1">
      <c r="A1397" s="4">
        <f t="shared" si="2"/>
        <v>1396</v>
      </c>
      <c r="B1397" s="4" t="s">
        <v>3096</v>
      </c>
      <c r="C1397" s="5" t="s">
        <v>3097</v>
      </c>
      <c r="D1397" s="4"/>
      <c r="E1397" s="4"/>
      <c r="F1397" s="4" t="s">
        <v>22</v>
      </c>
      <c r="G1397" s="6">
        <v>7.28</v>
      </c>
      <c r="H1397" s="7" t="s">
        <v>1606</v>
      </c>
      <c r="I1397" s="4" t="s">
        <v>1574</v>
      </c>
      <c r="J1397" s="4" t="s">
        <v>1624</v>
      </c>
      <c r="K1397" s="8"/>
      <c r="L1397" s="8" t="s">
        <v>2660</v>
      </c>
      <c r="M1397" s="9">
        <f t="shared" si="1"/>
        <v>70</v>
      </c>
    </row>
    <row r="1398" ht="12.75" customHeight="1">
      <c r="A1398" s="4">
        <f t="shared" si="2"/>
        <v>1397</v>
      </c>
      <c r="B1398" s="4" t="s">
        <v>3098</v>
      </c>
      <c r="C1398" s="5" t="s">
        <v>3099</v>
      </c>
      <c r="D1398" s="4"/>
      <c r="E1398" s="4"/>
      <c r="F1398" s="4" t="s">
        <v>22</v>
      </c>
      <c r="G1398" s="6">
        <v>81.3</v>
      </c>
      <c r="H1398" s="7" t="s">
        <v>1606</v>
      </c>
      <c r="I1398" s="4" t="s">
        <v>1574</v>
      </c>
      <c r="J1398" s="4" t="s">
        <v>1624</v>
      </c>
      <c r="K1398" s="8"/>
      <c r="L1398" s="8" t="s">
        <v>1659</v>
      </c>
      <c r="M1398" s="9">
        <f t="shared" si="1"/>
        <v>70</v>
      </c>
    </row>
    <row r="1399" ht="12.75" customHeight="1">
      <c r="A1399" s="4">
        <f t="shared" si="2"/>
        <v>1398</v>
      </c>
      <c r="B1399" s="4" t="s">
        <v>3100</v>
      </c>
      <c r="C1399" s="5" t="s">
        <v>3101</v>
      </c>
      <c r="D1399" s="4"/>
      <c r="E1399" s="4"/>
      <c r="F1399" s="4" t="s">
        <v>22</v>
      </c>
      <c r="G1399" s="6">
        <v>2.36</v>
      </c>
      <c r="H1399" s="7" t="s">
        <v>1606</v>
      </c>
      <c r="I1399" s="4" t="s">
        <v>1574</v>
      </c>
      <c r="J1399" s="4" t="s">
        <v>1624</v>
      </c>
      <c r="K1399" s="8"/>
      <c r="L1399" s="8" t="s">
        <v>2660</v>
      </c>
      <c r="M1399" s="9">
        <f t="shared" si="1"/>
        <v>66</v>
      </c>
    </row>
    <row r="1400" ht="12.75" customHeight="1">
      <c r="A1400" s="4">
        <f t="shared" si="2"/>
        <v>1399</v>
      </c>
      <c r="B1400" s="4" t="s">
        <v>3102</v>
      </c>
      <c r="C1400" s="5" t="s">
        <v>3103</v>
      </c>
      <c r="D1400" s="4"/>
      <c r="E1400" s="4"/>
      <c r="F1400" s="4" t="s">
        <v>22</v>
      </c>
      <c r="G1400" s="6">
        <v>25.36</v>
      </c>
      <c r="H1400" s="7" t="s">
        <v>1606</v>
      </c>
      <c r="I1400" s="4" t="s">
        <v>1574</v>
      </c>
      <c r="J1400" s="4" t="s">
        <v>1624</v>
      </c>
      <c r="K1400" s="8"/>
      <c r="L1400" s="8" t="s">
        <v>1659</v>
      </c>
      <c r="M1400" s="9">
        <f t="shared" si="1"/>
        <v>72</v>
      </c>
    </row>
    <row r="1401" ht="12.75" customHeight="1">
      <c r="A1401" s="4">
        <f t="shared" si="2"/>
        <v>1400</v>
      </c>
      <c r="B1401" s="4" t="s">
        <v>3104</v>
      </c>
      <c r="C1401" s="5" t="s">
        <v>3105</v>
      </c>
      <c r="D1401" s="4"/>
      <c r="E1401" s="4"/>
      <c r="F1401" s="4" t="s">
        <v>22</v>
      </c>
      <c r="G1401" s="6">
        <v>1.15</v>
      </c>
      <c r="H1401" s="7" t="s">
        <v>1606</v>
      </c>
      <c r="I1401" s="4" t="s">
        <v>1574</v>
      </c>
      <c r="J1401" s="4" t="s">
        <v>1624</v>
      </c>
      <c r="K1401" s="8"/>
      <c r="L1401" s="8" t="s">
        <v>2660</v>
      </c>
      <c r="M1401" s="9">
        <f t="shared" si="1"/>
        <v>68</v>
      </c>
    </row>
    <row r="1402" ht="12.75" customHeight="1">
      <c r="A1402" s="4">
        <f t="shared" si="2"/>
        <v>1401</v>
      </c>
      <c r="B1402" s="4" t="s">
        <v>3106</v>
      </c>
      <c r="C1402" s="5" t="s">
        <v>3107</v>
      </c>
      <c r="D1402" s="4"/>
      <c r="E1402" s="4"/>
      <c r="F1402" s="4" t="s">
        <v>22</v>
      </c>
      <c r="G1402" s="6">
        <v>156.4</v>
      </c>
      <c r="H1402" s="7" t="s">
        <v>1606</v>
      </c>
      <c r="I1402" s="4" t="s">
        <v>1574</v>
      </c>
      <c r="J1402" s="4" t="s">
        <v>1624</v>
      </c>
      <c r="K1402" s="8"/>
      <c r="L1402" s="8" t="s">
        <v>1659</v>
      </c>
      <c r="M1402" s="9">
        <f t="shared" si="1"/>
        <v>70</v>
      </c>
    </row>
    <row r="1403" ht="12.75" customHeight="1">
      <c r="A1403" s="4">
        <f t="shared" si="2"/>
        <v>1402</v>
      </c>
      <c r="B1403" s="4" t="s">
        <v>3108</v>
      </c>
      <c r="C1403" s="5" t="s">
        <v>3109</v>
      </c>
      <c r="D1403" s="4"/>
      <c r="E1403" s="4"/>
      <c r="F1403" s="4" t="s">
        <v>22</v>
      </c>
      <c r="G1403" s="6">
        <v>7.55</v>
      </c>
      <c r="H1403" s="7" t="s">
        <v>1606</v>
      </c>
      <c r="I1403" s="4" t="s">
        <v>1574</v>
      </c>
      <c r="J1403" s="4" t="s">
        <v>1624</v>
      </c>
      <c r="K1403" s="8"/>
      <c r="L1403" s="8" t="s">
        <v>2660</v>
      </c>
      <c r="M1403" s="9">
        <f t="shared" si="1"/>
        <v>66</v>
      </c>
    </row>
    <row r="1404" ht="12.75" customHeight="1">
      <c r="A1404" s="4">
        <f t="shared" si="2"/>
        <v>1403</v>
      </c>
      <c r="B1404" s="4" t="s">
        <v>3110</v>
      </c>
      <c r="C1404" s="5" t="s">
        <v>3111</v>
      </c>
      <c r="D1404" s="4"/>
      <c r="E1404" s="4"/>
      <c r="F1404" s="4" t="s">
        <v>22</v>
      </c>
      <c r="G1404" s="6">
        <v>27.5</v>
      </c>
      <c r="H1404" s="7" t="s">
        <v>1606</v>
      </c>
      <c r="I1404" s="4" t="s">
        <v>1574</v>
      </c>
      <c r="J1404" s="4" t="s">
        <v>1624</v>
      </c>
      <c r="K1404" s="8"/>
      <c r="L1404" s="8" t="s">
        <v>1659</v>
      </c>
      <c r="M1404" s="9">
        <f t="shared" si="1"/>
        <v>72</v>
      </c>
    </row>
    <row r="1405" ht="12.75" customHeight="1">
      <c r="A1405" s="4">
        <f t="shared" si="2"/>
        <v>1404</v>
      </c>
      <c r="B1405" s="4" t="s">
        <v>3112</v>
      </c>
      <c r="C1405" s="5" t="s">
        <v>3113</v>
      </c>
      <c r="D1405" s="4"/>
      <c r="E1405" s="4"/>
      <c r="F1405" s="4" t="s">
        <v>22</v>
      </c>
      <c r="G1405" s="6">
        <v>2.02</v>
      </c>
      <c r="H1405" s="7" t="s">
        <v>1606</v>
      </c>
      <c r="I1405" s="4" t="s">
        <v>1574</v>
      </c>
      <c r="J1405" s="4" t="s">
        <v>1624</v>
      </c>
      <c r="K1405" s="8"/>
      <c r="L1405" s="8" t="s">
        <v>2660</v>
      </c>
      <c r="M1405" s="9">
        <f t="shared" si="1"/>
        <v>68</v>
      </c>
    </row>
    <row r="1406" ht="12.75" customHeight="1">
      <c r="A1406" s="4">
        <f t="shared" si="2"/>
        <v>1405</v>
      </c>
      <c r="B1406" s="4" t="s">
        <v>3114</v>
      </c>
      <c r="C1406" s="5" t="s">
        <v>3115</v>
      </c>
      <c r="D1406" s="4"/>
      <c r="E1406" s="4"/>
      <c r="F1406" s="4" t="s">
        <v>22</v>
      </c>
      <c r="G1406" s="6">
        <v>130.2</v>
      </c>
      <c r="H1406" s="7" t="s">
        <v>1606</v>
      </c>
      <c r="I1406" s="4" t="s">
        <v>1574</v>
      </c>
      <c r="J1406" s="4" t="s">
        <v>1624</v>
      </c>
      <c r="K1406" s="8"/>
      <c r="L1406" s="8" t="s">
        <v>1659</v>
      </c>
      <c r="M1406" s="9">
        <f t="shared" si="1"/>
        <v>74</v>
      </c>
    </row>
    <row r="1407" ht="12.75" customHeight="1">
      <c r="A1407" s="4">
        <f t="shared" si="2"/>
        <v>1406</v>
      </c>
      <c r="B1407" s="4" t="s">
        <v>3116</v>
      </c>
      <c r="C1407" s="5" t="s">
        <v>3117</v>
      </c>
      <c r="D1407" s="4"/>
      <c r="E1407" s="4"/>
      <c r="F1407" s="4" t="s">
        <v>22</v>
      </c>
      <c r="G1407" s="6">
        <v>7.28</v>
      </c>
      <c r="H1407" s="7" t="s">
        <v>1606</v>
      </c>
      <c r="I1407" s="4" t="s">
        <v>1574</v>
      </c>
      <c r="J1407" s="4" t="s">
        <v>1624</v>
      </c>
      <c r="K1407" s="8"/>
      <c r="L1407" s="8" t="s">
        <v>2660</v>
      </c>
      <c r="M1407" s="9">
        <f t="shared" si="1"/>
        <v>70</v>
      </c>
    </row>
    <row r="1408" ht="12.75" customHeight="1">
      <c r="A1408" s="4">
        <f t="shared" si="2"/>
        <v>1407</v>
      </c>
      <c r="B1408" s="4" t="s">
        <v>3118</v>
      </c>
      <c r="C1408" s="5" t="s">
        <v>3119</v>
      </c>
      <c r="D1408" s="4"/>
      <c r="E1408" s="4"/>
      <c r="F1408" s="4" t="s">
        <v>22</v>
      </c>
      <c r="G1408" s="6">
        <v>83.74</v>
      </c>
      <c r="H1408" s="7" t="s">
        <v>1606</v>
      </c>
      <c r="I1408" s="4" t="s">
        <v>1574</v>
      </c>
      <c r="J1408" s="4" t="s">
        <v>1624</v>
      </c>
      <c r="K1408" s="8"/>
      <c r="L1408" s="8" t="s">
        <v>1659</v>
      </c>
      <c r="M1408" s="9">
        <f t="shared" si="1"/>
        <v>70</v>
      </c>
    </row>
    <row r="1409" ht="12.75" customHeight="1">
      <c r="A1409" s="4">
        <f t="shared" si="2"/>
        <v>1408</v>
      </c>
      <c r="B1409" s="4" t="s">
        <v>3120</v>
      </c>
      <c r="C1409" s="5" t="s">
        <v>3121</v>
      </c>
      <c r="D1409" s="4"/>
      <c r="E1409" s="4"/>
      <c r="F1409" s="4" t="s">
        <v>22</v>
      </c>
      <c r="G1409" s="6">
        <v>2.36</v>
      </c>
      <c r="H1409" s="7" t="s">
        <v>1606</v>
      </c>
      <c r="I1409" s="4" t="s">
        <v>1574</v>
      </c>
      <c r="J1409" s="4" t="s">
        <v>1624</v>
      </c>
      <c r="K1409" s="8"/>
      <c r="L1409" s="8" t="s">
        <v>2660</v>
      </c>
      <c r="M1409" s="9">
        <f t="shared" si="1"/>
        <v>66</v>
      </c>
    </row>
    <row r="1410" ht="12.75" customHeight="1">
      <c r="A1410" s="4">
        <f t="shared" si="2"/>
        <v>1409</v>
      </c>
      <c r="B1410" s="4" t="s">
        <v>3122</v>
      </c>
      <c r="C1410" s="5" t="s">
        <v>3123</v>
      </c>
      <c r="D1410" s="4"/>
      <c r="E1410" s="4"/>
      <c r="F1410" s="4" t="s">
        <v>22</v>
      </c>
      <c r="G1410" s="6">
        <v>24.32</v>
      </c>
      <c r="H1410" s="7" t="s">
        <v>1606</v>
      </c>
      <c r="I1410" s="4" t="s">
        <v>1574</v>
      </c>
      <c r="J1410" s="4" t="s">
        <v>1624</v>
      </c>
      <c r="K1410" s="8"/>
      <c r="L1410" s="8" t="s">
        <v>1659</v>
      </c>
      <c r="M1410" s="9">
        <f t="shared" si="1"/>
        <v>72</v>
      </c>
    </row>
    <row r="1411" ht="12.75" customHeight="1">
      <c r="A1411" s="4">
        <f t="shared" si="2"/>
        <v>1410</v>
      </c>
      <c r="B1411" s="4" t="s">
        <v>3124</v>
      </c>
      <c r="C1411" s="5" t="s">
        <v>3125</v>
      </c>
      <c r="D1411" s="4"/>
      <c r="E1411" s="4"/>
      <c r="F1411" s="4" t="s">
        <v>22</v>
      </c>
      <c r="G1411" s="6">
        <v>1.15</v>
      </c>
      <c r="H1411" s="7" t="s">
        <v>1606</v>
      </c>
      <c r="I1411" s="4" t="s">
        <v>1574</v>
      </c>
      <c r="J1411" s="4" t="s">
        <v>1624</v>
      </c>
      <c r="K1411" s="8"/>
      <c r="L1411" s="8" t="s">
        <v>2660</v>
      </c>
      <c r="M1411" s="9">
        <f t="shared" si="1"/>
        <v>68</v>
      </c>
    </row>
    <row r="1412" ht="12.75" customHeight="1">
      <c r="A1412" s="4">
        <f t="shared" si="2"/>
        <v>1411</v>
      </c>
      <c r="B1412" s="4" t="s">
        <v>3126</v>
      </c>
      <c r="C1412" s="5" t="s">
        <v>3127</v>
      </c>
      <c r="D1412" s="4"/>
      <c r="E1412" s="4"/>
      <c r="F1412" s="4" t="s">
        <v>22</v>
      </c>
      <c r="G1412" s="6">
        <v>145.4</v>
      </c>
      <c r="H1412" s="7" t="s">
        <v>1606</v>
      </c>
      <c r="I1412" s="4" t="s">
        <v>1574</v>
      </c>
      <c r="J1412" s="4" t="s">
        <v>1624</v>
      </c>
      <c r="K1412" s="8"/>
      <c r="L1412" s="8" t="s">
        <v>1659</v>
      </c>
      <c r="M1412" s="9">
        <f t="shared" si="1"/>
        <v>70</v>
      </c>
    </row>
    <row r="1413" ht="12.75" customHeight="1">
      <c r="A1413" s="4">
        <f t="shared" si="2"/>
        <v>1412</v>
      </c>
      <c r="B1413" s="4" t="s">
        <v>3128</v>
      </c>
      <c r="C1413" s="5" t="s">
        <v>3129</v>
      </c>
      <c r="D1413" s="4"/>
      <c r="E1413" s="4"/>
      <c r="F1413" s="4" t="s">
        <v>22</v>
      </c>
      <c r="G1413" s="6">
        <v>7.55</v>
      </c>
      <c r="H1413" s="7" t="s">
        <v>1606</v>
      </c>
      <c r="I1413" s="4" t="s">
        <v>1574</v>
      </c>
      <c r="J1413" s="4" t="s">
        <v>1624</v>
      </c>
      <c r="K1413" s="8"/>
      <c r="L1413" s="8" t="s">
        <v>2660</v>
      </c>
      <c r="M1413" s="9">
        <f t="shared" si="1"/>
        <v>66</v>
      </c>
    </row>
    <row r="1414" ht="12.75" customHeight="1">
      <c r="A1414" s="4">
        <f t="shared" si="2"/>
        <v>1413</v>
      </c>
      <c r="B1414" s="4" t="s">
        <v>3130</v>
      </c>
      <c r="C1414" s="5" t="s">
        <v>3131</v>
      </c>
      <c r="D1414" s="4"/>
      <c r="E1414" s="4"/>
      <c r="F1414" s="4" t="s">
        <v>22</v>
      </c>
      <c r="G1414" s="6">
        <v>32.43</v>
      </c>
      <c r="H1414" s="7" t="s">
        <v>1606</v>
      </c>
      <c r="I1414" s="4" t="s">
        <v>1574</v>
      </c>
      <c r="J1414" s="4" t="s">
        <v>1624</v>
      </c>
      <c r="K1414" s="8"/>
      <c r="L1414" s="8" t="s">
        <v>1659</v>
      </c>
      <c r="M1414" s="9">
        <f t="shared" si="1"/>
        <v>72</v>
      </c>
    </row>
    <row r="1415" ht="12.75" customHeight="1">
      <c r="A1415" s="4">
        <f t="shared" si="2"/>
        <v>1414</v>
      </c>
      <c r="B1415" s="4" t="s">
        <v>3132</v>
      </c>
      <c r="C1415" s="5" t="s">
        <v>3133</v>
      </c>
      <c r="D1415" s="4"/>
      <c r="E1415" s="4"/>
      <c r="F1415" s="4" t="s">
        <v>22</v>
      </c>
      <c r="G1415" s="6">
        <v>2.02</v>
      </c>
      <c r="H1415" s="7" t="s">
        <v>1606</v>
      </c>
      <c r="I1415" s="4" t="s">
        <v>1574</v>
      </c>
      <c r="J1415" s="4" t="s">
        <v>1624</v>
      </c>
      <c r="K1415" s="8"/>
      <c r="L1415" s="8" t="s">
        <v>2660</v>
      </c>
      <c r="M1415" s="9">
        <f t="shared" si="1"/>
        <v>68</v>
      </c>
    </row>
    <row r="1416" ht="12.75" customHeight="1">
      <c r="A1416" s="4">
        <f t="shared" si="2"/>
        <v>1415</v>
      </c>
      <c r="B1416" s="4" t="s">
        <v>3134</v>
      </c>
      <c r="C1416" s="5" t="s">
        <v>3135</v>
      </c>
      <c r="D1416" s="4"/>
      <c r="E1416" s="4"/>
      <c r="F1416" s="4" t="s">
        <v>22</v>
      </c>
      <c r="G1416" s="6">
        <v>33.78</v>
      </c>
      <c r="H1416" s="7" t="s">
        <v>1606</v>
      </c>
      <c r="I1416" s="4" t="s">
        <v>17</v>
      </c>
      <c r="J1416" s="4" t="s">
        <v>32</v>
      </c>
      <c r="K1416" s="8"/>
      <c r="L1416" s="8" t="s">
        <v>36</v>
      </c>
      <c r="M1416" s="9">
        <f t="shared" si="1"/>
        <v>43</v>
      </c>
    </row>
    <row r="1417" ht="12.75" customHeight="1">
      <c r="A1417" s="4">
        <f t="shared" si="2"/>
        <v>1416</v>
      </c>
      <c r="B1417" s="4" t="s">
        <v>3136</v>
      </c>
      <c r="C1417" s="5" t="s">
        <v>3137</v>
      </c>
      <c r="D1417" s="4"/>
      <c r="E1417" s="4"/>
      <c r="F1417" s="4" t="s">
        <v>22</v>
      </c>
      <c r="G1417" s="6">
        <v>7.31</v>
      </c>
      <c r="H1417" s="7" t="s">
        <v>1606</v>
      </c>
      <c r="I1417" s="4" t="s">
        <v>1794</v>
      </c>
      <c r="J1417" s="4" t="s">
        <v>165</v>
      </c>
      <c r="K1417" s="8"/>
      <c r="L1417" s="8" t="s">
        <v>33</v>
      </c>
      <c r="M1417" s="9">
        <f t="shared" si="1"/>
        <v>47</v>
      </c>
    </row>
    <row r="1418" ht="12.75" customHeight="1">
      <c r="A1418" s="4">
        <f t="shared" si="2"/>
        <v>1417</v>
      </c>
      <c r="B1418" s="4" t="s">
        <v>3138</v>
      </c>
      <c r="C1418" s="5" t="s">
        <v>3139</v>
      </c>
      <c r="D1418" s="4"/>
      <c r="E1418" s="4"/>
      <c r="F1418" s="4" t="s">
        <v>22</v>
      </c>
      <c r="G1418" s="6">
        <v>0.61</v>
      </c>
      <c r="H1418" s="7" t="s">
        <v>1606</v>
      </c>
      <c r="I1418" s="4" t="s">
        <v>1574</v>
      </c>
      <c r="J1418" s="4" t="s">
        <v>2434</v>
      </c>
      <c r="K1418" s="8"/>
      <c r="L1418" s="8" t="s">
        <v>3140</v>
      </c>
      <c r="M1418" s="9">
        <f t="shared" si="1"/>
        <v>63</v>
      </c>
    </row>
    <row r="1419" ht="12.75" customHeight="1">
      <c r="A1419" s="4">
        <f t="shared" si="2"/>
        <v>1418</v>
      </c>
      <c r="B1419" s="4" t="s">
        <v>3141</v>
      </c>
      <c r="C1419" s="5" t="s">
        <v>3142</v>
      </c>
      <c r="D1419" s="4"/>
      <c r="E1419" s="4"/>
      <c r="F1419" s="4" t="s">
        <v>22</v>
      </c>
      <c r="G1419" s="6">
        <v>126.98</v>
      </c>
      <c r="H1419" s="7" t="s">
        <v>1606</v>
      </c>
      <c r="I1419" s="4" t="s">
        <v>1574</v>
      </c>
      <c r="J1419" s="4" t="s">
        <v>1624</v>
      </c>
      <c r="K1419" s="8"/>
      <c r="L1419" s="8" t="s">
        <v>1659</v>
      </c>
      <c r="M1419" s="9">
        <f t="shared" si="1"/>
        <v>70</v>
      </c>
    </row>
    <row r="1420" ht="12.75" customHeight="1">
      <c r="A1420" s="4">
        <f t="shared" si="2"/>
        <v>1419</v>
      </c>
      <c r="B1420" s="4" t="s">
        <v>3143</v>
      </c>
      <c r="C1420" s="5" t="s">
        <v>3144</v>
      </c>
      <c r="D1420" s="4"/>
      <c r="E1420" s="4"/>
      <c r="F1420" s="4" t="s">
        <v>22</v>
      </c>
      <c r="G1420" s="21">
        <v>21.3</v>
      </c>
      <c r="H1420" s="7" t="s">
        <v>1606</v>
      </c>
      <c r="I1420" s="4" t="s">
        <v>1574</v>
      </c>
      <c r="J1420" s="4" t="s">
        <v>1624</v>
      </c>
      <c r="K1420" s="8"/>
      <c r="L1420" s="8" t="s">
        <v>2660</v>
      </c>
      <c r="M1420" s="9">
        <f t="shared" si="1"/>
        <v>66</v>
      </c>
    </row>
    <row r="1421" ht="12.75" customHeight="1">
      <c r="A1421" s="4">
        <f t="shared" si="2"/>
        <v>1420</v>
      </c>
      <c r="B1421" s="4" t="s">
        <v>3145</v>
      </c>
      <c r="C1421" s="5" t="s">
        <v>3146</v>
      </c>
      <c r="D1421" s="4"/>
      <c r="E1421" s="4"/>
      <c r="F1421" s="4" t="s">
        <v>22</v>
      </c>
      <c r="G1421" s="6">
        <v>102.0</v>
      </c>
      <c r="H1421" s="7" t="s">
        <v>1606</v>
      </c>
      <c r="I1421" s="4" t="s">
        <v>1574</v>
      </c>
      <c r="J1421" s="4" t="s">
        <v>1624</v>
      </c>
      <c r="K1421" s="8"/>
      <c r="L1421" s="8" t="s">
        <v>1659</v>
      </c>
      <c r="M1421" s="9">
        <f t="shared" si="1"/>
        <v>66</v>
      </c>
    </row>
    <row r="1422" ht="12.75" customHeight="1">
      <c r="A1422" s="4">
        <f t="shared" si="2"/>
        <v>1421</v>
      </c>
      <c r="B1422" s="4" t="s">
        <v>3147</v>
      </c>
      <c r="C1422" s="5" t="s">
        <v>3148</v>
      </c>
      <c r="D1422" s="4"/>
      <c r="E1422" s="4"/>
      <c r="F1422" s="4" t="s">
        <v>22</v>
      </c>
      <c r="G1422" s="6">
        <v>2.36</v>
      </c>
      <c r="H1422" s="7" t="s">
        <v>1606</v>
      </c>
      <c r="I1422" s="4" t="s">
        <v>1574</v>
      </c>
      <c r="J1422" s="4" t="s">
        <v>1624</v>
      </c>
      <c r="K1422" s="8"/>
      <c r="L1422" s="8" t="s">
        <v>2660</v>
      </c>
      <c r="M1422" s="9">
        <f t="shared" si="1"/>
        <v>62</v>
      </c>
    </row>
    <row r="1423" ht="12.75" customHeight="1">
      <c r="A1423" s="4">
        <f t="shared" si="2"/>
        <v>1422</v>
      </c>
      <c r="B1423" s="4" t="s">
        <v>3149</v>
      </c>
      <c r="C1423" s="5" t="s">
        <v>3150</v>
      </c>
      <c r="D1423" s="4"/>
      <c r="E1423" s="4"/>
      <c r="F1423" s="4" t="s">
        <v>22</v>
      </c>
      <c r="G1423" s="6">
        <v>42.5</v>
      </c>
      <c r="H1423" s="7" t="s">
        <v>1606</v>
      </c>
      <c r="I1423" s="4" t="s">
        <v>1574</v>
      </c>
      <c r="J1423" s="4" t="s">
        <v>1624</v>
      </c>
      <c r="K1423" s="8"/>
      <c r="L1423" s="8" t="s">
        <v>1659</v>
      </c>
      <c r="M1423" s="9">
        <f t="shared" si="1"/>
        <v>68</v>
      </c>
    </row>
    <row r="1424" ht="12.75" customHeight="1">
      <c r="A1424" s="4">
        <f t="shared" si="2"/>
        <v>1423</v>
      </c>
      <c r="B1424" s="4" t="s">
        <v>3151</v>
      </c>
      <c r="C1424" s="5" t="s">
        <v>3152</v>
      </c>
      <c r="D1424" s="4"/>
      <c r="E1424" s="4"/>
      <c r="F1424" s="4" t="s">
        <v>22</v>
      </c>
      <c r="G1424" s="6">
        <v>1.15</v>
      </c>
      <c r="H1424" s="7" t="s">
        <v>1606</v>
      </c>
      <c r="I1424" s="4" t="s">
        <v>1574</v>
      </c>
      <c r="J1424" s="4" t="s">
        <v>1624</v>
      </c>
      <c r="K1424" s="8"/>
      <c r="L1424" s="8" t="s">
        <v>2660</v>
      </c>
      <c r="M1424" s="9">
        <f t="shared" si="1"/>
        <v>64</v>
      </c>
    </row>
    <row r="1425" ht="12.75" customHeight="1">
      <c r="A1425" s="4">
        <f t="shared" si="2"/>
        <v>1424</v>
      </c>
      <c r="B1425" s="4" t="s">
        <v>3153</v>
      </c>
      <c r="C1425" s="5" t="s">
        <v>3154</v>
      </c>
      <c r="D1425" s="4"/>
      <c r="E1425" s="4"/>
      <c r="F1425" s="4" t="s">
        <v>22</v>
      </c>
      <c r="G1425" s="6">
        <v>180.0</v>
      </c>
      <c r="H1425" s="7" t="s">
        <v>1606</v>
      </c>
      <c r="I1425" s="4" t="s">
        <v>1574</v>
      </c>
      <c r="J1425" s="4" t="s">
        <v>1624</v>
      </c>
      <c r="K1425" s="8"/>
      <c r="L1425" s="8" t="s">
        <v>1659</v>
      </c>
      <c r="M1425" s="9">
        <f t="shared" si="1"/>
        <v>66</v>
      </c>
    </row>
    <row r="1426" ht="12.75" customHeight="1">
      <c r="A1426" s="4">
        <f t="shared" si="2"/>
        <v>1425</v>
      </c>
      <c r="B1426" s="4" t="s">
        <v>3155</v>
      </c>
      <c r="C1426" s="5" t="s">
        <v>3156</v>
      </c>
      <c r="D1426" s="4"/>
      <c r="E1426" s="4"/>
      <c r="F1426" s="4" t="s">
        <v>22</v>
      </c>
      <c r="G1426" s="6">
        <v>5.82</v>
      </c>
      <c r="H1426" s="7" t="s">
        <v>1606</v>
      </c>
      <c r="I1426" s="4" t="s">
        <v>1574</v>
      </c>
      <c r="J1426" s="4" t="s">
        <v>1624</v>
      </c>
      <c r="K1426" s="8"/>
      <c r="L1426" s="8" t="s">
        <v>2660</v>
      </c>
      <c r="M1426" s="9">
        <f t="shared" si="1"/>
        <v>62</v>
      </c>
    </row>
    <row r="1427" ht="12.75" customHeight="1">
      <c r="A1427" s="4">
        <f t="shared" si="2"/>
        <v>1426</v>
      </c>
      <c r="B1427" s="4" t="s">
        <v>3157</v>
      </c>
      <c r="C1427" s="5" t="s">
        <v>3158</v>
      </c>
      <c r="D1427" s="4"/>
      <c r="E1427" s="4"/>
      <c r="F1427" s="4" t="s">
        <v>22</v>
      </c>
      <c r="G1427" s="6">
        <v>38.2</v>
      </c>
      <c r="H1427" s="7" t="s">
        <v>1606</v>
      </c>
      <c r="I1427" s="4" t="s">
        <v>1574</v>
      </c>
      <c r="J1427" s="4" t="s">
        <v>1624</v>
      </c>
      <c r="K1427" s="8"/>
      <c r="L1427" s="8" t="s">
        <v>2660</v>
      </c>
      <c r="M1427" s="9">
        <f t="shared" si="1"/>
        <v>62</v>
      </c>
    </row>
    <row r="1428" ht="12.75" customHeight="1">
      <c r="A1428" s="4">
        <f t="shared" si="2"/>
        <v>1427</v>
      </c>
      <c r="B1428" s="4" t="s">
        <v>3159</v>
      </c>
      <c r="C1428" s="5" t="s">
        <v>3160</v>
      </c>
      <c r="D1428" s="4"/>
      <c r="E1428" s="4"/>
      <c r="F1428" s="4" t="s">
        <v>22</v>
      </c>
      <c r="G1428" s="6">
        <v>25.5</v>
      </c>
      <c r="H1428" s="7" t="s">
        <v>1606</v>
      </c>
      <c r="I1428" s="4" t="s">
        <v>1574</v>
      </c>
      <c r="J1428" s="4" t="s">
        <v>1624</v>
      </c>
      <c r="K1428" s="8"/>
      <c r="L1428" s="8" t="s">
        <v>1659</v>
      </c>
      <c r="M1428" s="9">
        <f t="shared" si="1"/>
        <v>68</v>
      </c>
    </row>
    <row r="1429" ht="12.75" customHeight="1">
      <c r="A1429" s="4">
        <f t="shared" si="2"/>
        <v>1428</v>
      </c>
      <c r="B1429" s="4" t="s">
        <v>3161</v>
      </c>
      <c r="C1429" s="5" t="s">
        <v>3162</v>
      </c>
      <c r="D1429" s="4"/>
      <c r="E1429" s="4"/>
      <c r="F1429" s="4" t="s">
        <v>22</v>
      </c>
      <c r="G1429" s="6">
        <v>1.32</v>
      </c>
      <c r="H1429" s="7" t="s">
        <v>1606</v>
      </c>
      <c r="I1429" s="4" t="s">
        <v>1574</v>
      </c>
      <c r="J1429" s="4" t="s">
        <v>1624</v>
      </c>
      <c r="K1429" s="8"/>
      <c r="L1429" s="8" t="s">
        <v>2660</v>
      </c>
      <c r="M1429" s="9">
        <f t="shared" si="1"/>
        <v>64</v>
      </c>
    </row>
    <row r="1430" ht="12.75" customHeight="1">
      <c r="A1430" s="4">
        <f t="shared" si="2"/>
        <v>1429</v>
      </c>
      <c r="B1430" s="4" t="s">
        <v>3163</v>
      </c>
      <c r="C1430" s="5" t="s">
        <v>3164</v>
      </c>
      <c r="D1430" s="4"/>
      <c r="E1430" s="4"/>
      <c r="F1430" s="4" t="s">
        <v>22</v>
      </c>
      <c r="G1430" s="6">
        <v>1.84</v>
      </c>
      <c r="H1430" s="7" t="s">
        <v>1606</v>
      </c>
      <c r="I1430" s="4" t="s">
        <v>1574</v>
      </c>
      <c r="J1430" s="4" t="s">
        <v>2434</v>
      </c>
      <c r="K1430" s="8"/>
      <c r="L1430" s="8" t="s">
        <v>33</v>
      </c>
      <c r="M1430" s="9">
        <f t="shared" si="1"/>
        <v>50</v>
      </c>
    </row>
    <row r="1431" ht="12.75" customHeight="1">
      <c r="A1431" s="4">
        <f t="shared" si="2"/>
        <v>1430</v>
      </c>
      <c r="B1431" s="4" t="s">
        <v>3165</v>
      </c>
      <c r="C1431" s="5" t="s">
        <v>3166</v>
      </c>
      <c r="D1431" s="4"/>
      <c r="E1431" s="4"/>
      <c r="F1431" s="4" t="s">
        <v>22</v>
      </c>
      <c r="G1431" s="6">
        <v>11.73</v>
      </c>
      <c r="H1431" s="7" t="s">
        <v>1606</v>
      </c>
      <c r="I1431" s="4" t="s">
        <v>1574</v>
      </c>
      <c r="J1431" s="4" t="s">
        <v>2434</v>
      </c>
      <c r="K1431" s="8"/>
      <c r="L1431" s="8" t="s">
        <v>3167</v>
      </c>
      <c r="M1431" s="9">
        <f t="shared" si="1"/>
        <v>57</v>
      </c>
    </row>
    <row r="1432" ht="12.75" customHeight="1">
      <c r="A1432" s="4">
        <f t="shared" si="2"/>
        <v>1431</v>
      </c>
      <c r="B1432" s="4" t="s">
        <v>3168</v>
      </c>
      <c r="C1432" s="5" t="s">
        <v>3169</v>
      </c>
      <c r="D1432" s="4"/>
      <c r="E1432" s="4"/>
      <c r="F1432" s="4" t="s">
        <v>22</v>
      </c>
      <c r="G1432" s="6">
        <v>11.73</v>
      </c>
      <c r="H1432" s="7" t="s">
        <v>1606</v>
      </c>
      <c r="I1432" s="4" t="s">
        <v>1574</v>
      </c>
      <c r="J1432" s="4" t="s">
        <v>2434</v>
      </c>
      <c r="K1432" s="8"/>
      <c r="L1432" s="8" t="s">
        <v>3167</v>
      </c>
      <c r="M1432" s="9">
        <f t="shared" si="1"/>
        <v>55</v>
      </c>
    </row>
    <row r="1433" ht="12.75" customHeight="1">
      <c r="A1433" s="4">
        <f t="shared" si="2"/>
        <v>1432</v>
      </c>
      <c r="B1433" s="4" t="s">
        <v>3170</v>
      </c>
      <c r="C1433" s="5" t="s">
        <v>3171</v>
      </c>
      <c r="D1433" s="4"/>
      <c r="E1433" s="4"/>
      <c r="F1433" s="4" t="s">
        <v>22</v>
      </c>
      <c r="G1433" s="6">
        <v>21.7</v>
      </c>
      <c r="H1433" s="7" t="s">
        <v>1606</v>
      </c>
      <c r="I1433" s="4" t="s">
        <v>1623</v>
      </c>
      <c r="J1433" s="4" t="s">
        <v>3172</v>
      </c>
      <c r="K1433" s="8"/>
      <c r="L1433" s="8" t="s">
        <v>3173</v>
      </c>
      <c r="M1433" s="9">
        <f t="shared" si="1"/>
        <v>60</v>
      </c>
    </row>
    <row r="1434" ht="12.75" customHeight="1">
      <c r="A1434" s="4">
        <f t="shared" si="2"/>
        <v>1433</v>
      </c>
      <c r="B1434" s="4" t="s">
        <v>3174</v>
      </c>
      <c r="C1434" s="5" t="s">
        <v>3175</v>
      </c>
      <c r="D1434" s="4"/>
      <c r="E1434" s="4"/>
      <c r="F1434" s="4" t="s">
        <v>22</v>
      </c>
      <c r="G1434" s="6">
        <v>21.7</v>
      </c>
      <c r="H1434" s="7" t="s">
        <v>1606</v>
      </c>
      <c r="I1434" s="4" t="s">
        <v>1623</v>
      </c>
      <c r="J1434" s="4" t="s">
        <v>3172</v>
      </c>
      <c r="K1434" s="8"/>
      <c r="L1434" s="8" t="s">
        <v>3173</v>
      </c>
      <c r="M1434" s="9">
        <f t="shared" si="1"/>
        <v>59</v>
      </c>
    </row>
    <row r="1435" ht="12.75" customHeight="1">
      <c r="A1435" s="4">
        <f t="shared" si="2"/>
        <v>1434</v>
      </c>
      <c r="B1435" s="4" t="s">
        <v>3176</v>
      </c>
      <c r="C1435" s="5" t="s">
        <v>3177</v>
      </c>
      <c r="D1435" s="4"/>
      <c r="E1435" s="4"/>
      <c r="F1435" s="4" t="s">
        <v>22</v>
      </c>
      <c r="G1435" s="6">
        <v>16.76</v>
      </c>
      <c r="H1435" s="7" t="s">
        <v>1606</v>
      </c>
      <c r="I1435" s="4" t="s">
        <v>1623</v>
      </c>
      <c r="J1435" s="4" t="s">
        <v>3172</v>
      </c>
      <c r="K1435" s="8"/>
      <c r="L1435" s="8" t="s">
        <v>3173</v>
      </c>
      <c r="M1435" s="9">
        <f t="shared" si="1"/>
        <v>60</v>
      </c>
    </row>
    <row r="1436" ht="12.75" customHeight="1">
      <c r="A1436" s="4">
        <f t="shared" si="2"/>
        <v>1435</v>
      </c>
      <c r="B1436" s="4" t="s">
        <v>3178</v>
      </c>
      <c r="C1436" s="5" t="s">
        <v>3179</v>
      </c>
      <c r="D1436" s="4"/>
      <c r="E1436" s="4"/>
      <c r="F1436" s="4" t="s">
        <v>22</v>
      </c>
      <c r="G1436" s="6">
        <v>16.76</v>
      </c>
      <c r="H1436" s="7" t="s">
        <v>1606</v>
      </c>
      <c r="I1436" s="4" t="s">
        <v>1623</v>
      </c>
      <c r="J1436" s="4" t="s">
        <v>3172</v>
      </c>
      <c r="K1436" s="8"/>
      <c r="L1436" s="8" t="s">
        <v>3173</v>
      </c>
      <c r="M1436" s="9">
        <f t="shared" si="1"/>
        <v>67</v>
      </c>
    </row>
    <row r="1437" ht="12.75" customHeight="1">
      <c r="A1437" s="4">
        <f t="shared" si="2"/>
        <v>1436</v>
      </c>
      <c r="B1437" s="4" t="s">
        <v>3180</v>
      </c>
      <c r="C1437" s="5" t="s">
        <v>3181</v>
      </c>
      <c r="D1437" s="4"/>
      <c r="E1437" s="4"/>
      <c r="F1437" s="4" t="s">
        <v>22</v>
      </c>
      <c r="G1437" s="6">
        <v>24.36</v>
      </c>
      <c r="H1437" s="7" t="s">
        <v>1606</v>
      </c>
      <c r="I1437" s="4" t="s">
        <v>1623</v>
      </c>
      <c r="J1437" s="4" t="s">
        <v>3172</v>
      </c>
      <c r="K1437" s="8"/>
      <c r="L1437" s="8" t="s">
        <v>3173</v>
      </c>
      <c r="M1437" s="9">
        <f t="shared" si="1"/>
        <v>62</v>
      </c>
    </row>
    <row r="1438" ht="12.75" customHeight="1">
      <c r="A1438" s="4">
        <f t="shared" si="2"/>
        <v>1437</v>
      </c>
      <c r="B1438" s="4" t="s">
        <v>3182</v>
      </c>
      <c r="C1438" s="5" t="s">
        <v>3183</v>
      </c>
      <c r="D1438" s="4"/>
      <c r="E1438" s="4"/>
      <c r="F1438" s="4" t="s">
        <v>22</v>
      </c>
      <c r="G1438" s="6">
        <v>39.53</v>
      </c>
      <c r="H1438" s="7" t="s">
        <v>1606</v>
      </c>
      <c r="I1438" s="4" t="s">
        <v>1623</v>
      </c>
      <c r="J1438" s="4" t="s">
        <v>3172</v>
      </c>
      <c r="K1438" s="8"/>
      <c r="L1438" s="8" t="s">
        <v>3173</v>
      </c>
      <c r="M1438" s="9">
        <f t="shared" si="1"/>
        <v>54</v>
      </c>
    </row>
    <row r="1439" ht="12.75" customHeight="1">
      <c r="A1439" s="4">
        <f t="shared" si="2"/>
        <v>1438</v>
      </c>
      <c r="B1439" s="4" t="s">
        <v>3184</v>
      </c>
      <c r="C1439" s="5" t="s">
        <v>3185</v>
      </c>
      <c r="D1439" s="4"/>
      <c r="E1439" s="4"/>
      <c r="F1439" s="4" t="s">
        <v>22</v>
      </c>
      <c r="G1439" s="6">
        <v>39.53</v>
      </c>
      <c r="H1439" s="7" t="s">
        <v>1606</v>
      </c>
      <c r="I1439" s="4" t="s">
        <v>1623</v>
      </c>
      <c r="J1439" s="4" t="s">
        <v>3172</v>
      </c>
      <c r="K1439" s="8"/>
      <c r="L1439" s="8" t="s">
        <v>3173</v>
      </c>
      <c r="M1439" s="9">
        <f t="shared" si="1"/>
        <v>53</v>
      </c>
    </row>
    <row r="1440" ht="12.75" customHeight="1">
      <c r="A1440" s="4">
        <f t="shared" si="2"/>
        <v>1439</v>
      </c>
      <c r="B1440" s="4" t="s">
        <v>3186</v>
      </c>
      <c r="C1440" s="5" t="s">
        <v>3187</v>
      </c>
      <c r="D1440" s="4"/>
      <c r="E1440" s="4"/>
      <c r="F1440" s="4" t="s">
        <v>22</v>
      </c>
      <c r="G1440" s="6">
        <v>10.3</v>
      </c>
      <c r="H1440" s="7" t="s">
        <v>1606</v>
      </c>
      <c r="I1440" s="4" t="s">
        <v>1623</v>
      </c>
      <c r="J1440" s="4" t="s">
        <v>3172</v>
      </c>
      <c r="K1440" s="8"/>
      <c r="L1440" s="8" t="s">
        <v>3173</v>
      </c>
      <c r="M1440" s="9">
        <f t="shared" si="1"/>
        <v>54</v>
      </c>
    </row>
    <row r="1441" ht="12.75" customHeight="1">
      <c r="A1441" s="4">
        <f t="shared" si="2"/>
        <v>1440</v>
      </c>
      <c r="B1441" s="4" t="s">
        <v>3188</v>
      </c>
      <c r="C1441" s="5" t="s">
        <v>3189</v>
      </c>
      <c r="D1441" s="4"/>
      <c r="E1441" s="4"/>
      <c r="F1441" s="4" t="s">
        <v>22</v>
      </c>
      <c r="G1441" s="6">
        <v>8.85</v>
      </c>
      <c r="H1441" s="7" t="s">
        <v>1606</v>
      </c>
      <c r="I1441" s="4" t="s">
        <v>1623</v>
      </c>
      <c r="J1441" s="4" t="s">
        <v>3172</v>
      </c>
      <c r="K1441" s="8"/>
      <c r="L1441" s="8" t="s">
        <v>3173</v>
      </c>
      <c r="M1441" s="9">
        <f t="shared" si="1"/>
        <v>54</v>
      </c>
    </row>
    <row r="1442" ht="12.75" customHeight="1">
      <c r="A1442" s="4">
        <f t="shared" si="2"/>
        <v>1441</v>
      </c>
      <c r="B1442" s="4" t="s">
        <v>3190</v>
      </c>
      <c r="C1442" s="5" t="s">
        <v>3191</v>
      </c>
      <c r="D1442" s="4"/>
      <c r="E1442" s="4"/>
      <c r="F1442" s="4" t="s">
        <v>22</v>
      </c>
      <c r="G1442" s="6">
        <v>77.88</v>
      </c>
      <c r="H1442" s="7" t="s">
        <v>1606</v>
      </c>
      <c r="I1442" s="4" t="s">
        <v>1623</v>
      </c>
      <c r="J1442" s="4" t="s">
        <v>3172</v>
      </c>
      <c r="K1442" s="8"/>
      <c r="L1442" s="8" t="s">
        <v>3173</v>
      </c>
      <c r="M1442" s="9">
        <f t="shared" si="1"/>
        <v>51</v>
      </c>
    </row>
    <row r="1443" ht="12.75" customHeight="1">
      <c r="A1443" s="4">
        <f t="shared" si="2"/>
        <v>1442</v>
      </c>
      <c r="B1443" s="4" t="s">
        <v>3192</v>
      </c>
      <c r="C1443" s="5" t="s">
        <v>3193</v>
      </c>
      <c r="D1443" s="4"/>
      <c r="E1443" s="4"/>
      <c r="F1443" s="4" t="s">
        <v>22</v>
      </c>
      <c r="G1443" s="6">
        <v>13.22</v>
      </c>
      <c r="H1443" s="7" t="s">
        <v>1606</v>
      </c>
      <c r="I1443" s="4" t="s">
        <v>17</v>
      </c>
      <c r="J1443" s="4" t="s">
        <v>2037</v>
      </c>
      <c r="K1443" s="8"/>
      <c r="L1443" s="8" t="s">
        <v>281</v>
      </c>
      <c r="M1443" s="9">
        <f t="shared" si="1"/>
        <v>38</v>
      </c>
    </row>
    <row r="1444" ht="12.75" customHeight="1">
      <c r="A1444" s="4">
        <f t="shared" si="2"/>
        <v>1443</v>
      </c>
      <c r="B1444" s="4" t="s">
        <v>3194</v>
      </c>
      <c r="C1444" s="5" t="s">
        <v>3195</v>
      </c>
      <c r="D1444" s="4"/>
      <c r="E1444" s="4"/>
      <c r="F1444" s="4" t="s">
        <v>22</v>
      </c>
      <c r="G1444" s="6">
        <v>0.19</v>
      </c>
      <c r="H1444" s="7" t="s">
        <v>1606</v>
      </c>
      <c r="I1444" s="4" t="s">
        <v>1574</v>
      </c>
      <c r="J1444" s="4" t="s">
        <v>1624</v>
      </c>
      <c r="K1444" s="8"/>
      <c r="L1444" s="8" t="s">
        <v>2660</v>
      </c>
      <c r="M1444" s="9">
        <f t="shared" si="1"/>
        <v>40</v>
      </c>
    </row>
    <row r="1445" ht="12.75" customHeight="1">
      <c r="A1445" s="4">
        <f t="shared" si="2"/>
        <v>1444</v>
      </c>
      <c r="B1445" s="4" t="s">
        <v>3196</v>
      </c>
      <c r="C1445" s="5" t="s">
        <v>3197</v>
      </c>
      <c r="D1445" s="4"/>
      <c r="E1445" s="4"/>
      <c r="F1445" s="4" t="s">
        <v>22</v>
      </c>
      <c r="G1445" s="21">
        <v>0.11</v>
      </c>
      <c r="H1445" s="7" t="s">
        <v>1606</v>
      </c>
      <c r="I1445" s="4" t="s">
        <v>1574</v>
      </c>
      <c r="J1445" s="4" t="s">
        <v>1624</v>
      </c>
      <c r="K1445" s="8"/>
      <c r="L1445" s="8" t="s">
        <v>2660</v>
      </c>
      <c r="M1445" s="9">
        <f t="shared" si="1"/>
        <v>36</v>
      </c>
    </row>
    <row r="1446" ht="12.75" customHeight="1">
      <c r="A1446" s="4">
        <f t="shared" si="2"/>
        <v>1445</v>
      </c>
      <c r="B1446" s="4" t="s">
        <v>3198</v>
      </c>
      <c r="C1446" s="5" t="s">
        <v>3199</v>
      </c>
      <c r="D1446" s="4"/>
      <c r="E1446" s="4"/>
      <c r="F1446" s="4" t="s">
        <v>22</v>
      </c>
      <c r="G1446" s="21">
        <v>0.09</v>
      </c>
      <c r="H1446" s="7" t="s">
        <v>1606</v>
      </c>
      <c r="I1446" s="4" t="s">
        <v>1574</v>
      </c>
      <c r="J1446" s="4" t="s">
        <v>1624</v>
      </c>
      <c r="K1446" s="8"/>
      <c r="L1446" s="8" t="s">
        <v>2660</v>
      </c>
      <c r="M1446" s="9">
        <f t="shared" si="1"/>
        <v>38</v>
      </c>
    </row>
    <row r="1447" ht="12.75" customHeight="1">
      <c r="A1447" s="4">
        <f t="shared" si="2"/>
        <v>1446</v>
      </c>
      <c r="B1447" s="4" t="s">
        <v>3200</v>
      </c>
      <c r="C1447" s="5" t="s">
        <v>3201</v>
      </c>
      <c r="D1447" s="4"/>
      <c r="E1447" s="4"/>
      <c r="F1447" s="4" t="s">
        <v>22</v>
      </c>
      <c r="G1447" s="6">
        <v>0.4</v>
      </c>
      <c r="H1447" s="7" t="s">
        <v>1606</v>
      </c>
      <c r="I1447" s="4" t="s">
        <v>1574</v>
      </c>
      <c r="J1447" s="4" t="s">
        <v>1624</v>
      </c>
      <c r="K1447" s="8"/>
      <c r="L1447" s="8" t="s">
        <v>2660</v>
      </c>
      <c r="M1447" s="9">
        <f t="shared" si="1"/>
        <v>36</v>
      </c>
    </row>
    <row r="1448" ht="12.75" customHeight="1">
      <c r="A1448" s="4">
        <f t="shared" si="2"/>
        <v>1447</v>
      </c>
      <c r="B1448" s="4" t="s">
        <v>3202</v>
      </c>
      <c r="C1448" s="5" t="s">
        <v>3203</v>
      </c>
      <c r="D1448" s="4"/>
      <c r="E1448" s="4"/>
      <c r="F1448" s="4" t="s">
        <v>22</v>
      </c>
      <c r="G1448" s="21">
        <v>0.91</v>
      </c>
      <c r="H1448" s="7" t="s">
        <v>1606</v>
      </c>
      <c r="I1448" s="4" t="s">
        <v>1574</v>
      </c>
      <c r="J1448" s="4" t="s">
        <v>1624</v>
      </c>
      <c r="K1448" s="8"/>
      <c r="L1448" s="8" t="s">
        <v>2660</v>
      </c>
      <c r="M1448" s="9">
        <f t="shared" si="1"/>
        <v>36</v>
      </c>
    </row>
    <row r="1449" ht="12.75" customHeight="1">
      <c r="A1449" s="4">
        <f t="shared" si="2"/>
        <v>1448</v>
      </c>
      <c r="B1449" s="4" t="s">
        <v>3204</v>
      </c>
      <c r="C1449" s="5" t="s">
        <v>3205</v>
      </c>
      <c r="D1449" s="4"/>
      <c r="E1449" s="4"/>
      <c r="F1449" s="4" t="s">
        <v>22</v>
      </c>
      <c r="G1449" s="21">
        <v>0.12</v>
      </c>
      <c r="H1449" s="7" t="s">
        <v>1606</v>
      </c>
      <c r="I1449" s="4" t="s">
        <v>1574</v>
      </c>
      <c r="J1449" s="4" t="s">
        <v>1624</v>
      </c>
      <c r="K1449" s="8"/>
      <c r="L1449" s="8" t="s">
        <v>2660</v>
      </c>
      <c r="M1449" s="9">
        <f t="shared" si="1"/>
        <v>38</v>
      </c>
    </row>
    <row r="1450" ht="12.75" customHeight="1">
      <c r="A1450" s="4">
        <f t="shared" si="2"/>
        <v>1449</v>
      </c>
      <c r="B1450" s="4" t="s">
        <v>3206</v>
      </c>
      <c r="C1450" s="5" t="s">
        <v>3207</v>
      </c>
      <c r="D1450" s="4"/>
      <c r="E1450" s="4"/>
      <c r="F1450" s="4" t="s">
        <v>22</v>
      </c>
      <c r="G1450" s="6">
        <v>1.29</v>
      </c>
      <c r="H1450" s="7" t="s">
        <v>1606</v>
      </c>
      <c r="I1450" s="4" t="s">
        <v>1574</v>
      </c>
      <c r="J1450" s="4" t="s">
        <v>1624</v>
      </c>
      <c r="K1450" s="8"/>
      <c r="L1450" s="8" t="s">
        <v>2660</v>
      </c>
      <c r="M1450" s="9">
        <f t="shared" si="1"/>
        <v>36</v>
      </c>
    </row>
    <row r="1451" ht="12.75" customHeight="1">
      <c r="A1451" s="4">
        <f t="shared" si="2"/>
        <v>1450</v>
      </c>
      <c r="B1451" s="4" t="s">
        <v>3208</v>
      </c>
      <c r="C1451" s="5" t="s">
        <v>3209</v>
      </c>
      <c r="D1451" s="4"/>
      <c r="E1451" s="4"/>
      <c r="F1451" s="4" t="s">
        <v>1791</v>
      </c>
      <c r="G1451" s="21">
        <v>5.41</v>
      </c>
      <c r="H1451" s="7" t="s">
        <v>1606</v>
      </c>
      <c r="I1451" s="4" t="s">
        <v>1704</v>
      </c>
      <c r="J1451" s="4" t="s">
        <v>736</v>
      </c>
      <c r="K1451" s="8"/>
      <c r="L1451" s="8" t="s">
        <v>3210</v>
      </c>
      <c r="M1451" s="9">
        <f t="shared" si="1"/>
        <v>64</v>
      </c>
    </row>
    <row r="1452" ht="12.75" customHeight="1">
      <c r="A1452" s="4">
        <f t="shared" si="2"/>
        <v>1451</v>
      </c>
      <c r="B1452" s="4" t="s">
        <v>3211</v>
      </c>
      <c r="C1452" s="5" t="s">
        <v>3212</v>
      </c>
      <c r="D1452" s="4"/>
      <c r="E1452" s="4"/>
      <c r="F1452" s="4" t="s">
        <v>22</v>
      </c>
      <c r="G1452" s="21">
        <v>4.32</v>
      </c>
      <c r="H1452" s="7" t="s">
        <v>1606</v>
      </c>
      <c r="I1452" s="4" t="s">
        <v>17</v>
      </c>
      <c r="J1452" s="4" t="s">
        <v>2025</v>
      </c>
      <c r="K1452" s="8"/>
      <c r="L1452" s="8" t="s">
        <v>33</v>
      </c>
      <c r="M1452" s="9">
        <f t="shared" si="1"/>
        <v>36</v>
      </c>
    </row>
    <row r="1453" ht="12.75" customHeight="1">
      <c r="A1453" s="4">
        <f t="shared" si="2"/>
        <v>1452</v>
      </c>
      <c r="B1453" s="4" t="s">
        <v>3213</v>
      </c>
      <c r="C1453" s="5" t="s">
        <v>3214</v>
      </c>
      <c r="D1453" s="4"/>
      <c r="E1453" s="4"/>
      <c r="F1453" s="4" t="s">
        <v>22</v>
      </c>
      <c r="G1453" s="6">
        <v>1.03</v>
      </c>
      <c r="H1453" s="7" t="s">
        <v>1606</v>
      </c>
      <c r="I1453" s="4" t="s">
        <v>1773</v>
      </c>
      <c r="J1453" s="4" t="s">
        <v>1774</v>
      </c>
      <c r="K1453" s="8"/>
      <c r="L1453" s="8" t="s">
        <v>3215</v>
      </c>
      <c r="M1453" s="9">
        <f t="shared" si="1"/>
        <v>22</v>
      </c>
    </row>
    <row r="1454" ht="12.75" customHeight="1">
      <c r="A1454" s="4">
        <f t="shared" si="2"/>
        <v>1453</v>
      </c>
      <c r="B1454" s="4" t="s">
        <v>3216</v>
      </c>
      <c r="C1454" s="5" t="s">
        <v>3217</v>
      </c>
      <c r="D1454" s="4"/>
      <c r="E1454" s="4"/>
      <c r="F1454" s="4" t="s">
        <v>22</v>
      </c>
      <c r="G1454" s="6">
        <v>0.41</v>
      </c>
      <c r="H1454" s="7" t="s">
        <v>1606</v>
      </c>
      <c r="I1454" s="4" t="s">
        <v>2819</v>
      </c>
      <c r="J1454" s="4" t="s">
        <v>1544</v>
      </c>
      <c r="K1454" s="8"/>
      <c r="L1454" s="8" t="s">
        <v>33</v>
      </c>
      <c r="M1454" s="9">
        <f t="shared" si="1"/>
        <v>24</v>
      </c>
    </row>
    <row r="1455" ht="12.75" customHeight="1">
      <c r="A1455" s="4">
        <f t="shared" si="2"/>
        <v>1454</v>
      </c>
      <c r="B1455" s="4" t="s">
        <v>3218</v>
      </c>
      <c r="C1455" s="5" t="s">
        <v>3219</v>
      </c>
      <c r="D1455" s="4"/>
      <c r="E1455" s="4"/>
      <c r="F1455" s="4" t="s">
        <v>22</v>
      </c>
      <c r="G1455" s="6">
        <v>7.62</v>
      </c>
      <c r="H1455" s="7" t="s">
        <v>1606</v>
      </c>
      <c r="I1455" s="4" t="s">
        <v>1800</v>
      </c>
      <c r="J1455" s="4" t="s">
        <v>1801</v>
      </c>
      <c r="K1455" s="8"/>
      <c r="L1455" s="8" t="s">
        <v>33</v>
      </c>
      <c r="M1455" s="9">
        <f t="shared" si="1"/>
        <v>24</v>
      </c>
    </row>
    <row r="1456" ht="12.75" customHeight="1">
      <c r="A1456" s="4">
        <f t="shared" si="2"/>
        <v>1455</v>
      </c>
      <c r="B1456" s="4" t="s">
        <v>3220</v>
      </c>
      <c r="C1456" s="5" t="s">
        <v>3221</v>
      </c>
      <c r="D1456" s="4"/>
      <c r="E1456" s="4"/>
      <c r="F1456" s="4" t="s">
        <v>22</v>
      </c>
      <c r="G1456" s="6">
        <v>6.81</v>
      </c>
      <c r="H1456" s="7" t="s">
        <v>1606</v>
      </c>
      <c r="I1456" s="4" t="s">
        <v>1800</v>
      </c>
      <c r="J1456" s="4" t="s">
        <v>1801</v>
      </c>
      <c r="K1456" s="8"/>
      <c r="L1456" s="8" t="s">
        <v>33</v>
      </c>
      <c r="M1456" s="9">
        <f t="shared" si="1"/>
        <v>21</v>
      </c>
    </row>
    <row r="1457" ht="12.75" customHeight="1">
      <c r="A1457" s="4">
        <f t="shared" si="2"/>
        <v>1456</v>
      </c>
      <c r="B1457" s="4" t="s">
        <v>3222</v>
      </c>
      <c r="C1457" s="5" t="s">
        <v>3223</v>
      </c>
      <c r="D1457" s="4"/>
      <c r="E1457" s="4"/>
      <c r="F1457" s="4" t="s">
        <v>22</v>
      </c>
      <c r="G1457" s="6">
        <v>2.4</v>
      </c>
      <c r="H1457" s="7" t="s">
        <v>1606</v>
      </c>
      <c r="I1457" s="4" t="s">
        <v>1773</v>
      </c>
      <c r="J1457" s="4" t="s">
        <v>1774</v>
      </c>
      <c r="K1457" s="8"/>
      <c r="L1457" s="8" t="s">
        <v>33</v>
      </c>
      <c r="M1457" s="9">
        <f t="shared" si="1"/>
        <v>40</v>
      </c>
    </row>
    <row r="1458" ht="12.75" customHeight="1">
      <c r="A1458" s="4">
        <f t="shared" si="2"/>
        <v>1457</v>
      </c>
      <c r="B1458" s="4" t="s">
        <v>3224</v>
      </c>
      <c r="C1458" s="5" t="s">
        <v>3225</v>
      </c>
      <c r="D1458" s="4"/>
      <c r="E1458" s="4"/>
      <c r="F1458" s="4" t="s">
        <v>22</v>
      </c>
      <c r="G1458" s="6">
        <v>1.32</v>
      </c>
      <c r="H1458" s="7" t="s">
        <v>1606</v>
      </c>
      <c r="I1458" s="4" t="s">
        <v>1773</v>
      </c>
      <c r="J1458" s="4" t="s">
        <v>1774</v>
      </c>
      <c r="K1458" s="8"/>
      <c r="L1458" s="8" t="s">
        <v>3215</v>
      </c>
      <c r="M1458" s="9">
        <f t="shared" si="1"/>
        <v>24</v>
      </c>
    </row>
    <row r="1459" ht="12.75" customHeight="1">
      <c r="A1459" s="4">
        <f t="shared" si="2"/>
        <v>1458</v>
      </c>
      <c r="B1459" s="4" t="s">
        <v>3226</v>
      </c>
      <c r="C1459" s="5" t="s">
        <v>3227</v>
      </c>
      <c r="D1459" s="4"/>
      <c r="E1459" s="4"/>
      <c r="F1459" s="4" t="s">
        <v>22</v>
      </c>
      <c r="G1459" s="6">
        <v>1.64</v>
      </c>
      <c r="H1459" s="7" t="s">
        <v>1606</v>
      </c>
      <c r="I1459" s="4" t="s">
        <v>1773</v>
      </c>
      <c r="J1459" s="4" t="s">
        <v>1774</v>
      </c>
      <c r="K1459" s="8"/>
      <c r="L1459" s="8" t="s">
        <v>33</v>
      </c>
      <c r="M1459" s="9">
        <f t="shared" si="1"/>
        <v>19</v>
      </c>
    </row>
    <row r="1460" ht="12.75" customHeight="1">
      <c r="A1460" s="4">
        <f t="shared" si="2"/>
        <v>1459</v>
      </c>
      <c r="B1460" s="4" t="s">
        <v>3228</v>
      </c>
      <c r="C1460" s="5" t="s">
        <v>3229</v>
      </c>
      <c r="D1460" s="4"/>
      <c r="E1460" s="4"/>
      <c r="F1460" s="4" t="s">
        <v>22</v>
      </c>
      <c r="G1460" s="6">
        <v>29.52</v>
      </c>
      <c r="H1460" s="7" t="s">
        <v>1606</v>
      </c>
      <c r="I1460" s="4" t="s">
        <v>1697</v>
      </c>
      <c r="J1460" s="4" t="s">
        <v>1698</v>
      </c>
      <c r="K1460" s="8"/>
      <c r="L1460" s="8" t="s">
        <v>1701</v>
      </c>
      <c r="M1460" s="9">
        <f t="shared" si="1"/>
        <v>47</v>
      </c>
    </row>
    <row r="1461" ht="12.75" customHeight="1">
      <c r="A1461" s="4">
        <f t="shared" si="2"/>
        <v>1460</v>
      </c>
      <c r="B1461" s="4" t="s">
        <v>3230</v>
      </c>
      <c r="C1461" s="5" t="s">
        <v>3231</v>
      </c>
      <c r="D1461" s="4"/>
      <c r="E1461" s="4"/>
      <c r="F1461" s="4" t="s">
        <v>22</v>
      </c>
      <c r="G1461" s="6">
        <v>29.52</v>
      </c>
      <c r="H1461" s="7" t="s">
        <v>1606</v>
      </c>
      <c r="I1461" s="4" t="s">
        <v>1697</v>
      </c>
      <c r="J1461" s="4" t="s">
        <v>1698</v>
      </c>
      <c r="K1461" s="8"/>
      <c r="L1461" s="8" t="s">
        <v>1509</v>
      </c>
      <c r="M1461" s="9">
        <f t="shared" si="1"/>
        <v>42</v>
      </c>
    </row>
    <row r="1462" ht="12.75" customHeight="1">
      <c r="A1462" s="4">
        <f t="shared" si="2"/>
        <v>1461</v>
      </c>
      <c r="B1462" s="4" t="s">
        <v>3232</v>
      </c>
      <c r="C1462" s="5" t="s">
        <v>3233</v>
      </c>
      <c r="D1462" s="4"/>
      <c r="E1462" s="4"/>
      <c r="F1462" s="4" t="s">
        <v>22</v>
      </c>
      <c r="G1462" s="6">
        <v>2.71</v>
      </c>
      <c r="H1462" s="7" t="s">
        <v>1606</v>
      </c>
      <c r="I1462" s="4" t="s">
        <v>1800</v>
      </c>
      <c r="J1462" s="4" t="s">
        <v>1801</v>
      </c>
      <c r="K1462" s="8"/>
      <c r="L1462" s="8" t="s">
        <v>3234</v>
      </c>
      <c r="M1462" s="9">
        <f t="shared" si="1"/>
        <v>54</v>
      </c>
    </row>
    <row r="1463" ht="12.75" customHeight="1">
      <c r="A1463" s="4">
        <f t="shared" si="2"/>
        <v>1462</v>
      </c>
      <c r="B1463" s="4" t="s">
        <v>3235</v>
      </c>
      <c r="C1463" s="5" t="s">
        <v>3236</v>
      </c>
      <c r="D1463" s="4"/>
      <c r="E1463" s="4"/>
      <c r="F1463" s="4" t="s">
        <v>22</v>
      </c>
      <c r="G1463" s="6">
        <v>7.64</v>
      </c>
      <c r="H1463" s="7" t="s">
        <v>1606</v>
      </c>
      <c r="I1463" s="4" t="s">
        <v>1574</v>
      </c>
      <c r="J1463" s="4" t="s">
        <v>1624</v>
      </c>
      <c r="K1463" s="8"/>
      <c r="L1463" s="8" t="s">
        <v>2660</v>
      </c>
      <c r="M1463" s="9">
        <f t="shared" si="1"/>
        <v>29</v>
      </c>
    </row>
    <row r="1464" ht="12.75" customHeight="1">
      <c r="A1464" s="4">
        <f t="shared" si="2"/>
        <v>1463</v>
      </c>
      <c r="B1464" s="4" t="s">
        <v>3237</v>
      </c>
      <c r="C1464" s="5" t="s">
        <v>3238</v>
      </c>
      <c r="D1464" s="4"/>
      <c r="E1464" s="4"/>
      <c r="F1464" s="4" t="s">
        <v>22</v>
      </c>
      <c r="G1464" s="6">
        <v>3.65</v>
      </c>
      <c r="H1464" s="7" t="s">
        <v>1606</v>
      </c>
      <c r="I1464" s="4" t="s">
        <v>1574</v>
      </c>
      <c r="J1464" s="4" t="s">
        <v>1624</v>
      </c>
      <c r="K1464" s="8"/>
      <c r="L1464" s="8" t="s">
        <v>2660</v>
      </c>
      <c r="M1464" s="9">
        <f t="shared" si="1"/>
        <v>25</v>
      </c>
    </row>
    <row r="1465" ht="12.75" customHeight="1">
      <c r="A1465" s="4">
        <f t="shared" si="2"/>
        <v>1464</v>
      </c>
      <c r="B1465" s="4" t="s">
        <v>3239</v>
      </c>
      <c r="C1465" s="5" t="s">
        <v>3240</v>
      </c>
      <c r="D1465" s="4"/>
      <c r="E1465" s="4"/>
      <c r="F1465" s="4" t="s">
        <v>22</v>
      </c>
      <c r="G1465" s="6">
        <v>1.77</v>
      </c>
      <c r="H1465" s="7" t="s">
        <v>1606</v>
      </c>
      <c r="I1465" s="4" t="s">
        <v>1574</v>
      </c>
      <c r="J1465" s="4" t="s">
        <v>1624</v>
      </c>
      <c r="K1465" s="8"/>
      <c r="L1465" s="8" t="s">
        <v>2660</v>
      </c>
      <c r="M1465" s="9">
        <f t="shared" si="1"/>
        <v>27</v>
      </c>
    </row>
    <row r="1466" ht="12.75" customHeight="1">
      <c r="A1466" s="4">
        <f t="shared" si="2"/>
        <v>1465</v>
      </c>
      <c r="B1466" s="4" t="s">
        <v>3241</v>
      </c>
      <c r="C1466" s="5" t="s">
        <v>3242</v>
      </c>
      <c r="D1466" s="4"/>
      <c r="E1466" s="4"/>
      <c r="F1466" s="4" t="s">
        <v>22</v>
      </c>
      <c r="G1466" s="6">
        <v>8.77</v>
      </c>
      <c r="H1466" s="7" t="s">
        <v>1606</v>
      </c>
      <c r="I1466" s="4" t="s">
        <v>1574</v>
      </c>
      <c r="J1466" s="4" t="s">
        <v>1624</v>
      </c>
      <c r="K1466" s="8"/>
      <c r="L1466" s="8" t="s">
        <v>2660</v>
      </c>
      <c r="M1466" s="9">
        <f t="shared" si="1"/>
        <v>25</v>
      </c>
    </row>
    <row r="1467" ht="12.75" customHeight="1">
      <c r="A1467" s="4">
        <f t="shared" si="2"/>
        <v>1466</v>
      </c>
      <c r="B1467" s="4" t="s">
        <v>3243</v>
      </c>
      <c r="C1467" s="5" t="s">
        <v>3244</v>
      </c>
      <c r="D1467" s="4"/>
      <c r="E1467" s="4"/>
      <c r="F1467" s="4" t="s">
        <v>22</v>
      </c>
      <c r="G1467" s="6">
        <v>9.6</v>
      </c>
      <c r="H1467" s="7" t="s">
        <v>1606</v>
      </c>
      <c r="I1467" s="4" t="s">
        <v>1574</v>
      </c>
      <c r="J1467" s="4" t="s">
        <v>1624</v>
      </c>
      <c r="K1467" s="8"/>
      <c r="L1467" s="8" t="s">
        <v>2660</v>
      </c>
      <c r="M1467" s="9">
        <f t="shared" si="1"/>
        <v>25</v>
      </c>
    </row>
    <row r="1468" ht="12.75" customHeight="1">
      <c r="A1468" s="4">
        <f t="shared" si="2"/>
        <v>1467</v>
      </c>
      <c r="B1468" s="4" t="s">
        <v>3245</v>
      </c>
      <c r="C1468" s="5" t="s">
        <v>3246</v>
      </c>
      <c r="D1468" s="4"/>
      <c r="E1468" s="4"/>
      <c r="F1468" s="4" t="s">
        <v>22</v>
      </c>
      <c r="G1468" s="6">
        <v>1.3</v>
      </c>
      <c r="H1468" s="7" t="s">
        <v>1606</v>
      </c>
      <c r="I1468" s="4" t="s">
        <v>1574</v>
      </c>
      <c r="J1468" s="4" t="s">
        <v>1624</v>
      </c>
      <c r="K1468" s="8"/>
      <c r="L1468" s="8" t="s">
        <v>2660</v>
      </c>
      <c r="M1468" s="9">
        <f t="shared" si="1"/>
        <v>27</v>
      </c>
    </row>
    <row r="1469" ht="12.75" customHeight="1">
      <c r="A1469" s="4">
        <f t="shared" si="2"/>
        <v>1468</v>
      </c>
      <c r="B1469" s="4" t="s">
        <v>3247</v>
      </c>
      <c r="C1469" s="5" t="s">
        <v>3248</v>
      </c>
      <c r="D1469" s="4"/>
      <c r="E1469" s="4"/>
      <c r="F1469" s="4" t="s">
        <v>22</v>
      </c>
      <c r="G1469" s="6">
        <v>67.69</v>
      </c>
      <c r="H1469" s="7" t="s">
        <v>1606</v>
      </c>
      <c r="I1469" s="4" t="s">
        <v>1574</v>
      </c>
      <c r="J1469" s="4" t="s">
        <v>1624</v>
      </c>
      <c r="K1469" s="8"/>
      <c r="L1469" s="8" t="s">
        <v>2660</v>
      </c>
      <c r="M1469" s="9">
        <f t="shared" si="1"/>
        <v>25</v>
      </c>
    </row>
    <row r="1470" ht="12.75" customHeight="1">
      <c r="A1470" s="4">
        <f t="shared" si="2"/>
        <v>1469</v>
      </c>
      <c r="B1470" s="4" t="s">
        <v>3249</v>
      </c>
      <c r="C1470" s="5" t="s">
        <v>3250</v>
      </c>
      <c r="D1470" s="4"/>
      <c r="E1470" s="4"/>
      <c r="F1470" s="4" t="s">
        <v>22</v>
      </c>
      <c r="G1470" s="6">
        <v>1.25</v>
      </c>
      <c r="H1470" s="7" t="s">
        <v>1606</v>
      </c>
      <c r="I1470" s="4" t="s">
        <v>1623</v>
      </c>
      <c r="J1470" s="4" t="s">
        <v>3029</v>
      </c>
      <c r="K1470" s="8"/>
      <c r="L1470" s="8" t="s">
        <v>2623</v>
      </c>
      <c r="M1470" s="9">
        <f t="shared" si="1"/>
        <v>26</v>
      </c>
    </row>
    <row r="1471" ht="12.75" customHeight="1">
      <c r="A1471" s="4">
        <f t="shared" si="2"/>
        <v>1470</v>
      </c>
      <c r="B1471" s="4" t="s">
        <v>3251</v>
      </c>
      <c r="C1471" s="5" t="s">
        <v>3252</v>
      </c>
      <c r="D1471" s="4"/>
      <c r="E1471" s="4"/>
      <c r="F1471" s="4" t="s">
        <v>22</v>
      </c>
      <c r="G1471" s="6">
        <v>1.25</v>
      </c>
      <c r="H1471" s="7" t="s">
        <v>1606</v>
      </c>
      <c r="I1471" s="4" t="s">
        <v>1623</v>
      </c>
      <c r="J1471" s="4" t="s">
        <v>3029</v>
      </c>
      <c r="K1471" s="8"/>
      <c r="L1471" s="8" t="s">
        <v>2623</v>
      </c>
      <c r="M1471" s="9">
        <f t="shared" si="1"/>
        <v>26</v>
      </c>
    </row>
    <row r="1472" ht="12.75" customHeight="1">
      <c r="A1472" s="4">
        <f t="shared" si="2"/>
        <v>1471</v>
      </c>
      <c r="B1472" s="4" t="s">
        <v>3253</v>
      </c>
      <c r="C1472" s="5" t="s">
        <v>3254</v>
      </c>
      <c r="D1472" s="4"/>
      <c r="E1472" s="4"/>
      <c r="F1472" s="4" t="s">
        <v>22</v>
      </c>
      <c r="G1472" s="6">
        <v>0.65</v>
      </c>
      <c r="H1472" s="7" t="s">
        <v>1606</v>
      </c>
      <c r="I1472" s="4" t="s">
        <v>1623</v>
      </c>
      <c r="J1472" s="4" t="s">
        <v>3029</v>
      </c>
      <c r="K1472" s="8"/>
      <c r="L1472" s="8" t="s">
        <v>2623</v>
      </c>
      <c r="M1472" s="9">
        <f t="shared" si="1"/>
        <v>22</v>
      </c>
    </row>
    <row r="1473" ht="12.75" customHeight="1">
      <c r="A1473" s="4">
        <f t="shared" si="2"/>
        <v>1472</v>
      </c>
      <c r="B1473" s="4" t="s">
        <v>3255</v>
      </c>
      <c r="C1473" s="5" t="s">
        <v>3256</v>
      </c>
      <c r="D1473" s="4"/>
      <c r="E1473" s="4"/>
      <c r="F1473" s="4" t="s">
        <v>22</v>
      </c>
      <c r="G1473" s="6">
        <v>0.65</v>
      </c>
      <c r="H1473" s="7" t="s">
        <v>1606</v>
      </c>
      <c r="I1473" s="4" t="s">
        <v>1623</v>
      </c>
      <c r="J1473" s="4" t="s">
        <v>3029</v>
      </c>
      <c r="K1473" s="8"/>
      <c r="L1473" s="8" t="s">
        <v>2623</v>
      </c>
      <c r="M1473" s="9">
        <f t="shared" si="1"/>
        <v>22</v>
      </c>
    </row>
    <row r="1474" ht="12.75" customHeight="1">
      <c r="A1474" s="4">
        <f t="shared" si="2"/>
        <v>1473</v>
      </c>
      <c r="B1474" s="4" t="s">
        <v>3257</v>
      </c>
      <c r="C1474" s="5" t="s">
        <v>3258</v>
      </c>
      <c r="D1474" s="4"/>
      <c r="E1474" s="4"/>
      <c r="F1474" s="4" t="s">
        <v>22</v>
      </c>
      <c r="G1474" s="6">
        <v>0.35</v>
      </c>
      <c r="H1474" s="7" t="s">
        <v>1606</v>
      </c>
      <c r="I1474" s="4" t="s">
        <v>1623</v>
      </c>
      <c r="J1474" s="4" t="s">
        <v>3029</v>
      </c>
      <c r="K1474" s="8"/>
      <c r="L1474" s="8" t="s">
        <v>2623</v>
      </c>
      <c r="M1474" s="9">
        <f t="shared" si="1"/>
        <v>24</v>
      </c>
    </row>
    <row r="1475" ht="12.75" customHeight="1">
      <c r="A1475" s="4">
        <f t="shared" si="2"/>
        <v>1474</v>
      </c>
      <c r="B1475" s="4" t="s">
        <v>3259</v>
      </c>
      <c r="C1475" s="5" t="s">
        <v>3260</v>
      </c>
      <c r="D1475" s="4"/>
      <c r="E1475" s="4"/>
      <c r="F1475" s="4" t="s">
        <v>22</v>
      </c>
      <c r="G1475" s="6">
        <v>0.35</v>
      </c>
      <c r="H1475" s="7" t="s">
        <v>1606</v>
      </c>
      <c r="I1475" s="4" t="s">
        <v>1623</v>
      </c>
      <c r="J1475" s="4" t="s">
        <v>3029</v>
      </c>
      <c r="K1475" s="8"/>
      <c r="L1475" s="8" t="s">
        <v>2623</v>
      </c>
      <c r="M1475" s="9">
        <f t="shared" si="1"/>
        <v>24</v>
      </c>
    </row>
    <row r="1476" ht="12.75" customHeight="1">
      <c r="A1476" s="4">
        <f t="shared" si="2"/>
        <v>1475</v>
      </c>
      <c r="B1476" s="4" t="s">
        <v>3261</v>
      </c>
      <c r="C1476" s="5" t="s">
        <v>3262</v>
      </c>
      <c r="D1476" s="4"/>
      <c r="E1476" s="4"/>
      <c r="F1476" s="4" t="s">
        <v>22</v>
      </c>
      <c r="G1476" s="6">
        <v>2.3</v>
      </c>
      <c r="H1476" s="7" t="s">
        <v>1606</v>
      </c>
      <c r="I1476" s="4" t="s">
        <v>1623</v>
      </c>
      <c r="J1476" s="4" t="s">
        <v>3029</v>
      </c>
      <c r="K1476" s="8"/>
      <c r="L1476" s="8" t="s">
        <v>2623</v>
      </c>
      <c r="M1476" s="9">
        <f t="shared" si="1"/>
        <v>22</v>
      </c>
    </row>
    <row r="1477" ht="12.75" customHeight="1">
      <c r="A1477" s="4">
        <f t="shared" si="2"/>
        <v>1476</v>
      </c>
      <c r="B1477" s="4" t="s">
        <v>3263</v>
      </c>
      <c r="C1477" s="5" t="s">
        <v>3264</v>
      </c>
      <c r="D1477" s="4"/>
      <c r="E1477" s="4"/>
      <c r="F1477" s="4" t="s">
        <v>22</v>
      </c>
      <c r="G1477" s="6">
        <v>2.3</v>
      </c>
      <c r="H1477" s="7" t="s">
        <v>1606</v>
      </c>
      <c r="I1477" s="4" t="s">
        <v>1623</v>
      </c>
      <c r="J1477" s="4" t="s">
        <v>3029</v>
      </c>
      <c r="K1477" s="8"/>
      <c r="L1477" s="8" t="s">
        <v>2623</v>
      </c>
      <c r="M1477" s="9">
        <f t="shared" si="1"/>
        <v>22</v>
      </c>
    </row>
    <row r="1478" ht="12.75" customHeight="1">
      <c r="A1478" s="4">
        <f t="shared" si="2"/>
        <v>1477</v>
      </c>
      <c r="B1478" s="4" t="s">
        <v>3265</v>
      </c>
      <c r="C1478" s="5" t="s">
        <v>3266</v>
      </c>
      <c r="D1478" s="4"/>
      <c r="E1478" s="4"/>
      <c r="F1478" s="4" t="s">
        <v>22</v>
      </c>
      <c r="G1478" s="6">
        <v>6.94</v>
      </c>
      <c r="H1478" s="7" t="s">
        <v>1606</v>
      </c>
      <c r="I1478" s="4" t="s">
        <v>1623</v>
      </c>
      <c r="J1478" s="4" t="s">
        <v>3029</v>
      </c>
      <c r="K1478" s="8"/>
      <c r="L1478" s="8" t="s">
        <v>2623</v>
      </c>
      <c r="M1478" s="9">
        <f t="shared" si="1"/>
        <v>22</v>
      </c>
    </row>
    <row r="1479" ht="12.75" customHeight="1">
      <c r="A1479" s="4">
        <f t="shared" si="2"/>
        <v>1478</v>
      </c>
      <c r="B1479" s="4" t="s">
        <v>3267</v>
      </c>
      <c r="C1479" s="5" t="s">
        <v>3268</v>
      </c>
      <c r="D1479" s="4"/>
      <c r="E1479" s="4"/>
      <c r="F1479" s="4" t="s">
        <v>22</v>
      </c>
      <c r="G1479" s="6">
        <v>6.94</v>
      </c>
      <c r="H1479" s="7" t="s">
        <v>1606</v>
      </c>
      <c r="I1479" s="4" t="s">
        <v>1623</v>
      </c>
      <c r="J1479" s="4" t="s">
        <v>3029</v>
      </c>
      <c r="K1479" s="8"/>
      <c r="L1479" s="8" t="s">
        <v>2623</v>
      </c>
      <c r="M1479" s="9">
        <f t="shared" si="1"/>
        <v>22</v>
      </c>
    </row>
    <row r="1480" ht="12.75" customHeight="1">
      <c r="A1480" s="4">
        <f t="shared" si="2"/>
        <v>1479</v>
      </c>
      <c r="B1480" s="4" t="s">
        <v>3269</v>
      </c>
      <c r="C1480" s="5" t="s">
        <v>3270</v>
      </c>
      <c r="D1480" s="4"/>
      <c r="E1480" s="4"/>
      <c r="F1480" s="4" t="s">
        <v>22</v>
      </c>
      <c r="G1480" s="6">
        <v>0.44</v>
      </c>
      <c r="H1480" s="7" t="s">
        <v>1606</v>
      </c>
      <c r="I1480" s="4" t="s">
        <v>1623</v>
      </c>
      <c r="J1480" s="4" t="s">
        <v>3029</v>
      </c>
      <c r="K1480" s="8"/>
      <c r="L1480" s="8" t="s">
        <v>2623</v>
      </c>
      <c r="M1480" s="9">
        <f t="shared" si="1"/>
        <v>24</v>
      </c>
    </row>
    <row r="1481" ht="12.75" customHeight="1">
      <c r="A1481" s="4">
        <f t="shared" si="2"/>
        <v>1480</v>
      </c>
      <c r="B1481" s="4" t="s">
        <v>3271</v>
      </c>
      <c r="C1481" s="5" t="s">
        <v>3272</v>
      </c>
      <c r="D1481" s="4"/>
      <c r="E1481" s="4"/>
      <c r="F1481" s="4" t="s">
        <v>22</v>
      </c>
      <c r="G1481" s="6">
        <v>0.44</v>
      </c>
      <c r="H1481" s="7" t="s">
        <v>1606</v>
      </c>
      <c r="I1481" s="4" t="s">
        <v>1623</v>
      </c>
      <c r="J1481" s="4" t="s">
        <v>3029</v>
      </c>
      <c r="K1481" s="8"/>
      <c r="L1481" s="8" t="s">
        <v>2623</v>
      </c>
      <c r="M1481" s="9">
        <f t="shared" si="1"/>
        <v>24</v>
      </c>
    </row>
    <row r="1482" ht="12.75" customHeight="1">
      <c r="A1482" s="4">
        <f t="shared" si="2"/>
        <v>1481</v>
      </c>
      <c r="B1482" s="4" t="s">
        <v>3273</v>
      </c>
      <c r="C1482" s="5" t="s">
        <v>3274</v>
      </c>
      <c r="D1482" s="4"/>
      <c r="E1482" s="4"/>
      <c r="F1482" s="4" t="s">
        <v>22</v>
      </c>
      <c r="G1482" s="6">
        <v>12.67</v>
      </c>
      <c r="H1482" s="7" t="s">
        <v>1606</v>
      </c>
      <c r="I1482" s="4" t="s">
        <v>1623</v>
      </c>
      <c r="J1482" s="4" t="s">
        <v>3029</v>
      </c>
      <c r="K1482" s="8"/>
      <c r="L1482" s="8" t="s">
        <v>2623</v>
      </c>
      <c r="M1482" s="9">
        <f t="shared" si="1"/>
        <v>22</v>
      </c>
    </row>
    <row r="1483" ht="12.75" customHeight="1">
      <c r="A1483" s="4">
        <f t="shared" si="2"/>
        <v>1482</v>
      </c>
      <c r="B1483" s="4" t="s">
        <v>3275</v>
      </c>
      <c r="C1483" s="5" t="s">
        <v>3276</v>
      </c>
      <c r="D1483" s="4"/>
      <c r="E1483" s="4"/>
      <c r="F1483" s="4" t="s">
        <v>22</v>
      </c>
      <c r="G1483" s="6">
        <v>12.67</v>
      </c>
      <c r="H1483" s="7" t="s">
        <v>1606</v>
      </c>
      <c r="I1483" s="4" t="s">
        <v>1623</v>
      </c>
      <c r="J1483" s="4" t="s">
        <v>3029</v>
      </c>
      <c r="K1483" s="8"/>
      <c r="L1483" s="8" t="s">
        <v>2623</v>
      </c>
      <c r="M1483" s="9">
        <f t="shared" si="1"/>
        <v>22</v>
      </c>
    </row>
    <row r="1484" ht="12.75" customHeight="1">
      <c r="A1484" s="4">
        <f t="shared" si="2"/>
        <v>1483</v>
      </c>
      <c r="B1484" s="4" t="s">
        <v>3277</v>
      </c>
      <c r="C1484" s="5" t="s">
        <v>3278</v>
      </c>
      <c r="D1484" s="4"/>
      <c r="E1484" s="4"/>
      <c r="F1484" s="4" t="s">
        <v>22</v>
      </c>
      <c r="G1484" s="6">
        <v>16.22</v>
      </c>
      <c r="H1484" s="7" t="s">
        <v>1606</v>
      </c>
      <c r="I1484" s="4" t="s">
        <v>1623</v>
      </c>
      <c r="J1484" s="4" t="s">
        <v>3029</v>
      </c>
      <c r="K1484" s="8"/>
      <c r="L1484" s="8" t="s">
        <v>2623</v>
      </c>
      <c r="M1484" s="9">
        <f t="shared" si="1"/>
        <v>22</v>
      </c>
    </row>
    <row r="1485" ht="12.75" customHeight="1">
      <c r="A1485" s="4">
        <f t="shared" si="2"/>
        <v>1484</v>
      </c>
      <c r="B1485" s="4" t="s">
        <v>3279</v>
      </c>
      <c r="C1485" s="5" t="s">
        <v>3280</v>
      </c>
      <c r="D1485" s="4"/>
      <c r="E1485" s="4"/>
      <c r="F1485" s="4" t="s">
        <v>22</v>
      </c>
      <c r="G1485" s="6">
        <v>1.54</v>
      </c>
      <c r="H1485" s="7" t="s">
        <v>1606</v>
      </c>
      <c r="I1485" s="4" t="s">
        <v>1623</v>
      </c>
      <c r="J1485" s="4" t="s">
        <v>3029</v>
      </c>
      <c r="K1485" s="8"/>
      <c r="L1485" s="8" t="s">
        <v>2623</v>
      </c>
      <c r="M1485" s="9">
        <f t="shared" si="1"/>
        <v>36</v>
      </c>
    </row>
    <row r="1486" ht="12.75" customHeight="1">
      <c r="A1486" s="4">
        <f t="shared" si="2"/>
        <v>1485</v>
      </c>
      <c r="B1486" s="4" t="s">
        <v>3281</v>
      </c>
      <c r="C1486" s="5" t="s">
        <v>3282</v>
      </c>
      <c r="D1486" s="4"/>
      <c r="E1486" s="4"/>
      <c r="F1486" s="4" t="s">
        <v>22</v>
      </c>
      <c r="G1486" s="6">
        <v>0.39</v>
      </c>
      <c r="H1486" s="7" t="s">
        <v>1606</v>
      </c>
      <c r="I1486" s="4" t="s">
        <v>1623</v>
      </c>
      <c r="J1486" s="4" t="s">
        <v>3029</v>
      </c>
      <c r="K1486" s="8"/>
      <c r="L1486" s="8" t="s">
        <v>2623</v>
      </c>
      <c r="M1486" s="9">
        <f t="shared" si="1"/>
        <v>32</v>
      </c>
    </row>
    <row r="1487" ht="12.75" customHeight="1">
      <c r="A1487" s="4">
        <f t="shared" si="2"/>
        <v>1486</v>
      </c>
      <c r="B1487" s="4" t="s">
        <v>3283</v>
      </c>
      <c r="C1487" s="5" t="s">
        <v>3284</v>
      </c>
      <c r="D1487" s="4"/>
      <c r="E1487" s="4"/>
      <c r="F1487" s="4" t="s">
        <v>22</v>
      </c>
      <c r="G1487" s="6">
        <v>0.68</v>
      </c>
      <c r="H1487" s="7" t="s">
        <v>1606</v>
      </c>
      <c r="I1487" s="4" t="s">
        <v>1623</v>
      </c>
      <c r="J1487" s="4" t="s">
        <v>3029</v>
      </c>
      <c r="K1487" s="8"/>
      <c r="L1487" s="8" t="s">
        <v>2623</v>
      </c>
      <c r="M1487" s="9">
        <f t="shared" si="1"/>
        <v>34</v>
      </c>
    </row>
    <row r="1488" ht="12.75" customHeight="1">
      <c r="A1488" s="4">
        <f t="shared" si="2"/>
        <v>1487</v>
      </c>
      <c r="B1488" s="4" t="s">
        <v>3285</v>
      </c>
      <c r="C1488" s="5" t="s">
        <v>3286</v>
      </c>
      <c r="D1488" s="4"/>
      <c r="E1488" s="4"/>
      <c r="F1488" s="4" t="s">
        <v>22</v>
      </c>
      <c r="G1488" s="6">
        <v>2.29</v>
      </c>
      <c r="H1488" s="7" t="s">
        <v>1606</v>
      </c>
      <c r="I1488" s="4" t="s">
        <v>1623</v>
      </c>
      <c r="J1488" s="4" t="s">
        <v>3029</v>
      </c>
      <c r="K1488" s="8"/>
      <c r="L1488" s="8" t="s">
        <v>2623</v>
      </c>
      <c r="M1488" s="9">
        <f t="shared" si="1"/>
        <v>32</v>
      </c>
    </row>
    <row r="1489" ht="12.75" customHeight="1">
      <c r="A1489" s="4">
        <f t="shared" si="2"/>
        <v>1488</v>
      </c>
      <c r="B1489" s="4" t="s">
        <v>3287</v>
      </c>
      <c r="C1489" s="5" t="s">
        <v>3288</v>
      </c>
      <c r="D1489" s="4"/>
      <c r="E1489" s="4"/>
      <c r="F1489" s="4" t="s">
        <v>22</v>
      </c>
      <c r="G1489" s="6">
        <v>0.63</v>
      </c>
      <c r="H1489" s="7" t="s">
        <v>1606</v>
      </c>
      <c r="I1489" s="4" t="s">
        <v>1623</v>
      </c>
      <c r="J1489" s="4" t="s">
        <v>3029</v>
      </c>
      <c r="K1489" s="8"/>
      <c r="L1489" s="8" t="s">
        <v>2623</v>
      </c>
      <c r="M1489" s="9">
        <f t="shared" si="1"/>
        <v>34</v>
      </c>
    </row>
    <row r="1490" ht="12.75" customHeight="1">
      <c r="A1490" s="4">
        <f t="shared" si="2"/>
        <v>1489</v>
      </c>
      <c r="B1490" s="4" t="s">
        <v>3289</v>
      </c>
      <c r="C1490" s="5" t="s">
        <v>3290</v>
      </c>
      <c r="D1490" s="4"/>
      <c r="E1490" s="4"/>
      <c r="F1490" s="4" t="s">
        <v>22</v>
      </c>
      <c r="G1490" s="6">
        <v>4.08</v>
      </c>
      <c r="H1490" s="7" t="s">
        <v>1606</v>
      </c>
      <c r="I1490" s="4" t="s">
        <v>1623</v>
      </c>
      <c r="J1490" s="4" t="s">
        <v>3029</v>
      </c>
      <c r="K1490" s="8"/>
      <c r="L1490" s="8" t="s">
        <v>2623</v>
      </c>
      <c r="M1490" s="9">
        <f t="shared" si="1"/>
        <v>23</v>
      </c>
    </row>
    <row r="1491" ht="12.75" customHeight="1">
      <c r="A1491" s="4">
        <f t="shared" si="2"/>
        <v>1490</v>
      </c>
      <c r="B1491" s="4" t="s">
        <v>3291</v>
      </c>
      <c r="C1491" s="5" t="s">
        <v>3292</v>
      </c>
      <c r="D1491" s="4"/>
      <c r="E1491" s="4"/>
      <c r="F1491" s="4" t="s">
        <v>22</v>
      </c>
      <c r="G1491" s="6">
        <v>7.7</v>
      </c>
      <c r="H1491" s="7" t="s">
        <v>1606</v>
      </c>
      <c r="I1491" s="4" t="s">
        <v>1623</v>
      </c>
      <c r="J1491" s="4" t="s">
        <v>3029</v>
      </c>
      <c r="K1491" s="8"/>
      <c r="L1491" s="8" t="s">
        <v>2623</v>
      </c>
      <c r="M1491" s="9">
        <f t="shared" si="1"/>
        <v>27</v>
      </c>
    </row>
    <row r="1492" ht="12.75" customHeight="1">
      <c r="A1492" s="4">
        <f t="shared" si="2"/>
        <v>1491</v>
      </c>
      <c r="B1492" s="4" t="s">
        <v>3293</v>
      </c>
      <c r="C1492" s="5" t="s">
        <v>3294</v>
      </c>
      <c r="D1492" s="4"/>
      <c r="E1492" s="4"/>
      <c r="F1492" s="4" t="s">
        <v>22</v>
      </c>
      <c r="G1492" s="6">
        <v>9.08</v>
      </c>
      <c r="H1492" s="7" t="s">
        <v>1606</v>
      </c>
      <c r="I1492" s="4" t="s">
        <v>1623</v>
      </c>
      <c r="J1492" s="4" t="s">
        <v>3029</v>
      </c>
      <c r="K1492" s="8"/>
      <c r="L1492" s="8" t="s">
        <v>2623</v>
      </c>
      <c r="M1492" s="9">
        <f t="shared" si="1"/>
        <v>23</v>
      </c>
    </row>
    <row r="1493" ht="12.75" customHeight="1">
      <c r="A1493" s="4">
        <f t="shared" si="2"/>
        <v>1492</v>
      </c>
      <c r="B1493" s="4" t="s">
        <v>3295</v>
      </c>
      <c r="C1493" s="5" t="s">
        <v>3296</v>
      </c>
      <c r="D1493" s="4"/>
      <c r="E1493" s="4"/>
      <c r="F1493" s="4" t="s">
        <v>22</v>
      </c>
      <c r="G1493" s="6">
        <v>2.27</v>
      </c>
      <c r="H1493" s="7" t="s">
        <v>1606</v>
      </c>
      <c r="I1493" s="4" t="s">
        <v>1623</v>
      </c>
      <c r="J1493" s="4" t="s">
        <v>3029</v>
      </c>
      <c r="K1493" s="8"/>
      <c r="L1493" s="8" t="s">
        <v>2623</v>
      </c>
      <c r="M1493" s="9">
        <f t="shared" si="1"/>
        <v>25</v>
      </c>
    </row>
    <row r="1494" ht="12.75" customHeight="1">
      <c r="A1494" s="4">
        <f t="shared" si="2"/>
        <v>1493</v>
      </c>
      <c r="B1494" s="4" t="s">
        <v>3297</v>
      </c>
      <c r="C1494" s="5" t="s">
        <v>3298</v>
      </c>
      <c r="D1494" s="4"/>
      <c r="E1494" s="4"/>
      <c r="F1494" s="4" t="s">
        <v>22</v>
      </c>
      <c r="G1494" s="6">
        <v>31.78</v>
      </c>
      <c r="H1494" s="7" t="s">
        <v>1606</v>
      </c>
      <c r="I1494" s="4" t="s">
        <v>1623</v>
      </c>
      <c r="J1494" s="4" t="s">
        <v>3029</v>
      </c>
      <c r="K1494" s="8"/>
      <c r="L1494" s="8" t="s">
        <v>2623</v>
      </c>
      <c r="M1494" s="9">
        <f t="shared" si="1"/>
        <v>23</v>
      </c>
    </row>
    <row r="1495" ht="12.75" customHeight="1">
      <c r="A1495" s="4">
        <f t="shared" si="2"/>
        <v>1494</v>
      </c>
      <c r="B1495" s="4" t="s">
        <v>3299</v>
      </c>
      <c r="C1495" s="5" t="s">
        <v>3300</v>
      </c>
      <c r="D1495" s="4"/>
      <c r="E1495" s="4"/>
      <c r="F1495" s="4" t="s">
        <v>22</v>
      </c>
      <c r="G1495" s="6">
        <v>47.24</v>
      </c>
      <c r="H1495" s="7" t="s">
        <v>1606</v>
      </c>
      <c r="I1495" s="4" t="s">
        <v>1623</v>
      </c>
      <c r="J1495" s="4" t="s">
        <v>3029</v>
      </c>
      <c r="K1495" s="8"/>
      <c r="L1495" s="8" t="s">
        <v>2623</v>
      </c>
      <c r="M1495" s="9">
        <f t="shared" si="1"/>
        <v>23</v>
      </c>
    </row>
    <row r="1496" ht="12.75" customHeight="1">
      <c r="A1496" s="4">
        <f t="shared" si="2"/>
        <v>1495</v>
      </c>
      <c r="B1496" s="4" t="s">
        <v>3301</v>
      </c>
      <c r="C1496" s="5" t="s">
        <v>3302</v>
      </c>
      <c r="D1496" s="4"/>
      <c r="E1496" s="4"/>
      <c r="F1496" s="4" t="s">
        <v>22</v>
      </c>
      <c r="G1496" s="6">
        <v>133.11</v>
      </c>
      <c r="H1496" s="7" t="s">
        <v>1606</v>
      </c>
      <c r="I1496" s="4" t="s">
        <v>1623</v>
      </c>
      <c r="J1496" s="4" t="s">
        <v>3029</v>
      </c>
      <c r="K1496" s="8"/>
      <c r="L1496" s="8" t="s">
        <v>2623</v>
      </c>
      <c r="M1496" s="9">
        <f t="shared" si="1"/>
        <v>23</v>
      </c>
    </row>
    <row r="1497" ht="12.75" customHeight="1">
      <c r="A1497" s="4">
        <f t="shared" si="2"/>
        <v>1496</v>
      </c>
      <c r="B1497" s="4" t="s">
        <v>3303</v>
      </c>
      <c r="C1497" s="5" t="s">
        <v>3304</v>
      </c>
      <c r="D1497" s="4"/>
      <c r="E1497" s="4"/>
      <c r="F1497" s="4" t="s">
        <v>1694</v>
      </c>
      <c r="G1497" s="6">
        <v>19.4</v>
      </c>
      <c r="H1497" s="7" t="s">
        <v>1606</v>
      </c>
      <c r="I1497" s="4" t="s">
        <v>2044</v>
      </c>
      <c r="J1497" s="4" t="s">
        <v>3305</v>
      </c>
      <c r="K1497" s="8"/>
      <c r="L1497" s="8" t="s">
        <v>3306</v>
      </c>
      <c r="M1497" s="9">
        <f t="shared" si="1"/>
        <v>23</v>
      </c>
    </row>
    <row r="1498" ht="12.75" customHeight="1">
      <c r="A1498" s="4">
        <f t="shared" si="2"/>
        <v>1497</v>
      </c>
      <c r="B1498" s="4" t="s">
        <v>3307</v>
      </c>
      <c r="C1498" s="5" t="s">
        <v>3308</v>
      </c>
      <c r="D1498" s="4"/>
      <c r="E1498" s="4"/>
      <c r="F1498" s="4" t="s">
        <v>22</v>
      </c>
      <c r="G1498" s="6">
        <v>3.04</v>
      </c>
      <c r="H1498" s="7" t="s">
        <v>1606</v>
      </c>
      <c r="I1498" s="4" t="s">
        <v>1475</v>
      </c>
      <c r="J1498" s="4" t="s">
        <v>1476</v>
      </c>
      <c r="K1498" s="8"/>
      <c r="L1498" s="8" t="s">
        <v>3309</v>
      </c>
      <c r="M1498" s="9">
        <f t="shared" si="1"/>
        <v>22</v>
      </c>
    </row>
    <row r="1499" ht="12.75" customHeight="1">
      <c r="A1499" s="4">
        <f t="shared" si="2"/>
        <v>1498</v>
      </c>
      <c r="B1499" s="4" t="s">
        <v>3310</v>
      </c>
      <c r="C1499" s="5" t="s">
        <v>3311</v>
      </c>
      <c r="D1499" s="4"/>
      <c r="E1499" s="4"/>
      <c r="F1499" s="4" t="s">
        <v>22</v>
      </c>
      <c r="G1499" s="6">
        <v>4.93</v>
      </c>
      <c r="H1499" s="7" t="s">
        <v>1606</v>
      </c>
      <c r="I1499" s="4" t="s">
        <v>1746</v>
      </c>
      <c r="J1499" s="4" t="s">
        <v>3312</v>
      </c>
      <c r="K1499" s="8"/>
      <c r="L1499" s="8" t="s">
        <v>3313</v>
      </c>
      <c r="M1499" s="9">
        <f t="shared" si="1"/>
        <v>33</v>
      </c>
    </row>
    <row r="1500" ht="12.75" customHeight="1">
      <c r="A1500" s="4">
        <f t="shared" si="2"/>
        <v>1499</v>
      </c>
      <c r="B1500" s="4" t="s">
        <v>3314</v>
      </c>
      <c r="C1500" s="5" t="s">
        <v>3315</v>
      </c>
      <c r="D1500" s="4"/>
      <c r="E1500" s="4"/>
      <c r="F1500" s="4" t="s">
        <v>22</v>
      </c>
      <c r="G1500" s="6">
        <v>5.05</v>
      </c>
      <c r="H1500" s="7" t="s">
        <v>1606</v>
      </c>
      <c r="I1500" s="4" t="s">
        <v>1746</v>
      </c>
      <c r="J1500" s="4" t="s">
        <v>3312</v>
      </c>
      <c r="K1500" s="8"/>
      <c r="L1500" s="8" t="s">
        <v>3316</v>
      </c>
      <c r="M1500" s="9">
        <f t="shared" si="1"/>
        <v>35</v>
      </c>
    </row>
    <row r="1501" ht="12.75" customHeight="1">
      <c r="A1501" s="4">
        <f t="shared" si="2"/>
        <v>1500</v>
      </c>
      <c r="B1501" s="4" t="s">
        <v>3317</v>
      </c>
      <c r="C1501" s="5" t="s">
        <v>3318</v>
      </c>
      <c r="D1501" s="4"/>
      <c r="E1501" s="4"/>
      <c r="F1501" s="4" t="s">
        <v>22</v>
      </c>
      <c r="G1501" s="6">
        <v>1.28</v>
      </c>
      <c r="H1501" s="7" t="s">
        <v>1606</v>
      </c>
      <c r="I1501" s="4" t="s">
        <v>1746</v>
      </c>
      <c r="J1501" s="4" t="s">
        <v>3312</v>
      </c>
      <c r="K1501" s="8"/>
      <c r="L1501" s="8" t="s">
        <v>512</v>
      </c>
      <c r="M1501" s="9">
        <f t="shared" si="1"/>
        <v>49</v>
      </c>
    </row>
    <row r="1502" ht="12.75" customHeight="1">
      <c r="A1502" s="4">
        <f t="shared" si="2"/>
        <v>1501</v>
      </c>
      <c r="B1502" s="4" t="s">
        <v>3319</v>
      </c>
      <c r="C1502" s="5" t="s">
        <v>3320</v>
      </c>
      <c r="D1502" s="4"/>
      <c r="E1502" s="4"/>
      <c r="F1502" s="4" t="s">
        <v>22</v>
      </c>
      <c r="G1502" s="6">
        <v>10.78</v>
      </c>
      <c r="H1502" s="7" t="s">
        <v>1606</v>
      </c>
      <c r="I1502" s="4" t="s">
        <v>1746</v>
      </c>
      <c r="J1502" s="4" t="s">
        <v>3312</v>
      </c>
      <c r="K1502" s="8"/>
      <c r="L1502" s="8" t="s">
        <v>3313</v>
      </c>
      <c r="M1502" s="9">
        <f t="shared" si="1"/>
        <v>36</v>
      </c>
    </row>
    <row r="1503" ht="12.75" customHeight="1">
      <c r="A1503" s="4">
        <f t="shared" si="2"/>
        <v>1502</v>
      </c>
      <c r="B1503" s="4" t="s">
        <v>3321</v>
      </c>
      <c r="C1503" s="5" t="s">
        <v>3322</v>
      </c>
      <c r="D1503" s="4"/>
      <c r="E1503" s="4"/>
      <c r="F1503" s="4" t="s">
        <v>22</v>
      </c>
      <c r="G1503" s="6">
        <v>13.22</v>
      </c>
      <c r="H1503" s="7" t="s">
        <v>1606</v>
      </c>
      <c r="I1503" s="4" t="s">
        <v>1746</v>
      </c>
      <c r="J1503" s="4" t="s">
        <v>3312</v>
      </c>
      <c r="K1503" s="8"/>
      <c r="L1503" s="8" t="s">
        <v>512</v>
      </c>
      <c r="M1503" s="9">
        <f t="shared" si="1"/>
        <v>45</v>
      </c>
    </row>
    <row r="1504" ht="12.75" customHeight="1">
      <c r="A1504" s="4">
        <f t="shared" si="2"/>
        <v>1503</v>
      </c>
      <c r="B1504" s="4" t="s">
        <v>3323</v>
      </c>
      <c r="C1504" s="5" t="s">
        <v>3324</v>
      </c>
      <c r="D1504" s="4"/>
      <c r="E1504" s="4"/>
      <c r="F1504" s="4" t="s">
        <v>22</v>
      </c>
      <c r="G1504" s="6">
        <v>4.93</v>
      </c>
      <c r="H1504" s="7" t="s">
        <v>1606</v>
      </c>
      <c r="I1504" s="4" t="s">
        <v>1746</v>
      </c>
      <c r="J1504" s="4" t="s">
        <v>3312</v>
      </c>
      <c r="K1504" s="8"/>
      <c r="L1504" s="8" t="s">
        <v>3313</v>
      </c>
      <c r="M1504" s="9">
        <f t="shared" si="1"/>
        <v>32</v>
      </c>
    </row>
    <row r="1505" ht="12.75" customHeight="1">
      <c r="A1505" s="4">
        <f t="shared" si="2"/>
        <v>1504</v>
      </c>
      <c r="B1505" s="4" t="s">
        <v>3325</v>
      </c>
      <c r="C1505" s="5" t="s">
        <v>3326</v>
      </c>
      <c r="D1505" s="4"/>
      <c r="E1505" s="4"/>
      <c r="F1505" s="4" t="s">
        <v>22</v>
      </c>
      <c r="G1505" s="6">
        <v>40.84</v>
      </c>
      <c r="H1505" s="7" t="s">
        <v>1606</v>
      </c>
      <c r="I1505" s="4" t="s">
        <v>1746</v>
      </c>
      <c r="J1505" s="4" t="s">
        <v>3312</v>
      </c>
      <c r="K1505" s="8"/>
      <c r="L1505" s="8" t="s">
        <v>512</v>
      </c>
      <c r="M1505" s="9">
        <f t="shared" si="1"/>
        <v>45</v>
      </c>
    </row>
    <row r="1506" ht="12.75" customHeight="1">
      <c r="A1506" s="4">
        <f t="shared" si="2"/>
        <v>1505</v>
      </c>
      <c r="B1506" s="4" t="s">
        <v>3327</v>
      </c>
      <c r="C1506" s="5" t="s">
        <v>3328</v>
      </c>
      <c r="D1506" s="4"/>
      <c r="E1506" s="4"/>
      <c r="F1506" s="4" t="s">
        <v>22</v>
      </c>
      <c r="G1506" s="6">
        <v>1.38</v>
      </c>
      <c r="H1506" s="7" t="s">
        <v>1606</v>
      </c>
      <c r="I1506" s="4" t="s">
        <v>1746</v>
      </c>
      <c r="J1506" s="4" t="s">
        <v>3312</v>
      </c>
      <c r="K1506" s="8"/>
      <c r="L1506" s="8" t="s">
        <v>3329</v>
      </c>
      <c r="M1506" s="9">
        <f t="shared" si="1"/>
        <v>39</v>
      </c>
    </row>
    <row r="1507" ht="12.75" customHeight="1">
      <c r="A1507" s="4">
        <f t="shared" si="2"/>
        <v>1506</v>
      </c>
      <c r="B1507" s="4" t="s">
        <v>3330</v>
      </c>
      <c r="C1507" s="5" t="s">
        <v>3331</v>
      </c>
      <c r="D1507" s="4"/>
      <c r="E1507" s="4"/>
      <c r="F1507" s="4" t="s">
        <v>22</v>
      </c>
      <c r="G1507" s="6">
        <v>1.76</v>
      </c>
      <c r="H1507" s="7" t="s">
        <v>1606</v>
      </c>
      <c r="I1507" s="4" t="s">
        <v>1746</v>
      </c>
      <c r="J1507" s="4" t="s">
        <v>3312</v>
      </c>
      <c r="K1507" s="8"/>
      <c r="L1507" s="8" t="s">
        <v>3329</v>
      </c>
      <c r="M1507" s="9">
        <f t="shared" si="1"/>
        <v>35</v>
      </c>
    </row>
    <row r="1508" ht="12.75" customHeight="1">
      <c r="A1508" s="4">
        <f t="shared" si="2"/>
        <v>1507</v>
      </c>
      <c r="B1508" s="4" t="s">
        <v>3332</v>
      </c>
      <c r="C1508" s="5" t="s">
        <v>3333</v>
      </c>
      <c r="D1508" s="4"/>
      <c r="E1508" s="4"/>
      <c r="F1508" s="4" t="s">
        <v>22</v>
      </c>
      <c r="G1508" s="6">
        <v>1.22</v>
      </c>
      <c r="H1508" s="7" t="s">
        <v>1606</v>
      </c>
      <c r="I1508" s="4" t="s">
        <v>1746</v>
      </c>
      <c r="J1508" s="4" t="s">
        <v>3312</v>
      </c>
      <c r="K1508" s="8"/>
      <c r="L1508" s="8" t="s">
        <v>3329</v>
      </c>
      <c r="M1508" s="9">
        <f t="shared" si="1"/>
        <v>40</v>
      </c>
    </row>
    <row r="1509" ht="12.75" customHeight="1">
      <c r="A1509" s="4">
        <f t="shared" si="2"/>
        <v>1508</v>
      </c>
      <c r="B1509" s="4" t="s">
        <v>3334</v>
      </c>
      <c r="C1509" s="5" t="s">
        <v>3335</v>
      </c>
      <c r="D1509" s="4"/>
      <c r="E1509" s="4"/>
      <c r="F1509" s="4" t="s">
        <v>22</v>
      </c>
      <c r="G1509" s="6">
        <v>1.05</v>
      </c>
      <c r="H1509" s="7" t="s">
        <v>1606</v>
      </c>
      <c r="I1509" s="4" t="s">
        <v>1746</v>
      </c>
      <c r="J1509" s="4" t="s">
        <v>3312</v>
      </c>
      <c r="K1509" s="8"/>
      <c r="L1509" s="8" t="s">
        <v>3329</v>
      </c>
      <c r="M1509" s="9">
        <f t="shared" si="1"/>
        <v>42</v>
      </c>
    </row>
    <row r="1510" ht="12.75" customHeight="1">
      <c r="A1510" s="4">
        <f t="shared" si="2"/>
        <v>1509</v>
      </c>
      <c r="B1510" s="4" t="s">
        <v>3336</v>
      </c>
      <c r="C1510" s="5" t="s">
        <v>3337</v>
      </c>
      <c r="D1510" s="4"/>
      <c r="E1510" s="4"/>
      <c r="F1510" s="4" t="s">
        <v>22</v>
      </c>
      <c r="G1510" s="6">
        <v>0.99</v>
      </c>
      <c r="H1510" s="7" t="s">
        <v>1606</v>
      </c>
      <c r="I1510" s="4" t="s">
        <v>1746</v>
      </c>
      <c r="J1510" s="4" t="s">
        <v>3312</v>
      </c>
      <c r="K1510" s="8"/>
      <c r="L1510" s="8" t="s">
        <v>3329</v>
      </c>
      <c r="M1510" s="9">
        <f t="shared" si="1"/>
        <v>37</v>
      </c>
    </row>
    <row r="1511" ht="12.75" customHeight="1">
      <c r="A1511" s="4">
        <f t="shared" si="2"/>
        <v>1510</v>
      </c>
      <c r="B1511" s="4" t="s">
        <v>3338</v>
      </c>
      <c r="C1511" s="5" t="s">
        <v>3339</v>
      </c>
      <c r="D1511" s="4"/>
      <c r="E1511" s="4"/>
      <c r="F1511" s="4" t="s">
        <v>22</v>
      </c>
      <c r="G1511" s="6">
        <v>1.08</v>
      </c>
      <c r="H1511" s="7" t="s">
        <v>1606</v>
      </c>
      <c r="I1511" s="4" t="s">
        <v>1746</v>
      </c>
      <c r="J1511" s="4" t="s">
        <v>3312</v>
      </c>
      <c r="K1511" s="8"/>
      <c r="L1511" s="8" t="s">
        <v>3329</v>
      </c>
      <c r="M1511" s="9">
        <f t="shared" si="1"/>
        <v>44</v>
      </c>
    </row>
    <row r="1512" ht="12.75" customHeight="1">
      <c r="A1512" s="4">
        <f t="shared" si="2"/>
        <v>1511</v>
      </c>
      <c r="B1512" s="4" t="s">
        <v>3340</v>
      </c>
      <c r="C1512" s="5" t="s">
        <v>3341</v>
      </c>
      <c r="D1512" s="4"/>
      <c r="E1512" s="4"/>
      <c r="F1512" s="4" t="s">
        <v>22</v>
      </c>
      <c r="G1512" s="6">
        <v>1.43</v>
      </c>
      <c r="H1512" s="7" t="s">
        <v>1606</v>
      </c>
      <c r="I1512" s="4" t="s">
        <v>1746</v>
      </c>
      <c r="J1512" s="4" t="s">
        <v>3312</v>
      </c>
      <c r="K1512" s="8"/>
      <c r="L1512" s="8" t="s">
        <v>3329</v>
      </c>
      <c r="M1512" s="9">
        <f t="shared" si="1"/>
        <v>40</v>
      </c>
    </row>
    <row r="1513" ht="12.75" customHeight="1">
      <c r="A1513" s="4">
        <f t="shared" si="2"/>
        <v>1512</v>
      </c>
      <c r="B1513" s="4" t="s">
        <v>3342</v>
      </c>
      <c r="C1513" s="5" t="s">
        <v>3343</v>
      </c>
      <c r="D1513" s="4"/>
      <c r="E1513" s="4"/>
      <c r="F1513" s="4" t="s">
        <v>22</v>
      </c>
      <c r="G1513" s="21">
        <v>2.99</v>
      </c>
      <c r="H1513" s="7" t="s">
        <v>1606</v>
      </c>
      <c r="I1513" s="4" t="s">
        <v>1746</v>
      </c>
      <c r="J1513" s="4" t="s">
        <v>3312</v>
      </c>
      <c r="K1513" s="8"/>
      <c r="L1513" s="8" t="s">
        <v>3329</v>
      </c>
      <c r="M1513" s="9">
        <f t="shared" si="1"/>
        <v>30</v>
      </c>
    </row>
    <row r="1514" ht="12.75" customHeight="1">
      <c r="A1514" s="4">
        <f t="shared" si="2"/>
        <v>1513</v>
      </c>
      <c r="B1514" s="4" t="s">
        <v>3344</v>
      </c>
      <c r="C1514" s="5" t="s">
        <v>3345</v>
      </c>
      <c r="D1514" s="4"/>
      <c r="E1514" s="4"/>
      <c r="F1514" s="4" t="s">
        <v>22</v>
      </c>
      <c r="G1514" s="21">
        <v>3.5</v>
      </c>
      <c r="H1514" s="7" t="s">
        <v>1606</v>
      </c>
      <c r="I1514" s="4" t="s">
        <v>1746</v>
      </c>
      <c r="J1514" s="4" t="s">
        <v>3312</v>
      </c>
      <c r="K1514" s="8"/>
      <c r="L1514" s="8" t="s">
        <v>3329</v>
      </c>
      <c r="M1514" s="9">
        <f t="shared" si="1"/>
        <v>29</v>
      </c>
    </row>
    <row r="1515" ht="12.75" customHeight="1">
      <c r="A1515" s="4">
        <f t="shared" si="2"/>
        <v>1514</v>
      </c>
      <c r="B1515" s="4" t="s">
        <v>3346</v>
      </c>
      <c r="C1515" s="5" t="s">
        <v>3347</v>
      </c>
      <c r="D1515" s="4"/>
      <c r="E1515" s="4"/>
      <c r="F1515" s="4" t="s">
        <v>22</v>
      </c>
      <c r="G1515" s="6">
        <v>2.82</v>
      </c>
      <c r="H1515" s="7" t="s">
        <v>1606</v>
      </c>
      <c r="I1515" s="4" t="s">
        <v>1746</v>
      </c>
      <c r="J1515" s="4" t="s">
        <v>3312</v>
      </c>
      <c r="K1515" s="8"/>
      <c r="L1515" s="8" t="s">
        <v>3329</v>
      </c>
      <c r="M1515" s="9">
        <f t="shared" si="1"/>
        <v>29</v>
      </c>
    </row>
    <row r="1516" ht="12.75" customHeight="1">
      <c r="A1516" s="4">
        <f t="shared" si="2"/>
        <v>1515</v>
      </c>
      <c r="B1516" s="4" t="s">
        <v>3348</v>
      </c>
      <c r="C1516" s="5" t="s">
        <v>3349</v>
      </c>
      <c r="D1516" s="4"/>
      <c r="E1516" s="4"/>
      <c r="F1516" s="4" t="s">
        <v>22</v>
      </c>
      <c r="G1516" s="6">
        <v>2.14</v>
      </c>
      <c r="H1516" s="7" t="s">
        <v>1606</v>
      </c>
      <c r="I1516" s="4" t="s">
        <v>1746</v>
      </c>
      <c r="J1516" s="4" t="s">
        <v>3312</v>
      </c>
      <c r="K1516" s="8"/>
      <c r="L1516" s="8" t="s">
        <v>3329</v>
      </c>
      <c r="M1516" s="9">
        <f t="shared" si="1"/>
        <v>29</v>
      </c>
    </row>
    <row r="1517" ht="12.75" customHeight="1">
      <c r="A1517" s="4">
        <f t="shared" si="2"/>
        <v>1516</v>
      </c>
      <c r="B1517" s="4" t="s">
        <v>3350</v>
      </c>
      <c r="C1517" s="5" t="s">
        <v>3351</v>
      </c>
      <c r="D1517" s="4"/>
      <c r="E1517" s="4"/>
      <c r="F1517" s="4" t="s">
        <v>22</v>
      </c>
      <c r="G1517" s="6">
        <v>10.86</v>
      </c>
      <c r="H1517" s="7" t="s">
        <v>1606</v>
      </c>
      <c r="I1517" s="4" t="s">
        <v>1746</v>
      </c>
      <c r="J1517" s="4" t="s">
        <v>3312</v>
      </c>
      <c r="K1517" s="8"/>
      <c r="L1517" s="8" t="s">
        <v>512</v>
      </c>
      <c r="M1517" s="9">
        <f t="shared" si="1"/>
        <v>65</v>
      </c>
    </row>
    <row r="1518" ht="12.75" customHeight="1">
      <c r="A1518" s="4">
        <f t="shared" si="2"/>
        <v>1517</v>
      </c>
      <c r="B1518" s="4" t="s">
        <v>3352</v>
      </c>
      <c r="C1518" s="5" t="s">
        <v>3353</v>
      </c>
      <c r="D1518" s="4"/>
      <c r="E1518" s="4"/>
      <c r="F1518" s="4" t="s">
        <v>22</v>
      </c>
      <c r="G1518" s="6">
        <v>56.73</v>
      </c>
      <c r="H1518" s="7" t="s">
        <v>1606</v>
      </c>
      <c r="I1518" s="4" t="s">
        <v>1746</v>
      </c>
      <c r="J1518" s="4" t="s">
        <v>3312</v>
      </c>
      <c r="K1518" s="8"/>
      <c r="L1518" s="8" t="s">
        <v>512</v>
      </c>
      <c r="M1518" s="9">
        <f t="shared" si="1"/>
        <v>61</v>
      </c>
    </row>
    <row r="1519" ht="12.75" customHeight="1">
      <c r="A1519" s="4">
        <f t="shared" si="2"/>
        <v>1518</v>
      </c>
      <c r="B1519" s="4" t="s">
        <v>3354</v>
      </c>
      <c r="C1519" s="5" t="s">
        <v>3355</v>
      </c>
      <c r="D1519" s="4"/>
      <c r="E1519" s="4"/>
      <c r="F1519" s="4" t="s">
        <v>1694</v>
      </c>
      <c r="G1519" s="6">
        <v>16.0</v>
      </c>
      <c r="H1519" s="7" t="s">
        <v>1606</v>
      </c>
      <c r="I1519" s="4" t="s">
        <v>2044</v>
      </c>
      <c r="J1519" s="4" t="s">
        <v>3305</v>
      </c>
      <c r="K1519" s="8"/>
      <c r="L1519" s="8" t="s">
        <v>3356</v>
      </c>
      <c r="M1519" s="9">
        <f t="shared" si="1"/>
        <v>18</v>
      </c>
    </row>
    <row r="1520" ht="12.75" customHeight="1">
      <c r="A1520" s="4">
        <f t="shared" si="2"/>
        <v>1519</v>
      </c>
      <c r="B1520" s="4" t="s">
        <v>3357</v>
      </c>
      <c r="C1520" s="5" t="s">
        <v>3358</v>
      </c>
      <c r="D1520" s="4"/>
      <c r="E1520" s="4"/>
      <c r="F1520" s="4" t="s">
        <v>1694</v>
      </c>
      <c r="G1520" s="6">
        <v>21.76</v>
      </c>
      <c r="H1520" s="7" t="s">
        <v>1606</v>
      </c>
      <c r="I1520" s="4" t="s">
        <v>1697</v>
      </c>
      <c r="J1520" s="4" t="s">
        <v>1698</v>
      </c>
      <c r="K1520" s="8"/>
      <c r="L1520" s="8" t="s">
        <v>1701</v>
      </c>
      <c r="M1520" s="9">
        <f t="shared" si="1"/>
        <v>32</v>
      </c>
    </row>
    <row r="1521" ht="12.75" customHeight="1">
      <c r="A1521" s="4">
        <f t="shared" si="2"/>
        <v>1520</v>
      </c>
      <c r="B1521" s="4" t="s">
        <v>3359</v>
      </c>
      <c r="C1521" s="5" t="s">
        <v>3360</v>
      </c>
      <c r="D1521" s="4"/>
      <c r="E1521" s="4"/>
      <c r="F1521" s="4" t="s">
        <v>22</v>
      </c>
      <c r="G1521" s="6">
        <v>1.16</v>
      </c>
      <c r="H1521" s="7" t="s">
        <v>1606</v>
      </c>
      <c r="I1521" s="4" t="s">
        <v>1773</v>
      </c>
      <c r="J1521" s="4" t="s">
        <v>1774</v>
      </c>
      <c r="K1521" s="8"/>
      <c r="L1521" s="8" t="s">
        <v>2097</v>
      </c>
      <c r="M1521" s="9">
        <f t="shared" si="1"/>
        <v>36</v>
      </c>
    </row>
    <row r="1522" ht="12.75" customHeight="1">
      <c r="A1522" s="4">
        <f t="shared" si="2"/>
        <v>1521</v>
      </c>
      <c r="B1522" s="4" t="s">
        <v>3361</v>
      </c>
      <c r="C1522" s="5" t="s">
        <v>3362</v>
      </c>
      <c r="D1522" s="4"/>
      <c r="E1522" s="4"/>
      <c r="F1522" s="4" t="s">
        <v>22</v>
      </c>
      <c r="G1522" s="6">
        <v>0.83</v>
      </c>
      <c r="H1522" s="7" t="s">
        <v>1606</v>
      </c>
      <c r="I1522" s="4" t="s">
        <v>1475</v>
      </c>
      <c r="J1522" s="4" t="s">
        <v>1476</v>
      </c>
      <c r="K1522" s="8"/>
      <c r="L1522" s="8" t="s">
        <v>33</v>
      </c>
      <c r="M1522" s="9">
        <f t="shared" si="1"/>
        <v>28</v>
      </c>
    </row>
    <row r="1523" ht="12.75" customHeight="1">
      <c r="A1523" s="4">
        <f t="shared" si="2"/>
        <v>1522</v>
      </c>
      <c r="B1523" s="4" t="s">
        <v>3363</v>
      </c>
      <c r="C1523" s="5" t="s">
        <v>3364</v>
      </c>
      <c r="D1523" s="4"/>
      <c r="E1523" s="4"/>
      <c r="F1523" s="4" t="s">
        <v>22</v>
      </c>
      <c r="G1523" s="6">
        <v>1.36</v>
      </c>
      <c r="H1523" s="7" t="s">
        <v>1606</v>
      </c>
      <c r="I1523" s="4" t="s">
        <v>1475</v>
      </c>
      <c r="J1523" s="4" t="s">
        <v>1476</v>
      </c>
      <c r="K1523" s="8"/>
      <c r="L1523" s="8" t="s">
        <v>33</v>
      </c>
      <c r="M1523" s="9">
        <f t="shared" si="1"/>
        <v>29</v>
      </c>
    </row>
    <row r="1524" ht="12.75" customHeight="1">
      <c r="A1524" s="4">
        <f t="shared" si="2"/>
        <v>1523</v>
      </c>
      <c r="B1524" s="4" t="s">
        <v>3365</v>
      </c>
      <c r="C1524" s="5" t="s">
        <v>3366</v>
      </c>
      <c r="D1524" s="4"/>
      <c r="E1524" s="4"/>
      <c r="F1524" s="4" t="s">
        <v>22</v>
      </c>
      <c r="G1524" s="6">
        <v>17.57</v>
      </c>
      <c r="H1524" s="7" t="s">
        <v>1606</v>
      </c>
      <c r="I1524" s="4" t="s">
        <v>17</v>
      </c>
      <c r="J1524" s="4" t="s">
        <v>2593</v>
      </c>
      <c r="K1524" s="8"/>
      <c r="L1524" s="8" t="s">
        <v>2594</v>
      </c>
      <c r="M1524" s="9">
        <f t="shared" si="1"/>
        <v>72</v>
      </c>
    </row>
    <row r="1525" ht="12.75" customHeight="1">
      <c r="A1525" s="4">
        <f t="shared" si="2"/>
        <v>1524</v>
      </c>
      <c r="B1525" s="4" t="s">
        <v>3367</v>
      </c>
      <c r="C1525" s="5" t="s">
        <v>3368</v>
      </c>
      <c r="D1525" s="4"/>
      <c r="E1525" s="4"/>
      <c r="F1525" s="4" t="s">
        <v>22</v>
      </c>
      <c r="G1525" s="6">
        <v>10.54</v>
      </c>
      <c r="H1525" s="7" t="s">
        <v>1606</v>
      </c>
      <c r="I1525" s="4" t="s">
        <v>17</v>
      </c>
      <c r="J1525" s="4" t="s">
        <v>2593</v>
      </c>
      <c r="K1525" s="8"/>
      <c r="L1525" s="8" t="s">
        <v>2594</v>
      </c>
      <c r="M1525" s="9">
        <f t="shared" si="1"/>
        <v>49</v>
      </c>
    </row>
    <row r="1526" ht="12.75" customHeight="1">
      <c r="A1526" s="4">
        <f t="shared" si="2"/>
        <v>1525</v>
      </c>
      <c r="B1526" s="4" t="s">
        <v>3369</v>
      </c>
      <c r="C1526" s="5" t="s">
        <v>3370</v>
      </c>
      <c r="D1526" s="4"/>
      <c r="E1526" s="4"/>
      <c r="F1526" s="4" t="s">
        <v>22</v>
      </c>
      <c r="G1526" s="6">
        <v>7.97</v>
      </c>
      <c r="H1526" s="7" t="s">
        <v>1606</v>
      </c>
      <c r="I1526" s="4" t="s">
        <v>17</v>
      </c>
      <c r="J1526" s="4" t="s">
        <v>2593</v>
      </c>
      <c r="K1526" s="8"/>
      <c r="L1526" s="8" t="s">
        <v>2594</v>
      </c>
      <c r="M1526" s="9">
        <f t="shared" si="1"/>
        <v>64</v>
      </c>
    </row>
    <row r="1527" ht="12.75" customHeight="1">
      <c r="A1527" s="4">
        <f t="shared" si="2"/>
        <v>1526</v>
      </c>
      <c r="B1527" s="4" t="s">
        <v>3371</v>
      </c>
      <c r="C1527" s="5" t="s">
        <v>3372</v>
      </c>
      <c r="D1527" s="4"/>
      <c r="E1527" s="4"/>
      <c r="F1527" s="4" t="s">
        <v>22</v>
      </c>
      <c r="G1527" s="6">
        <v>13.49</v>
      </c>
      <c r="H1527" s="7" t="s">
        <v>1606</v>
      </c>
      <c r="I1527" s="4" t="s">
        <v>1794</v>
      </c>
      <c r="J1527" s="4" t="s">
        <v>1795</v>
      </c>
      <c r="K1527" s="8"/>
      <c r="L1527" s="8" t="s">
        <v>3373</v>
      </c>
      <c r="M1527" s="9">
        <f t="shared" si="1"/>
        <v>79</v>
      </c>
    </row>
    <row r="1528" ht="12.75" customHeight="1">
      <c r="A1528" s="4">
        <f t="shared" si="2"/>
        <v>1527</v>
      </c>
      <c r="B1528" s="4" t="s">
        <v>3374</v>
      </c>
      <c r="C1528" s="5" t="s">
        <v>3375</v>
      </c>
      <c r="D1528" s="4"/>
      <c r="E1528" s="4"/>
      <c r="F1528" s="4" t="s">
        <v>22</v>
      </c>
      <c r="G1528" s="6">
        <v>7.5</v>
      </c>
      <c r="H1528" s="7" t="s">
        <v>1606</v>
      </c>
      <c r="I1528" s="4" t="s">
        <v>1794</v>
      </c>
      <c r="J1528" s="4" t="s">
        <v>165</v>
      </c>
      <c r="K1528" s="8"/>
      <c r="L1528" s="8" t="s">
        <v>3373</v>
      </c>
      <c r="M1528" s="9">
        <f t="shared" si="1"/>
        <v>49</v>
      </c>
    </row>
    <row r="1529" ht="12.75" customHeight="1">
      <c r="A1529" s="4">
        <f t="shared" si="2"/>
        <v>1528</v>
      </c>
      <c r="B1529" s="4" t="s">
        <v>3376</v>
      </c>
      <c r="C1529" s="5" t="s">
        <v>3377</v>
      </c>
      <c r="D1529" s="4"/>
      <c r="E1529" s="4"/>
      <c r="F1529" s="4" t="s">
        <v>22</v>
      </c>
      <c r="G1529" s="6">
        <v>4.05</v>
      </c>
      <c r="H1529" s="7" t="s">
        <v>1606</v>
      </c>
      <c r="I1529" s="4" t="s">
        <v>1574</v>
      </c>
      <c r="J1529" s="4" t="s">
        <v>2434</v>
      </c>
      <c r="K1529" s="8"/>
      <c r="L1529" s="8" t="s">
        <v>3140</v>
      </c>
      <c r="M1529" s="9">
        <f t="shared" si="1"/>
        <v>53</v>
      </c>
    </row>
    <row r="1530" ht="12.75" customHeight="1">
      <c r="A1530" s="4">
        <f t="shared" si="2"/>
        <v>1529</v>
      </c>
      <c r="B1530" s="4" t="s">
        <v>3378</v>
      </c>
      <c r="C1530" s="5" t="s">
        <v>3379</v>
      </c>
      <c r="D1530" s="4"/>
      <c r="E1530" s="4"/>
      <c r="F1530" s="4" t="s">
        <v>22</v>
      </c>
      <c r="G1530" s="6">
        <v>4.05</v>
      </c>
      <c r="H1530" s="7" t="s">
        <v>1606</v>
      </c>
      <c r="I1530" s="4" t="s">
        <v>1574</v>
      </c>
      <c r="J1530" s="4" t="s">
        <v>2434</v>
      </c>
      <c r="K1530" s="8"/>
      <c r="L1530" s="8" t="s">
        <v>3140</v>
      </c>
      <c r="M1530" s="9">
        <f t="shared" si="1"/>
        <v>46</v>
      </c>
    </row>
    <row r="1531" ht="12.75" customHeight="1">
      <c r="A1531" s="4">
        <f t="shared" si="2"/>
        <v>1530</v>
      </c>
      <c r="B1531" s="4" t="s">
        <v>3380</v>
      </c>
      <c r="C1531" s="5" t="s">
        <v>3381</v>
      </c>
      <c r="D1531" s="4"/>
      <c r="E1531" s="4"/>
      <c r="F1531" s="4" t="s">
        <v>22</v>
      </c>
      <c r="G1531" s="6">
        <v>3.24</v>
      </c>
      <c r="H1531" s="7" t="s">
        <v>1606</v>
      </c>
      <c r="I1531" s="4" t="s">
        <v>2860</v>
      </c>
      <c r="J1531" s="4" t="s">
        <v>3382</v>
      </c>
      <c r="K1531" s="8"/>
      <c r="L1531" s="8" t="s">
        <v>3140</v>
      </c>
      <c r="M1531" s="9">
        <f t="shared" si="1"/>
        <v>41</v>
      </c>
    </row>
    <row r="1532" ht="12.75" customHeight="1">
      <c r="A1532" s="4">
        <f t="shared" si="2"/>
        <v>1531</v>
      </c>
      <c r="B1532" s="4" t="s">
        <v>3383</v>
      </c>
      <c r="C1532" s="5" t="s">
        <v>3384</v>
      </c>
      <c r="D1532" s="4"/>
      <c r="E1532" s="4"/>
      <c r="F1532" s="4" t="s">
        <v>22</v>
      </c>
      <c r="G1532" s="6">
        <v>4.05</v>
      </c>
      <c r="H1532" s="7" t="s">
        <v>1606</v>
      </c>
      <c r="I1532" s="4" t="s">
        <v>2860</v>
      </c>
      <c r="J1532" s="4" t="s">
        <v>3382</v>
      </c>
      <c r="K1532" s="8"/>
      <c r="L1532" s="8" t="s">
        <v>33</v>
      </c>
      <c r="M1532" s="9">
        <f t="shared" si="1"/>
        <v>41</v>
      </c>
    </row>
    <row r="1533" ht="12.75" customHeight="1">
      <c r="A1533" s="4">
        <f t="shared" si="2"/>
        <v>1532</v>
      </c>
      <c r="B1533" s="4" t="s">
        <v>3385</v>
      </c>
      <c r="C1533" s="5" t="s">
        <v>3386</v>
      </c>
      <c r="D1533" s="4"/>
      <c r="E1533" s="4"/>
      <c r="F1533" s="4" t="s">
        <v>22</v>
      </c>
      <c r="G1533" s="6">
        <v>4.86</v>
      </c>
      <c r="H1533" s="7" t="s">
        <v>1606</v>
      </c>
      <c r="I1533" s="4" t="s">
        <v>2860</v>
      </c>
      <c r="J1533" s="4" t="s">
        <v>3382</v>
      </c>
      <c r="K1533" s="8"/>
      <c r="L1533" s="8" t="s">
        <v>33</v>
      </c>
      <c r="M1533" s="9">
        <f t="shared" si="1"/>
        <v>41</v>
      </c>
    </row>
    <row r="1534" ht="12.75" customHeight="1">
      <c r="A1534" s="4">
        <f t="shared" si="2"/>
        <v>1533</v>
      </c>
      <c r="B1534" s="4" t="s">
        <v>3387</v>
      </c>
      <c r="C1534" s="5" t="s">
        <v>3388</v>
      </c>
      <c r="D1534" s="4"/>
      <c r="E1534" s="4"/>
      <c r="F1534" s="4" t="s">
        <v>22</v>
      </c>
      <c r="G1534" s="6">
        <v>5.27</v>
      </c>
      <c r="H1534" s="7" t="s">
        <v>1606</v>
      </c>
      <c r="I1534" s="4" t="s">
        <v>2860</v>
      </c>
      <c r="J1534" s="4" t="s">
        <v>3382</v>
      </c>
      <c r="K1534" s="8"/>
      <c r="L1534" s="8" t="s">
        <v>33</v>
      </c>
      <c r="M1534" s="9">
        <f t="shared" si="1"/>
        <v>41</v>
      </c>
    </row>
    <row r="1535" ht="12.75" customHeight="1">
      <c r="A1535" s="4">
        <f t="shared" si="2"/>
        <v>1534</v>
      </c>
      <c r="B1535" s="4" t="s">
        <v>3389</v>
      </c>
      <c r="C1535" s="5" t="s">
        <v>3390</v>
      </c>
      <c r="D1535" s="4"/>
      <c r="E1535" s="4"/>
      <c r="F1535" s="4" t="s">
        <v>22</v>
      </c>
      <c r="G1535" s="6">
        <v>1.76</v>
      </c>
      <c r="H1535" s="7" t="s">
        <v>1606</v>
      </c>
      <c r="I1535" s="4" t="s">
        <v>2860</v>
      </c>
      <c r="J1535" s="4" t="s">
        <v>3382</v>
      </c>
      <c r="K1535" s="8"/>
      <c r="L1535" s="8" t="s">
        <v>33</v>
      </c>
      <c r="M1535" s="9">
        <f t="shared" si="1"/>
        <v>38</v>
      </c>
    </row>
    <row r="1536" ht="12.75" customHeight="1">
      <c r="A1536" s="4">
        <f t="shared" si="2"/>
        <v>1535</v>
      </c>
      <c r="B1536" s="4" t="s">
        <v>3391</v>
      </c>
      <c r="C1536" s="5" t="s">
        <v>3392</v>
      </c>
      <c r="D1536" s="4"/>
      <c r="E1536" s="4"/>
      <c r="F1536" s="4" t="s">
        <v>22</v>
      </c>
      <c r="G1536" s="6">
        <v>2.16</v>
      </c>
      <c r="H1536" s="7" t="s">
        <v>1606</v>
      </c>
      <c r="I1536" s="4" t="s">
        <v>2860</v>
      </c>
      <c r="J1536" s="4" t="s">
        <v>3382</v>
      </c>
      <c r="K1536" s="8"/>
      <c r="L1536" s="8" t="s">
        <v>33</v>
      </c>
      <c r="M1536" s="9">
        <f t="shared" si="1"/>
        <v>38</v>
      </c>
    </row>
    <row r="1537" ht="12.75" customHeight="1">
      <c r="A1537" s="4">
        <f t="shared" si="2"/>
        <v>1536</v>
      </c>
      <c r="B1537" s="4" t="s">
        <v>3393</v>
      </c>
      <c r="C1537" s="5" t="s">
        <v>3394</v>
      </c>
      <c r="D1537" s="4"/>
      <c r="E1537" s="4"/>
      <c r="F1537" s="4" t="s">
        <v>22</v>
      </c>
      <c r="G1537" s="6">
        <v>2.7</v>
      </c>
      <c r="H1537" s="7" t="s">
        <v>1606</v>
      </c>
      <c r="I1537" s="4" t="s">
        <v>2860</v>
      </c>
      <c r="J1537" s="4" t="s">
        <v>3382</v>
      </c>
      <c r="K1537" s="8"/>
      <c r="L1537" s="8" t="s">
        <v>33</v>
      </c>
      <c r="M1537" s="9">
        <f t="shared" si="1"/>
        <v>38</v>
      </c>
    </row>
    <row r="1538" ht="12.75" customHeight="1">
      <c r="A1538" s="4">
        <f t="shared" si="2"/>
        <v>1537</v>
      </c>
      <c r="B1538" s="4" t="s">
        <v>3395</v>
      </c>
      <c r="C1538" s="5" t="s">
        <v>3396</v>
      </c>
      <c r="D1538" s="4"/>
      <c r="E1538" s="4"/>
      <c r="F1538" s="4" t="s">
        <v>22</v>
      </c>
      <c r="G1538" s="6">
        <v>3.24</v>
      </c>
      <c r="H1538" s="7" t="s">
        <v>1606</v>
      </c>
      <c r="I1538" s="4" t="s">
        <v>2860</v>
      </c>
      <c r="J1538" s="4" t="s">
        <v>3382</v>
      </c>
      <c r="K1538" s="8"/>
      <c r="L1538" s="8" t="s">
        <v>33</v>
      </c>
      <c r="M1538" s="9">
        <f t="shared" si="1"/>
        <v>38</v>
      </c>
    </row>
    <row r="1539" ht="12.75" customHeight="1">
      <c r="A1539" s="4">
        <f t="shared" si="2"/>
        <v>1538</v>
      </c>
      <c r="B1539" s="4" t="s">
        <v>3397</v>
      </c>
      <c r="C1539" s="5" t="s">
        <v>3398</v>
      </c>
      <c r="D1539" s="4"/>
      <c r="E1539" s="4"/>
      <c r="F1539" s="4" t="s">
        <v>22</v>
      </c>
      <c r="G1539" s="6">
        <v>4.45</v>
      </c>
      <c r="H1539" s="7" t="s">
        <v>1606</v>
      </c>
      <c r="I1539" s="4" t="s">
        <v>1574</v>
      </c>
      <c r="J1539" s="4" t="s">
        <v>1758</v>
      </c>
      <c r="K1539" s="8"/>
      <c r="L1539" s="8" t="s">
        <v>1759</v>
      </c>
      <c r="M1539" s="9">
        <f t="shared" si="1"/>
        <v>35</v>
      </c>
    </row>
    <row r="1540" ht="12.75" customHeight="1">
      <c r="A1540" s="4">
        <f t="shared" si="2"/>
        <v>1539</v>
      </c>
      <c r="B1540" s="4" t="s">
        <v>3399</v>
      </c>
      <c r="C1540" s="5" t="s">
        <v>3400</v>
      </c>
      <c r="D1540" s="4"/>
      <c r="E1540" s="4"/>
      <c r="F1540" s="4" t="s">
        <v>22</v>
      </c>
      <c r="G1540" s="6">
        <v>9.46</v>
      </c>
      <c r="H1540" s="7" t="s">
        <v>1606</v>
      </c>
      <c r="I1540" s="4" t="s">
        <v>1574</v>
      </c>
      <c r="J1540" s="4" t="s">
        <v>1758</v>
      </c>
      <c r="K1540" s="8"/>
      <c r="L1540" s="8" t="s">
        <v>1759</v>
      </c>
      <c r="M1540" s="9">
        <f t="shared" si="1"/>
        <v>35</v>
      </c>
    </row>
    <row r="1541" ht="12.75" customHeight="1">
      <c r="A1541" s="4">
        <f t="shared" si="2"/>
        <v>1540</v>
      </c>
      <c r="B1541" s="4" t="s">
        <v>3401</v>
      </c>
      <c r="C1541" s="5" t="s">
        <v>3402</v>
      </c>
      <c r="D1541" s="4"/>
      <c r="E1541" s="4"/>
      <c r="F1541" s="4" t="s">
        <v>22</v>
      </c>
      <c r="G1541" s="6">
        <v>20.27</v>
      </c>
      <c r="H1541" s="7" t="s">
        <v>1606</v>
      </c>
      <c r="I1541" s="4" t="s">
        <v>1574</v>
      </c>
      <c r="J1541" s="4" t="s">
        <v>1758</v>
      </c>
      <c r="K1541" s="8"/>
      <c r="L1541" s="8" t="s">
        <v>1759</v>
      </c>
      <c r="M1541" s="9">
        <f t="shared" si="1"/>
        <v>35</v>
      </c>
    </row>
    <row r="1542" ht="12.75" customHeight="1">
      <c r="A1542" s="4">
        <f t="shared" si="2"/>
        <v>1541</v>
      </c>
      <c r="B1542" s="4" t="s">
        <v>3403</v>
      </c>
      <c r="C1542" s="5" t="s">
        <v>3404</v>
      </c>
      <c r="D1542" s="4"/>
      <c r="E1542" s="4"/>
      <c r="F1542" s="4" t="s">
        <v>22</v>
      </c>
      <c r="G1542" s="6">
        <v>18.92</v>
      </c>
      <c r="H1542" s="7" t="s">
        <v>1606</v>
      </c>
      <c r="I1542" s="4" t="s">
        <v>1574</v>
      </c>
      <c r="J1542" s="4" t="s">
        <v>1758</v>
      </c>
      <c r="K1542" s="8"/>
      <c r="L1542" s="8" t="s">
        <v>1759</v>
      </c>
      <c r="M1542" s="9">
        <f t="shared" si="1"/>
        <v>45</v>
      </c>
    </row>
    <row r="1543" ht="12.75" customHeight="1">
      <c r="A1543" s="4">
        <f t="shared" si="2"/>
        <v>1542</v>
      </c>
      <c r="B1543" s="4" t="s">
        <v>3405</v>
      </c>
      <c r="C1543" s="5" t="s">
        <v>3406</v>
      </c>
      <c r="D1543" s="4"/>
      <c r="E1543" s="4"/>
      <c r="F1543" s="4" t="s">
        <v>22</v>
      </c>
      <c r="G1543" s="21">
        <v>18.92</v>
      </c>
      <c r="H1543" s="7" t="s">
        <v>1606</v>
      </c>
      <c r="I1543" s="4" t="s">
        <v>1574</v>
      </c>
      <c r="J1543" s="4" t="s">
        <v>1758</v>
      </c>
      <c r="K1543" s="8"/>
      <c r="L1543" s="8" t="s">
        <v>1759</v>
      </c>
      <c r="M1543" s="9">
        <f t="shared" si="1"/>
        <v>42</v>
      </c>
    </row>
    <row r="1544" ht="12.75" customHeight="1">
      <c r="A1544" s="4">
        <f t="shared" si="2"/>
        <v>1543</v>
      </c>
      <c r="B1544" s="4" t="s">
        <v>3407</v>
      </c>
      <c r="C1544" s="5" t="s">
        <v>3408</v>
      </c>
      <c r="D1544" s="4"/>
      <c r="E1544" s="4"/>
      <c r="F1544" s="4" t="s">
        <v>22</v>
      </c>
      <c r="G1544" s="21">
        <v>277.8</v>
      </c>
      <c r="H1544" s="7" t="s">
        <v>1606</v>
      </c>
      <c r="I1544" s="4" t="s">
        <v>1574</v>
      </c>
      <c r="J1544" s="4" t="s">
        <v>1758</v>
      </c>
      <c r="K1544" s="8"/>
      <c r="L1544" s="8" t="s">
        <v>3409</v>
      </c>
      <c r="M1544" s="9">
        <f t="shared" si="1"/>
        <v>67</v>
      </c>
    </row>
    <row r="1545" ht="12.75" customHeight="1">
      <c r="A1545" s="4">
        <f t="shared" si="2"/>
        <v>1544</v>
      </c>
      <c r="B1545" s="4" t="s">
        <v>3410</v>
      </c>
      <c r="C1545" s="5" t="s">
        <v>3411</v>
      </c>
      <c r="D1545" s="4"/>
      <c r="E1545" s="4"/>
      <c r="F1545" s="4" t="s">
        <v>22</v>
      </c>
      <c r="G1545" s="21">
        <v>2.7</v>
      </c>
      <c r="H1545" s="7" t="s">
        <v>1606</v>
      </c>
      <c r="I1545" s="4" t="s">
        <v>1574</v>
      </c>
      <c r="J1545" s="4" t="s">
        <v>1758</v>
      </c>
      <c r="K1545" s="8"/>
      <c r="L1545" s="8" t="s">
        <v>3412</v>
      </c>
      <c r="M1545" s="9">
        <f t="shared" si="1"/>
        <v>40</v>
      </c>
    </row>
    <row r="1546" ht="12.75" customHeight="1">
      <c r="A1546" s="4">
        <f t="shared" si="2"/>
        <v>1545</v>
      </c>
      <c r="B1546" s="4" t="s">
        <v>3413</v>
      </c>
      <c r="C1546" s="5" t="s">
        <v>3414</v>
      </c>
      <c r="D1546" s="4"/>
      <c r="E1546" s="4"/>
      <c r="F1546" s="4" t="s">
        <v>22</v>
      </c>
      <c r="G1546" s="6">
        <v>126.72</v>
      </c>
      <c r="H1546" s="7" t="s">
        <v>1606</v>
      </c>
      <c r="I1546" s="4" t="s">
        <v>1574</v>
      </c>
      <c r="J1546" s="4" t="s">
        <v>1758</v>
      </c>
      <c r="K1546" s="8"/>
      <c r="L1546" s="8" t="s">
        <v>3412</v>
      </c>
      <c r="M1546" s="9">
        <f t="shared" si="1"/>
        <v>50</v>
      </c>
    </row>
    <row r="1547" ht="12.75" customHeight="1">
      <c r="A1547" s="4">
        <f t="shared" si="2"/>
        <v>1546</v>
      </c>
      <c r="B1547" s="4" t="s">
        <v>3415</v>
      </c>
      <c r="C1547" s="5" t="s">
        <v>3416</v>
      </c>
      <c r="D1547" s="4"/>
      <c r="E1547" s="4"/>
      <c r="F1547" s="4" t="s">
        <v>22</v>
      </c>
      <c r="G1547" s="6">
        <v>3.38</v>
      </c>
      <c r="H1547" s="7" t="s">
        <v>1606</v>
      </c>
      <c r="I1547" s="4" t="s">
        <v>1773</v>
      </c>
      <c r="J1547" s="4" t="s">
        <v>1774</v>
      </c>
      <c r="K1547" s="8"/>
      <c r="L1547" s="8" t="s">
        <v>3215</v>
      </c>
      <c r="M1547" s="9">
        <f t="shared" si="1"/>
        <v>39</v>
      </c>
    </row>
    <row r="1548" ht="12.75" customHeight="1">
      <c r="A1548" s="4">
        <f t="shared" si="2"/>
        <v>1547</v>
      </c>
      <c r="B1548" s="4" t="s">
        <v>3417</v>
      </c>
      <c r="C1548" s="5" t="s">
        <v>3418</v>
      </c>
      <c r="D1548" s="4"/>
      <c r="E1548" s="4"/>
      <c r="F1548" s="4" t="s">
        <v>22</v>
      </c>
      <c r="G1548" s="21">
        <v>0.76</v>
      </c>
      <c r="H1548" s="7" t="s">
        <v>1606</v>
      </c>
      <c r="I1548" s="4" t="s">
        <v>1773</v>
      </c>
      <c r="J1548" s="4" t="s">
        <v>1774</v>
      </c>
      <c r="K1548" s="8"/>
      <c r="L1548" s="8" t="s">
        <v>3215</v>
      </c>
      <c r="M1548" s="9">
        <f t="shared" si="1"/>
        <v>16</v>
      </c>
    </row>
    <row r="1549" ht="12.75" customHeight="1">
      <c r="A1549" s="4">
        <f t="shared" si="2"/>
        <v>1548</v>
      </c>
      <c r="B1549" s="4" t="s">
        <v>3419</v>
      </c>
      <c r="C1549" s="5" t="s">
        <v>3420</v>
      </c>
      <c r="D1549" s="4"/>
      <c r="E1549" s="4"/>
      <c r="F1549" s="4" t="s">
        <v>22</v>
      </c>
      <c r="G1549" s="6">
        <v>18.89</v>
      </c>
      <c r="H1549" s="7" t="s">
        <v>1606</v>
      </c>
      <c r="I1549" s="4" t="s">
        <v>1773</v>
      </c>
      <c r="J1549" s="4" t="s">
        <v>1774</v>
      </c>
      <c r="K1549" s="8"/>
      <c r="L1549" s="8" t="s">
        <v>2097</v>
      </c>
      <c r="M1549" s="9">
        <f t="shared" si="1"/>
        <v>32</v>
      </c>
    </row>
    <row r="1550" ht="12.75" customHeight="1">
      <c r="A1550" s="4">
        <f t="shared" si="2"/>
        <v>1549</v>
      </c>
      <c r="B1550" s="4" t="s">
        <v>3421</v>
      </c>
      <c r="C1550" s="5" t="s">
        <v>3422</v>
      </c>
      <c r="D1550" s="4"/>
      <c r="E1550" s="4"/>
      <c r="F1550" s="4" t="s">
        <v>22</v>
      </c>
      <c r="G1550" s="6">
        <v>7.57</v>
      </c>
      <c r="H1550" s="7" t="s">
        <v>1606</v>
      </c>
      <c r="I1550" s="4" t="s">
        <v>1475</v>
      </c>
      <c r="J1550" s="4" t="s">
        <v>1476</v>
      </c>
      <c r="K1550" s="8"/>
      <c r="L1550" s="8" t="s">
        <v>3423</v>
      </c>
      <c r="M1550" s="9">
        <f t="shared" si="1"/>
        <v>37</v>
      </c>
    </row>
    <row r="1551" ht="12.75" customHeight="1">
      <c r="A1551" s="4">
        <f t="shared" si="2"/>
        <v>1550</v>
      </c>
      <c r="B1551" s="4" t="s">
        <v>3424</v>
      </c>
      <c r="C1551" s="5" t="s">
        <v>3425</v>
      </c>
      <c r="D1551" s="4"/>
      <c r="E1551" s="4"/>
      <c r="F1551" s="4" t="s">
        <v>22</v>
      </c>
      <c r="G1551" s="21">
        <v>2.51</v>
      </c>
      <c r="H1551" s="7" t="s">
        <v>1606</v>
      </c>
      <c r="I1551" s="4" t="s">
        <v>1475</v>
      </c>
      <c r="J1551" s="4" t="s">
        <v>1476</v>
      </c>
      <c r="K1551" s="8"/>
      <c r="L1551" s="8" t="s">
        <v>3423</v>
      </c>
      <c r="M1551" s="9">
        <f t="shared" si="1"/>
        <v>35</v>
      </c>
    </row>
    <row r="1552" ht="12.75" customHeight="1">
      <c r="A1552" s="4">
        <f t="shared" si="2"/>
        <v>1551</v>
      </c>
      <c r="B1552" s="4" t="s">
        <v>3426</v>
      </c>
      <c r="C1552" s="5" t="s">
        <v>3427</v>
      </c>
      <c r="D1552" s="4"/>
      <c r="E1552" s="4"/>
      <c r="F1552" s="4" t="s">
        <v>22</v>
      </c>
      <c r="G1552" s="21">
        <v>1.62</v>
      </c>
      <c r="H1552" s="7" t="s">
        <v>1606</v>
      </c>
      <c r="I1552" s="4" t="s">
        <v>1475</v>
      </c>
      <c r="J1552" s="4" t="s">
        <v>1476</v>
      </c>
      <c r="K1552" s="8"/>
      <c r="L1552" s="8" t="s">
        <v>3423</v>
      </c>
      <c r="M1552" s="9">
        <f t="shared" si="1"/>
        <v>26</v>
      </c>
    </row>
    <row r="1553" ht="12.75" customHeight="1">
      <c r="A1553" s="4">
        <f t="shared" si="2"/>
        <v>1552</v>
      </c>
      <c r="B1553" s="4" t="s">
        <v>3428</v>
      </c>
      <c r="C1553" s="5" t="s">
        <v>3429</v>
      </c>
      <c r="D1553" s="4"/>
      <c r="E1553" s="4"/>
      <c r="F1553" s="4" t="s">
        <v>22</v>
      </c>
      <c r="G1553" s="21">
        <v>2.53</v>
      </c>
      <c r="H1553" s="7" t="s">
        <v>1606</v>
      </c>
      <c r="I1553" s="4" t="s">
        <v>1746</v>
      </c>
      <c r="J1553" s="4" t="s">
        <v>3430</v>
      </c>
      <c r="K1553" s="8"/>
      <c r="L1553" s="8" t="s">
        <v>3431</v>
      </c>
      <c r="M1553" s="9">
        <f t="shared" si="1"/>
        <v>65</v>
      </c>
    </row>
    <row r="1554" ht="12.75" customHeight="1">
      <c r="A1554" s="4">
        <f t="shared" si="2"/>
        <v>1553</v>
      </c>
      <c r="B1554" s="4" t="s">
        <v>3432</v>
      </c>
      <c r="C1554" s="5" t="s">
        <v>3433</v>
      </c>
      <c r="D1554" s="4"/>
      <c r="E1554" s="4"/>
      <c r="F1554" s="4" t="s">
        <v>22</v>
      </c>
      <c r="G1554" s="6">
        <v>7.0</v>
      </c>
      <c r="H1554" s="7" t="s">
        <v>1606</v>
      </c>
      <c r="I1554" s="4" t="s">
        <v>1746</v>
      </c>
      <c r="J1554" s="4" t="s">
        <v>3430</v>
      </c>
      <c r="K1554" s="8"/>
      <c r="L1554" s="8" t="s">
        <v>3431</v>
      </c>
      <c r="M1554" s="9">
        <f t="shared" si="1"/>
        <v>61</v>
      </c>
    </row>
    <row r="1555" ht="12.75" customHeight="1">
      <c r="A1555" s="4">
        <f t="shared" si="2"/>
        <v>1554</v>
      </c>
      <c r="B1555" s="4" t="s">
        <v>3434</v>
      </c>
      <c r="C1555" s="5" t="s">
        <v>3435</v>
      </c>
      <c r="D1555" s="4"/>
      <c r="E1555" s="4"/>
      <c r="F1555" s="4" t="s">
        <v>22</v>
      </c>
      <c r="G1555" s="6">
        <v>4.86</v>
      </c>
      <c r="H1555" s="7" t="s">
        <v>1606</v>
      </c>
      <c r="I1555" s="4" t="s">
        <v>1746</v>
      </c>
      <c r="J1555" s="4" t="s">
        <v>3430</v>
      </c>
      <c r="K1555" s="8"/>
      <c r="L1555" s="8" t="s">
        <v>3431</v>
      </c>
      <c r="M1555" s="9">
        <f t="shared" si="1"/>
        <v>63</v>
      </c>
    </row>
    <row r="1556" ht="12.75" customHeight="1">
      <c r="A1556" s="4">
        <f t="shared" si="2"/>
        <v>1555</v>
      </c>
      <c r="B1556" s="4" t="s">
        <v>3436</v>
      </c>
      <c r="C1556" s="5" t="s">
        <v>3437</v>
      </c>
      <c r="D1556" s="4"/>
      <c r="E1556" s="4"/>
      <c r="F1556" s="4" t="s">
        <v>22</v>
      </c>
      <c r="G1556" s="6">
        <v>9.46</v>
      </c>
      <c r="H1556" s="7" t="s">
        <v>1606</v>
      </c>
      <c r="I1556" s="4" t="s">
        <v>1746</v>
      </c>
      <c r="J1556" s="4" t="s">
        <v>3430</v>
      </c>
      <c r="K1556" s="8"/>
      <c r="L1556" s="8" t="s">
        <v>3431</v>
      </c>
      <c r="M1556" s="9">
        <f t="shared" si="1"/>
        <v>59</v>
      </c>
    </row>
    <row r="1557" ht="12.75" customHeight="1">
      <c r="A1557" s="4">
        <f t="shared" si="2"/>
        <v>1556</v>
      </c>
      <c r="B1557" s="4" t="s">
        <v>3438</v>
      </c>
      <c r="C1557" s="5" t="s">
        <v>3439</v>
      </c>
      <c r="D1557" s="4"/>
      <c r="E1557" s="4"/>
      <c r="F1557" s="4" t="s">
        <v>22</v>
      </c>
      <c r="G1557" s="6">
        <v>2.16</v>
      </c>
      <c r="H1557" s="7" t="s">
        <v>1606</v>
      </c>
      <c r="I1557" s="4" t="s">
        <v>1746</v>
      </c>
      <c r="J1557" s="4" t="s">
        <v>3430</v>
      </c>
      <c r="K1557" s="8"/>
      <c r="L1557" s="8" t="s">
        <v>3440</v>
      </c>
      <c r="M1557" s="9">
        <f t="shared" si="1"/>
        <v>44</v>
      </c>
    </row>
    <row r="1558" ht="12.75" customHeight="1">
      <c r="A1558" s="4">
        <f t="shared" si="2"/>
        <v>1557</v>
      </c>
      <c r="B1558" s="4" t="s">
        <v>3441</v>
      </c>
      <c r="C1558" s="5" t="s">
        <v>3442</v>
      </c>
      <c r="D1558" s="4"/>
      <c r="E1558" s="4"/>
      <c r="F1558" s="4" t="s">
        <v>22</v>
      </c>
      <c r="G1558" s="21">
        <v>0.81</v>
      </c>
      <c r="H1558" s="7" t="s">
        <v>1606</v>
      </c>
      <c r="I1558" s="4" t="s">
        <v>1475</v>
      </c>
      <c r="J1558" s="4" t="s">
        <v>1476</v>
      </c>
      <c r="K1558" s="8"/>
      <c r="L1558" s="8" t="s">
        <v>33</v>
      </c>
      <c r="M1558" s="9">
        <f t="shared" si="1"/>
        <v>23</v>
      </c>
    </row>
    <row r="1559" ht="12.75" customHeight="1">
      <c r="A1559" s="4">
        <f t="shared" si="2"/>
        <v>1558</v>
      </c>
      <c r="B1559" s="4" t="s">
        <v>3443</v>
      </c>
      <c r="C1559" s="5" t="s">
        <v>3444</v>
      </c>
      <c r="D1559" s="4"/>
      <c r="E1559" s="4"/>
      <c r="F1559" s="4" t="s">
        <v>22</v>
      </c>
      <c r="G1559" s="21">
        <v>4.97</v>
      </c>
      <c r="H1559" s="7" t="s">
        <v>1606</v>
      </c>
      <c r="I1559" s="4" t="s">
        <v>2392</v>
      </c>
      <c r="J1559" s="4" t="s">
        <v>3445</v>
      </c>
      <c r="K1559" s="8"/>
      <c r="L1559" s="8" t="s">
        <v>3446</v>
      </c>
      <c r="M1559" s="9">
        <f t="shared" si="1"/>
        <v>32</v>
      </c>
    </row>
    <row r="1560" ht="12.75" customHeight="1">
      <c r="A1560" s="4">
        <f t="shared" si="2"/>
        <v>1559</v>
      </c>
      <c r="B1560" s="4" t="s">
        <v>3447</v>
      </c>
      <c r="C1560" s="5" t="s">
        <v>3448</v>
      </c>
      <c r="D1560" s="4"/>
      <c r="E1560" s="4"/>
      <c r="F1560" s="4" t="s">
        <v>22</v>
      </c>
      <c r="G1560" s="6">
        <v>4.59</v>
      </c>
      <c r="H1560" s="7" t="s">
        <v>1606</v>
      </c>
      <c r="I1560" s="4" t="s">
        <v>2392</v>
      </c>
      <c r="J1560" s="4" t="s">
        <v>3445</v>
      </c>
      <c r="K1560" s="8"/>
      <c r="L1560" s="8" t="s">
        <v>3446</v>
      </c>
      <c r="M1560" s="9">
        <f t="shared" si="1"/>
        <v>32</v>
      </c>
    </row>
    <row r="1561" ht="12.75" customHeight="1">
      <c r="A1561" s="4">
        <f t="shared" si="2"/>
        <v>1560</v>
      </c>
      <c r="B1561" s="4" t="s">
        <v>3449</v>
      </c>
      <c r="C1561" s="5" t="s">
        <v>3450</v>
      </c>
      <c r="D1561" s="4"/>
      <c r="E1561" s="4"/>
      <c r="F1561" s="4" t="s">
        <v>22</v>
      </c>
      <c r="G1561" s="6">
        <v>8.0</v>
      </c>
      <c r="H1561" s="7" t="s">
        <v>1606</v>
      </c>
      <c r="I1561" s="4" t="s">
        <v>2392</v>
      </c>
      <c r="J1561" s="4" t="s">
        <v>3445</v>
      </c>
      <c r="K1561" s="8"/>
      <c r="L1561" s="8" t="s">
        <v>3446</v>
      </c>
      <c r="M1561" s="9">
        <f t="shared" si="1"/>
        <v>32</v>
      </c>
    </row>
    <row r="1562" ht="12.75" customHeight="1">
      <c r="A1562" s="4">
        <f t="shared" si="2"/>
        <v>1561</v>
      </c>
      <c r="B1562" s="4" t="s">
        <v>3451</v>
      </c>
      <c r="C1562" s="5" t="s">
        <v>3452</v>
      </c>
      <c r="D1562" s="4"/>
      <c r="E1562" s="4"/>
      <c r="F1562" s="4" t="s">
        <v>22</v>
      </c>
      <c r="G1562" s="6">
        <v>9.0</v>
      </c>
      <c r="H1562" s="7" t="s">
        <v>1606</v>
      </c>
      <c r="I1562" s="4" t="s">
        <v>2392</v>
      </c>
      <c r="J1562" s="4" t="s">
        <v>3445</v>
      </c>
      <c r="K1562" s="8"/>
      <c r="L1562" s="8" t="s">
        <v>3446</v>
      </c>
      <c r="M1562" s="9">
        <f t="shared" si="1"/>
        <v>32</v>
      </c>
    </row>
    <row r="1563" ht="12.75" customHeight="1">
      <c r="A1563" s="4">
        <f t="shared" si="2"/>
        <v>1562</v>
      </c>
      <c r="B1563" s="4" t="s">
        <v>3453</v>
      </c>
      <c r="C1563" s="5" t="s">
        <v>3454</v>
      </c>
      <c r="D1563" s="4"/>
      <c r="E1563" s="4"/>
      <c r="F1563" s="4" t="s">
        <v>22</v>
      </c>
      <c r="G1563" s="6">
        <v>10.0</v>
      </c>
      <c r="H1563" s="7" t="s">
        <v>1606</v>
      </c>
      <c r="I1563" s="4" t="s">
        <v>2392</v>
      </c>
      <c r="J1563" s="4" t="s">
        <v>3445</v>
      </c>
      <c r="K1563" s="8"/>
      <c r="L1563" s="8" t="s">
        <v>3446</v>
      </c>
      <c r="M1563" s="9">
        <f t="shared" si="1"/>
        <v>32</v>
      </c>
    </row>
    <row r="1564" ht="12.75" customHeight="1">
      <c r="A1564" s="4">
        <f t="shared" si="2"/>
        <v>1563</v>
      </c>
      <c r="B1564" s="4" t="s">
        <v>3455</v>
      </c>
      <c r="C1564" s="5" t="s">
        <v>3456</v>
      </c>
      <c r="D1564" s="4"/>
      <c r="E1564" s="4"/>
      <c r="F1564" s="4" t="s">
        <v>22</v>
      </c>
      <c r="G1564" s="6">
        <v>12.7</v>
      </c>
      <c r="H1564" s="7" t="s">
        <v>1606</v>
      </c>
      <c r="I1564" s="4" t="s">
        <v>2392</v>
      </c>
      <c r="J1564" s="4" t="s">
        <v>3445</v>
      </c>
      <c r="K1564" s="8"/>
      <c r="L1564" s="8" t="s">
        <v>3446</v>
      </c>
      <c r="M1564" s="9">
        <f t="shared" si="1"/>
        <v>32</v>
      </c>
    </row>
    <row r="1565" ht="12.75" customHeight="1">
      <c r="A1565" s="4">
        <f t="shared" si="2"/>
        <v>1564</v>
      </c>
      <c r="B1565" s="4" t="s">
        <v>3457</v>
      </c>
      <c r="C1565" s="5" t="s">
        <v>3458</v>
      </c>
      <c r="D1565" s="4"/>
      <c r="E1565" s="4"/>
      <c r="F1565" s="4" t="s">
        <v>22</v>
      </c>
      <c r="G1565" s="6">
        <v>18.11</v>
      </c>
      <c r="H1565" s="7" t="s">
        <v>1606</v>
      </c>
      <c r="I1565" s="4" t="s">
        <v>2392</v>
      </c>
      <c r="J1565" s="4" t="s">
        <v>3445</v>
      </c>
      <c r="K1565" s="8"/>
      <c r="L1565" s="8" t="s">
        <v>3446</v>
      </c>
      <c r="M1565" s="9">
        <f t="shared" si="1"/>
        <v>32</v>
      </c>
    </row>
    <row r="1566" ht="12.75" customHeight="1">
      <c r="A1566" s="4">
        <f t="shared" si="2"/>
        <v>1565</v>
      </c>
      <c r="B1566" s="4" t="s">
        <v>3459</v>
      </c>
      <c r="C1566" s="5" t="s">
        <v>3460</v>
      </c>
      <c r="D1566" s="4"/>
      <c r="E1566" s="4"/>
      <c r="F1566" s="4" t="s">
        <v>22</v>
      </c>
      <c r="G1566" s="6">
        <v>12.6</v>
      </c>
      <c r="H1566" s="7" t="s">
        <v>1606</v>
      </c>
      <c r="I1566" s="4" t="s">
        <v>2392</v>
      </c>
      <c r="J1566" s="4" t="s">
        <v>3445</v>
      </c>
      <c r="K1566" s="8"/>
      <c r="L1566" s="8" t="s">
        <v>3446</v>
      </c>
      <c r="M1566" s="9">
        <f t="shared" si="1"/>
        <v>32</v>
      </c>
    </row>
    <row r="1567" ht="12.75" customHeight="1">
      <c r="A1567" s="4">
        <f t="shared" si="2"/>
        <v>1566</v>
      </c>
      <c r="B1567" s="4" t="s">
        <v>3461</v>
      </c>
      <c r="C1567" s="5" t="s">
        <v>3462</v>
      </c>
      <c r="D1567" s="4"/>
      <c r="E1567" s="4"/>
      <c r="F1567" s="4" t="s">
        <v>22</v>
      </c>
      <c r="G1567" s="6">
        <v>16.5</v>
      </c>
      <c r="H1567" s="7" t="s">
        <v>1606</v>
      </c>
      <c r="I1567" s="4" t="s">
        <v>2392</v>
      </c>
      <c r="J1567" s="4" t="s">
        <v>3445</v>
      </c>
      <c r="K1567" s="8"/>
      <c r="L1567" s="8" t="s">
        <v>3446</v>
      </c>
      <c r="M1567" s="9">
        <f t="shared" si="1"/>
        <v>32</v>
      </c>
    </row>
    <row r="1568" ht="12.75" customHeight="1">
      <c r="A1568" s="4">
        <f t="shared" si="2"/>
        <v>1567</v>
      </c>
      <c r="B1568" s="4" t="s">
        <v>3463</v>
      </c>
      <c r="C1568" s="5" t="s">
        <v>3464</v>
      </c>
      <c r="D1568" s="4"/>
      <c r="E1568" s="4"/>
      <c r="F1568" s="4" t="s">
        <v>22</v>
      </c>
      <c r="G1568" s="6">
        <v>19.5</v>
      </c>
      <c r="H1568" s="7" t="s">
        <v>1606</v>
      </c>
      <c r="I1568" s="4" t="s">
        <v>2392</v>
      </c>
      <c r="J1568" s="4" t="s">
        <v>3445</v>
      </c>
      <c r="K1568" s="8"/>
      <c r="L1568" s="8" t="s">
        <v>3446</v>
      </c>
      <c r="M1568" s="9">
        <f t="shared" si="1"/>
        <v>32</v>
      </c>
    </row>
    <row r="1569" ht="12.75" customHeight="1">
      <c r="A1569" s="4">
        <f t="shared" si="2"/>
        <v>1568</v>
      </c>
      <c r="B1569" s="4" t="s">
        <v>3465</v>
      </c>
      <c r="C1569" s="5" t="s">
        <v>3466</v>
      </c>
      <c r="D1569" s="4"/>
      <c r="E1569" s="4"/>
      <c r="F1569" s="4" t="s">
        <v>22</v>
      </c>
      <c r="G1569" s="6">
        <v>21.6</v>
      </c>
      <c r="H1569" s="7" t="s">
        <v>1606</v>
      </c>
      <c r="I1569" s="4" t="s">
        <v>2392</v>
      </c>
      <c r="J1569" s="4" t="s">
        <v>3445</v>
      </c>
      <c r="K1569" s="8"/>
      <c r="L1569" s="8" t="s">
        <v>3446</v>
      </c>
      <c r="M1569" s="9">
        <f t="shared" si="1"/>
        <v>32</v>
      </c>
    </row>
    <row r="1570" ht="12.75" customHeight="1">
      <c r="A1570" s="4">
        <f t="shared" si="2"/>
        <v>1569</v>
      </c>
      <c r="B1570" s="4" t="s">
        <v>3467</v>
      </c>
      <c r="C1570" s="5" t="s">
        <v>3468</v>
      </c>
      <c r="D1570" s="4"/>
      <c r="E1570" s="4"/>
      <c r="F1570" s="4" t="s">
        <v>22</v>
      </c>
      <c r="G1570" s="6">
        <v>27.03</v>
      </c>
      <c r="H1570" s="7" t="s">
        <v>1606</v>
      </c>
      <c r="I1570" s="4" t="s">
        <v>2392</v>
      </c>
      <c r="J1570" s="4" t="s">
        <v>3445</v>
      </c>
      <c r="K1570" s="8"/>
      <c r="L1570" s="8" t="s">
        <v>3446</v>
      </c>
      <c r="M1570" s="9">
        <f t="shared" si="1"/>
        <v>32</v>
      </c>
    </row>
    <row r="1571" ht="12.75" customHeight="1">
      <c r="A1571" s="4">
        <f t="shared" si="2"/>
        <v>1570</v>
      </c>
      <c r="B1571" s="4" t="s">
        <v>3469</v>
      </c>
      <c r="C1571" s="5" t="s">
        <v>3470</v>
      </c>
      <c r="D1571" s="4"/>
      <c r="E1571" s="4"/>
      <c r="F1571" s="4" t="s">
        <v>22</v>
      </c>
      <c r="G1571" s="6">
        <v>25.68</v>
      </c>
      <c r="H1571" s="7" t="s">
        <v>1606</v>
      </c>
      <c r="I1571" s="4" t="s">
        <v>2392</v>
      </c>
      <c r="J1571" s="4" t="s">
        <v>3445</v>
      </c>
      <c r="K1571" s="8"/>
      <c r="L1571" s="8" t="s">
        <v>3446</v>
      </c>
      <c r="M1571" s="9">
        <f t="shared" si="1"/>
        <v>32</v>
      </c>
    </row>
    <row r="1572" ht="12.75" customHeight="1">
      <c r="A1572" s="4">
        <f t="shared" si="2"/>
        <v>1571</v>
      </c>
      <c r="B1572" s="4" t="s">
        <v>3471</v>
      </c>
      <c r="C1572" s="5" t="s">
        <v>3472</v>
      </c>
      <c r="D1572" s="4"/>
      <c r="E1572" s="4"/>
      <c r="F1572" s="4" t="s">
        <v>22</v>
      </c>
      <c r="G1572" s="6">
        <v>28.54</v>
      </c>
      <c r="H1572" s="7" t="s">
        <v>1606</v>
      </c>
      <c r="I1572" s="4" t="s">
        <v>2392</v>
      </c>
      <c r="J1572" s="4" t="s">
        <v>3445</v>
      </c>
      <c r="K1572" s="8"/>
      <c r="L1572" s="8" t="s">
        <v>3446</v>
      </c>
      <c r="M1572" s="9">
        <f t="shared" si="1"/>
        <v>32</v>
      </c>
    </row>
    <row r="1573" ht="12.75" customHeight="1">
      <c r="A1573" s="4">
        <f t="shared" si="2"/>
        <v>1572</v>
      </c>
      <c r="B1573" s="4" t="s">
        <v>3473</v>
      </c>
      <c r="C1573" s="5" t="s">
        <v>3474</v>
      </c>
      <c r="D1573" s="4"/>
      <c r="E1573" s="4"/>
      <c r="F1573" s="4" t="s">
        <v>22</v>
      </c>
      <c r="G1573" s="6">
        <v>0.91</v>
      </c>
      <c r="H1573" s="7" t="s">
        <v>1606</v>
      </c>
      <c r="I1573" s="4" t="s">
        <v>1800</v>
      </c>
      <c r="J1573" s="4" t="s">
        <v>1801</v>
      </c>
      <c r="K1573" s="8"/>
      <c r="L1573" s="8" t="s">
        <v>33</v>
      </c>
      <c r="M1573" s="9">
        <f t="shared" si="1"/>
        <v>19</v>
      </c>
    </row>
    <row r="1574" ht="12.75" customHeight="1">
      <c r="A1574" s="4">
        <f t="shared" si="2"/>
        <v>1573</v>
      </c>
      <c r="B1574" s="4" t="s">
        <v>3475</v>
      </c>
      <c r="C1574" s="5" t="s">
        <v>3476</v>
      </c>
      <c r="D1574" s="4"/>
      <c r="E1574" s="4"/>
      <c r="F1574" s="4" t="s">
        <v>22</v>
      </c>
      <c r="G1574" s="6">
        <v>6.22</v>
      </c>
      <c r="H1574" s="7" t="s">
        <v>1606</v>
      </c>
      <c r="I1574" s="4" t="s">
        <v>1869</v>
      </c>
      <c r="J1574" s="4" t="s">
        <v>3477</v>
      </c>
      <c r="K1574" s="8"/>
      <c r="L1574" s="8" t="s">
        <v>33</v>
      </c>
      <c r="M1574" s="9">
        <f t="shared" si="1"/>
        <v>28</v>
      </c>
    </row>
    <row r="1575" ht="12.75" customHeight="1">
      <c r="A1575" s="4">
        <f t="shared" si="2"/>
        <v>1574</v>
      </c>
      <c r="B1575" s="4" t="s">
        <v>3478</v>
      </c>
      <c r="C1575" s="5" t="s">
        <v>3479</v>
      </c>
      <c r="D1575" s="4"/>
      <c r="E1575" s="4"/>
      <c r="F1575" s="4" t="s">
        <v>22</v>
      </c>
      <c r="G1575" s="6">
        <v>7.97</v>
      </c>
      <c r="H1575" s="7" t="s">
        <v>1606</v>
      </c>
      <c r="I1575" s="4" t="s">
        <v>1869</v>
      </c>
      <c r="J1575" s="4" t="s">
        <v>3477</v>
      </c>
      <c r="K1575" s="8"/>
      <c r="L1575" s="8" t="s">
        <v>33</v>
      </c>
      <c r="M1575" s="9">
        <f t="shared" si="1"/>
        <v>28</v>
      </c>
    </row>
    <row r="1576" ht="12.75" customHeight="1">
      <c r="A1576" s="4">
        <f t="shared" si="2"/>
        <v>1575</v>
      </c>
      <c r="B1576" s="4" t="s">
        <v>3480</v>
      </c>
      <c r="C1576" s="5" t="s">
        <v>3481</v>
      </c>
      <c r="D1576" s="4"/>
      <c r="E1576" s="4"/>
      <c r="F1576" s="4" t="s">
        <v>22</v>
      </c>
      <c r="G1576" s="6">
        <v>6.73</v>
      </c>
      <c r="H1576" s="7" t="s">
        <v>1606</v>
      </c>
      <c r="I1576" s="4" t="s">
        <v>1869</v>
      </c>
      <c r="J1576" s="4" t="s">
        <v>3477</v>
      </c>
      <c r="K1576" s="8"/>
      <c r="L1576" s="8" t="s">
        <v>33</v>
      </c>
      <c r="M1576" s="9">
        <f t="shared" si="1"/>
        <v>30</v>
      </c>
    </row>
    <row r="1577" ht="12.75" customHeight="1">
      <c r="A1577" s="4">
        <f t="shared" si="2"/>
        <v>1576</v>
      </c>
      <c r="B1577" s="4" t="s">
        <v>3482</v>
      </c>
      <c r="C1577" s="5" t="s">
        <v>3483</v>
      </c>
      <c r="D1577" s="4"/>
      <c r="E1577" s="4"/>
      <c r="F1577" s="4" t="s">
        <v>22</v>
      </c>
      <c r="G1577" s="6">
        <v>10.81</v>
      </c>
      <c r="H1577" s="7" t="s">
        <v>1606</v>
      </c>
      <c r="I1577" s="4" t="s">
        <v>1869</v>
      </c>
      <c r="J1577" s="4" t="s">
        <v>3477</v>
      </c>
      <c r="K1577" s="8"/>
      <c r="L1577" s="8" t="s">
        <v>33</v>
      </c>
      <c r="M1577" s="9">
        <f t="shared" si="1"/>
        <v>28</v>
      </c>
    </row>
    <row r="1578" ht="12.75" customHeight="1">
      <c r="A1578" s="4">
        <f t="shared" si="2"/>
        <v>1577</v>
      </c>
      <c r="B1578" s="4" t="s">
        <v>3484</v>
      </c>
      <c r="C1578" s="5" t="s">
        <v>3485</v>
      </c>
      <c r="D1578" s="4"/>
      <c r="E1578" s="4"/>
      <c r="F1578" s="4" t="s">
        <v>22</v>
      </c>
      <c r="G1578" s="6">
        <v>51.35</v>
      </c>
      <c r="H1578" s="7" t="s">
        <v>1606</v>
      </c>
      <c r="I1578" s="4" t="s">
        <v>1869</v>
      </c>
      <c r="J1578" s="4" t="s">
        <v>3486</v>
      </c>
      <c r="K1578" s="8"/>
      <c r="L1578" s="8" t="s">
        <v>33</v>
      </c>
      <c r="M1578" s="9">
        <f t="shared" si="1"/>
        <v>59</v>
      </c>
    </row>
    <row r="1579" ht="12.75" customHeight="1">
      <c r="A1579" s="4">
        <f t="shared" si="2"/>
        <v>1578</v>
      </c>
      <c r="B1579" s="4" t="s">
        <v>3487</v>
      </c>
      <c r="C1579" s="5" t="s">
        <v>3488</v>
      </c>
      <c r="D1579" s="4"/>
      <c r="E1579" s="4"/>
      <c r="F1579" s="4" t="s">
        <v>22</v>
      </c>
      <c r="G1579" s="6">
        <v>17.57</v>
      </c>
      <c r="H1579" s="7" t="s">
        <v>1606</v>
      </c>
      <c r="I1579" s="4" t="s">
        <v>1869</v>
      </c>
      <c r="J1579" s="4" t="s">
        <v>3486</v>
      </c>
      <c r="K1579" s="8"/>
      <c r="L1579" s="8" t="s">
        <v>33</v>
      </c>
      <c r="M1579" s="9">
        <f t="shared" si="1"/>
        <v>56</v>
      </c>
    </row>
    <row r="1580" ht="12.75" customHeight="1">
      <c r="A1580" s="4">
        <f t="shared" si="2"/>
        <v>1579</v>
      </c>
      <c r="B1580" s="4" t="s">
        <v>3489</v>
      </c>
      <c r="C1580" s="5" t="s">
        <v>3490</v>
      </c>
      <c r="D1580" s="4"/>
      <c r="E1580" s="4"/>
      <c r="F1580" s="4" t="s">
        <v>22</v>
      </c>
      <c r="G1580" s="6">
        <v>5.41</v>
      </c>
      <c r="H1580" s="7" t="s">
        <v>1606</v>
      </c>
      <c r="I1580" s="4" t="s">
        <v>1869</v>
      </c>
      <c r="J1580" s="4" t="s">
        <v>3486</v>
      </c>
      <c r="K1580" s="8"/>
      <c r="L1580" s="8" t="s">
        <v>33</v>
      </c>
      <c r="M1580" s="9">
        <f t="shared" si="1"/>
        <v>56</v>
      </c>
    </row>
    <row r="1581" ht="12.75" customHeight="1">
      <c r="A1581" s="4">
        <f t="shared" si="2"/>
        <v>1580</v>
      </c>
      <c r="B1581" s="4" t="s">
        <v>3491</v>
      </c>
      <c r="C1581" s="5" t="s">
        <v>3492</v>
      </c>
      <c r="D1581" s="4"/>
      <c r="E1581" s="4"/>
      <c r="F1581" s="4" t="s">
        <v>22</v>
      </c>
      <c r="G1581" s="6">
        <v>14.86</v>
      </c>
      <c r="H1581" s="7" t="s">
        <v>1606</v>
      </c>
      <c r="I1581" s="4" t="s">
        <v>1869</v>
      </c>
      <c r="J1581" s="4" t="s">
        <v>3486</v>
      </c>
      <c r="K1581" s="8"/>
      <c r="L1581" s="8" t="s">
        <v>33</v>
      </c>
      <c r="M1581" s="9">
        <f t="shared" si="1"/>
        <v>56</v>
      </c>
    </row>
    <row r="1582" ht="12.75" customHeight="1">
      <c r="A1582" s="4">
        <f t="shared" si="2"/>
        <v>1581</v>
      </c>
      <c r="B1582" s="4" t="s">
        <v>3493</v>
      </c>
      <c r="C1582" s="5" t="s">
        <v>3494</v>
      </c>
      <c r="D1582" s="4"/>
      <c r="E1582" s="4"/>
      <c r="F1582" s="4" t="s">
        <v>22</v>
      </c>
      <c r="G1582" s="6">
        <v>20.54</v>
      </c>
      <c r="H1582" s="7" t="s">
        <v>1606</v>
      </c>
      <c r="I1582" s="4" t="s">
        <v>1869</v>
      </c>
      <c r="J1582" s="4" t="s">
        <v>3477</v>
      </c>
      <c r="K1582" s="8"/>
      <c r="L1582" s="8" t="s">
        <v>33</v>
      </c>
      <c r="M1582" s="9">
        <f t="shared" si="1"/>
        <v>35</v>
      </c>
    </row>
    <row r="1583" ht="12.75" customHeight="1">
      <c r="A1583" s="4">
        <f t="shared" si="2"/>
        <v>1582</v>
      </c>
      <c r="B1583" s="4" t="s">
        <v>3495</v>
      </c>
      <c r="C1583" s="5" t="s">
        <v>3496</v>
      </c>
      <c r="D1583" s="4"/>
      <c r="E1583" s="4"/>
      <c r="F1583" s="4" t="s">
        <v>22</v>
      </c>
      <c r="G1583" s="6">
        <v>4.05</v>
      </c>
      <c r="H1583" s="7" t="s">
        <v>1606</v>
      </c>
      <c r="I1583" s="4" t="s">
        <v>1869</v>
      </c>
      <c r="J1583" s="4" t="s">
        <v>3477</v>
      </c>
      <c r="K1583" s="8"/>
      <c r="L1583" s="8" t="s">
        <v>33</v>
      </c>
      <c r="M1583" s="9">
        <f t="shared" si="1"/>
        <v>37</v>
      </c>
    </row>
    <row r="1584" ht="12.75" customHeight="1">
      <c r="A1584" s="4">
        <f t="shared" si="2"/>
        <v>1583</v>
      </c>
      <c r="B1584" s="4" t="s">
        <v>3497</v>
      </c>
      <c r="C1584" s="5" t="s">
        <v>3498</v>
      </c>
      <c r="D1584" s="4"/>
      <c r="E1584" s="4"/>
      <c r="F1584" s="4" t="s">
        <v>22</v>
      </c>
      <c r="G1584" s="6">
        <v>2.16</v>
      </c>
      <c r="H1584" s="7" t="s">
        <v>1606</v>
      </c>
      <c r="I1584" s="4" t="s">
        <v>1869</v>
      </c>
      <c r="J1584" s="4" t="s">
        <v>3477</v>
      </c>
      <c r="K1584" s="8"/>
      <c r="L1584" s="8" t="s">
        <v>33</v>
      </c>
      <c r="M1584" s="9">
        <f t="shared" si="1"/>
        <v>37</v>
      </c>
    </row>
    <row r="1585" ht="12.75" customHeight="1">
      <c r="A1585" s="4">
        <f t="shared" si="2"/>
        <v>1584</v>
      </c>
      <c r="B1585" s="4" t="s">
        <v>3499</v>
      </c>
      <c r="C1585" s="5" t="s">
        <v>3500</v>
      </c>
      <c r="D1585" s="4"/>
      <c r="E1585" s="4"/>
      <c r="F1585" s="4" t="s">
        <v>22</v>
      </c>
      <c r="G1585" s="6">
        <v>9.43</v>
      </c>
      <c r="H1585" s="7" t="s">
        <v>1606</v>
      </c>
      <c r="I1585" s="4" t="s">
        <v>1869</v>
      </c>
      <c r="J1585" s="4" t="s">
        <v>3477</v>
      </c>
      <c r="K1585" s="8"/>
      <c r="L1585" s="8" t="s">
        <v>33</v>
      </c>
      <c r="M1585" s="9">
        <f t="shared" si="1"/>
        <v>37</v>
      </c>
    </row>
    <row r="1586" ht="12.75" customHeight="1">
      <c r="A1586" s="4">
        <f t="shared" si="2"/>
        <v>1585</v>
      </c>
      <c r="B1586" s="4" t="s">
        <v>3501</v>
      </c>
      <c r="C1586" s="5" t="s">
        <v>3502</v>
      </c>
      <c r="D1586" s="4"/>
      <c r="E1586" s="4"/>
      <c r="F1586" s="4" t="s">
        <v>22</v>
      </c>
      <c r="G1586" s="6">
        <v>2.7</v>
      </c>
      <c r="H1586" s="7" t="s">
        <v>1606</v>
      </c>
      <c r="I1586" s="4" t="s">
        <v>1869</v>
      </c>
      <c r="J1586" s="4" t="s">
        <v>3477</v>
      </c>
      <c r="K1586" s="8"/>
      <c r="L1586" s="8" t="s">
        <v>33</v>
      </c>
      <c r="M1586" s="9">
        <f t="shared" si="1"/>
        <v>37</v>
      </c>
    </row>
    <row r="1587" ht="12.75" customHeight="1">
      <c r="A1587" s="4">
        <f t="shared" si="2"/>
        <v>1586</v>
      </c>
      <c r="B1587" s="4" t="s">
        <v>3503</v>
      </c>
      <c r="C1587" s="5" t="s">
        <v>3504</v>
      </c>
      <c r="D1587" s="4"/>
      <c r="E1587" s="4"/>
      <c r="F1587" s="4" t="s">
        <v>22</v>
      </c>
      <c r="G1587" s="6">
        <v>2.3</v>
      </c>
      <c r="H1587" s="7" t="s">
        <v>1606</v>
      </c>
      <c r="I1587" s="4" t="s">
        <v>1869</v>
      </c>
      <c r="J1587" s="4" t="s">
        <v>3477</v>
      </c>
      <c r="K1587" s="8"/>
      <c r="L1587" s="8" t="s">
        <v>33</v>
      </c>
      <c r="M1587" s="9">
        <f t="shared" si="1"/>
        <v>38</v>
      </c>
    </row>
    <row r="1588" ht="12.75" customHeight="1">
      <c r="A1588" s="4">
        <f t="shared" si="2"/>
        <v>1587</v>
      </c>
      <c r="B1588" s="4" t="s">
        <v>3505</v>
      </c>
      <c r="C1588" s="5" t="s">
        <v>3506</v>
      </c>
      <c r="D1588" s="4"/>
      <c r="E1588" s="4"/>
      <c r="F1588" s="4" t="s">
        <v>22</v>
      </c>
      <c r="G1588" s="6">
        <v>5.41</v>
      </c>
      <c r="H1588" s="7" t="s">
        <v>1606</v>
      </c>
      <c r="I1588" s="4" t="s">
        <v>1869</v>
      </c>
      <c r="J1588" s="4" t="s">
        <v>3477</v>
      </c>
      <c r="K1588" s="8"/>
      <c r="L1588" s="8" t="s">
        <v>33</v>
      </c>
      <c r="M1588" s="9">
        <f t="shared" si="1"/>
        <v>37</v>
      </c>
    </row>
    <row r="1589" ht="12.75" customHeight="1">
      <c r="A1589" s="4">
        <f t="shared" si="2"/>
        <v>1588</v>
      </c>
      <c r="B1589" s="4" t="s">
        <v>3507</v>
      </c>
      <c r="C1589" s="5" t="s">
        <v>3508</v>
      </c>
      <c r="D1589" s="4"/>
      <c r="E1589" s="4"/>
      <c r="F1589" s="4" t="s">
        <v>1764</v>
      </c>
      <c r="G1589" s="6">
        <v>3.86</v>
      </c>
      <c r="H1589" s="7" t="s">
        <v>1606</v>
      </c>
      <c r="I1589" s="4" t="s">
        <v>1574</v>
      </c>
      <c r="J1589" s="4" t="s">
        <v>2075</v>
      </c>
      <c r="K1589" s="8"/>
      <c r="L1589" s="8" t="s">
        <v>3509</v>
      </c>
      <c r="M1589" s="9">
        <f t="shared" si="1"/>
        <v>53</v>
      </c>
    </row>
    <row r="1590" ht="12.75" customHeight="1">
      <c r="A1590" s="4">
        <f t="shared" si="2"/>
        <v>1589</v>
      </c>
      <c r="B1590" s="4" t="s">
        <v>3510</v>
      </c>
      <c r="C1590" s="5" t="s">
        <v>3511</v>
      </c>
      <c r="D1590" s="4"/>
      <c r="E1590" s="4"/>
      <c r="F1590" s="4" t="s">
        <v>1764</v>
      </c>
      <c r="G1590" s="6">
        <v>7.22</v>
      </c>
      <c r="H1590" s="7" t="s">
        <v>1606</v>
      </c>
      <c r="I1590" s="4" t="s">
        <v>1574</v>
      </c>
      <c r="J1590" s="4" t="s">
        <v>2075</v>
      </c>
      <c r="K1590" s="8"/>
      <c r="L1590" s="8" t="s">
        <v>3509</v>
      </c>
      <c r="M1590" s="9">
        <f t="shared" si="1"/>
        <v>53</v>
      </c>
    </row>
    <row r="1591" ht="12.75" customHeight="1">
      <c r="A1591" s="4">
        <f t="shared" si="2"/>
        <v>1590</v>
      </c>
      <c r="B1591" s="4" t="s">
        <v>3512</v>
      </c>
      <c r="C1591" s="5" t="s">
        <v>3513</v>
      </c>
      <c r="D1591" s="4"/>
      <c r="E1591" s="4"/>
      <c r="F1591" s="4" t="s">
        <v>1764</v>
      </c>
      <c r="G1591" s="21">
        <v>8.55</v>
      </c>
      <c r="H1591" s="7" t="s">
        <v>1606</v>
      </c>
      <c r="I1591" s="4" t="s">
        <v>1574</v>
      </c>
      <c r="J1591" s="4" t="s">
        <v>2075</v>
      </c>
      <c r="K1591" s="8"/>
      <c r="L1591" s="8" t="s">
        <v>3509</v>
      </c>
      <c r="M1591" s="9">
        <f t="shared" si="1"/>
        <v>53</v>
      </c>
    </row>
    <row r="1592" ht="12.75" customHeight="1">
      <c r="A1592" s="4">
        <f t="shared" si="2"/>
        <v>1591</v>
      </c>
      <c r="B1592" s="4" t="s">
        <v>3514</v>
      </c>
      <c r="C1592" s="5" t="s">
        <v>3515</v>
      </c>
      <c r="D1592" s="4"/>
      <c r="E1592" s="4"/>
      <c r="F1592" s="4" t="s">
        <v>1764</v>
      </c>
      <c r="G1592" s="6">
        <v>2.97</v>
      </c>
      <c r="H1592" s="7" t="s">
        <v>1606</v>
      </c>
      <c r="I1592" s="4" t="s">
        <v>1574</v>
      </c>
      <c r="J1592" s="4" t="s">
        <v>2075</v>
      </c>
      <c r="K1592" s="8"/>
      <c r="L1592" s="8" t="s">
        <v>3509</v>
      </c>
      <c r="M1592" s="9">
        <f t="shared" si="1"/>
        <v>52</v>
      </c>
    </row>
    <row r="1593" ht="12.75" customHeight="1">
      <c r="A1593" s="4">
        <f t="shared" si="2"/>
        <v>1592</v>
      </c>
      <c r="B1593" s="4" t="s">
        <v>3516</v>
      </c>
      <c r="C1593" s="5" t="s">
        <v>3517</v>
      </c>
      <c r="D1593" s="4"/>
      <c r="E1593" s="4"/>
      <c r="F1593" s="4" t="s">
        <v>22</v>
      </c>
      <c r="G1593" s="6">
        <v>12.7</v>
      </c>
      <c r="H1593" s="7" t="s">
        <v>1606</v>
      </c>
      <c r="I1593" s="4" t="s">
        <v>2860</v>
      </c>
      <c r="J1593" s="4" t="s">
        <v>2861</v>
      </c>
      <c r="K1593" s="8"/>
      <c r="L1593" s="8" t="s">
        <v>1509</v>
      </c>
      <c r="M1593" s="9">
        <f t="shared" si="1"/>
        <v>79</v>
      </c>
    </row>
    <row r="1594" ht="12.75" customHeight="1">
      <c r="A1594" s="4">
        <f t="shared" si="2"/>
        <v>1593</v>
      </c>
      <c r="B1594" s="4" t="s">
        <v>3518</v>
      </c>
      <c r="C1594" s="5" t="s">
        <v>3519</v>
      </c>
      <c r="D1594" s="4"/>
      <c r="E1594" s="4"/>
      <c r="F1594" s="4" t="s">
        <v>22</v>
      </c>
      <c r="G1594" s="6">
        <v>972.97</v>
      </c>
      <c r="H1594" s="7" t="s">
        <v>1606</v>
      </c>
      <c r="I1594" s="4" t="s">
        <v>17</v>
      </c>
      <c r="J1594" s="4" t="s">
        <v>2037</v>
      </c>
      <c r="K1594" s="8"/>
      <c r="L1594" s="8" t="s">
        <v>33</v>
      </c>
      <c r="M1594" s="9">
        <f t="shared" si="1"/>
        <v>78</v>
      </c>
    </row>
    <row r="1595" ht="12.75" customHeight="1">
      <c r="A1595" s="4">
        <f t="shared" si="2"/>
        <v>1594</v>
      </c>
      <c r="B1595" s="4" t="s">
        <v>3520</v>
      </c>
      <c r="C1595" s="5" t="s">
        <v>3521</v>
      </c>
      <c r="D1595" s="4"/>
      <c r="E1595" s="4"/>
      <c r="F1595" s="4" t="s">
        <v>3522</v>
      </c>
      <c r="G1595" s="6">
        <v>13.96</v>
      </c>
      <c r="H1595" s="7" t="s">
        <v>1606</v>
      </c>
      <c r="I1595" s="4" t="s">
        <v>17</v>
      </c>
      <c r="J1595" s="4" t="s">
        <v>3523</v>
      </c>
      <c r="K1595" s="8"/>
      <c r="L1595" s="8" t="s">
        <v>3524</v>
      </c>
      <c r="M1595" s="9">
        <f t="shared" si="1"/>
        <v>33</v>
      </c>
    </row>
    <row r="1596" ht="12.75" customHeight="1">
      <c r="A1596" s="4">
        <f t="shared" si="2"/>
        <v>1595</v>
      </c>
      <c r="B1596" s="4" t="s">
        <v>3525</v>
      </c>
      <c r="C1596" s="5" t="s">
        <v>3526</v>
      </c>
      <c r="D1596" s="4"/>
      <c r="E1596" s="4"/>
      <c r="F1596" s="4" t="s">
        <v>22</v>
      </c>
      <c r="G1596" s="6">
        <v>24.3</v>
      </c>
      <c r="H1596" s="7" t="s">
        <v>1606</v>
      </c>
      <c r="I1596" s="4" t="s">
        <v>1773</v>
      </c>
      <c r="J1596" s="4" t="s">
        <v>1774</v>
      </c>
      <c r="K1596" s="8"/>
      <c r="L1596" s="8" t="s">
        <v>33</v>
      </c>
      <c r="M1596" s="9">
        <f t="shared" si="1"/>
        <v>32</v>
      </c>
    </row>
    <row r="1597" ht="12.75" customHeight="1">
      <c r="A1597" s="4">
        <f t="shared" si="2"/>
        <v>1596</v>
      </c>
      <c r="B1597" s="4" t="s">
        <v>3527</v>
      </c>
      <c r="C1597" s="5" t="s">
        <v>3528</v>
      </c>
      <c r="D1597" s="4"/>
      <c r="E1597" s="4"/>
      <c r="F1597" s="4" t="s">
        <v>22</v>
      </c>
      <c r="G1597" s="6">
        <v>0.27</v>
      </c>
      <c r="H1597" s="7" t="s">
        <v>1606</v>
      </c>
      <c r="I1597" s="4" t="s">
        <v>17</v>
      </c>
      <c r="J1597" s="4" t="s">
        <v>2037</v>
      </c>
      <c r="K1597" s="8"/>
      <c r="L1597" s="8" t="s">
        <v>33</v>
      </c>
      <c r="M1597" s="9">
        <f t="shared" si="1"/>
        <v>78</v>
      </c>
    </row>
    <row r="1598" ht="12.75" customHeight="1">
      <c r="A1598" s="4">
        <f t="shared" si="2"/>
        <v>1597</v>
      </c>
      <c r="B1598" s="4" t="s">
        <v>3529</v>
      </c>
      <c r="C1598" s="5" t="s">
        <v>3530</v>
      </c>
      <c r="D1598" s="4"/>
      <c r="E1598" s="4"/>
      <c r="F1598" s="4" t="s">
        <v>22</v>
      </c>
      <c r="G1598" s="6">
        <v>0.41</v>
      </c>
      <c r="H1598" s="7" t="s">
        <v>1606</v>
      </c>
      <c r="I1598" s="4" t="s">
        <v>17</v>
      </c>
      <c r="J1598" s="4" t="s">
        <v>2037</v>
      </c>
      <c r="K1598" s="8"/>
      <c r="L1598" s="8" t="s">
        <v>33</v>
      </c>
      <c r="M1598" s="9">
        <f t="shared" si="1"/>
        <v>78</v>
      </c>
    </row>
    <row r="1599" ht="12.75" customHeight="1">
      <c r="A1599" s="4">
        <f t="shared" si="2"/>
        <v>1598</v>
      </c>
      <c r="B1599" s="4" t="s">
        <v>3531</v>
      </c>
      <c r="C1599" s="5" t="s">
        <v>3532</v>
      </c>
      <c r="D1599" s="4"/>
      <c r="E1599" s="4"/>
      <c r="F1599" s="4" t="s">
        <v>22</v>
      </c>
      <c r="G1599" s="6">
        <v>0.07</v>
      </c>
      <c r="H1599" s="7" t="s">
        <v>1606</v>
      </c>
      <c r="I1599" s="4" t="s">
        <v>17</v>
      </c>
      <c r="J1599" s="4" t="s">
        <v>2037</v>
      </c>
      <c r="K1599" s="8"/>
      <c r="L1599" s="8" t="s">
        <v>33</v>
      </c>
      <c r="M1599" s="9">
        <f t="shared" si="1"/>
        <v>73</v>
      </c>
    </row>
    <row r="1600" ht="12.75" customHeight="1">
      <c r="A1600" s="4">
        <f t="shared" si="2"/>
        <v>1599</v>
      </c>
      <c r="B1600" s="4" t="s">
        <v>3533</v>
      </c>
      <c r="C1600" s="5" t="s">
        <v>3534</v>
      </c>
      <c r="D1600" s="4"/>
      <c r="E1600" s="4"/>
      <c r="F1600" s="4" t="s">
        <v>22</v>
      </c>
      <c r="G1600" s="6">
        <v>0.07</v>
      </c>
      <c r="H1600" s="7" t="s">
        <v>1606</v>
      </c>
      <c r="I1600" s="4" t="s">
        <v>17</v>
      </c>
      <c r="J1600" s="4" t="s">
        <v>2037</v>
      </c>
      <c r="K1600" s="8"/>
      <c r="L1600" s="8" t="s">
        <v>33</v>
      </c>
      <c r="M1600" s="9">
        <f t="shared" si="1"/>
        <v>68</v>
      </c>
    </row>
    <row r="1601" ht="12.75" customHeight="1">
      <c r="A1601" s="4">
        <f t="shared" si="2"/>
        <v>1600</v>
      </c>
      <c r="B1601" s="4" t="s">
        <v>3535</v>
      </c>
      <c r="C1601" s="5" t="s">
        <v>3536</v>
      </c>
      <c r="D1601" s="4"/>
      <c r="E1601" s="4"/>
      <c r="F1601" s="4" t="s">
        <v>22</v>
      </c>
      <c r="G1601" s="6">
        <v>24.32</v>
      </c>
      <c r="H1601" s="7" t="s">
        <v>1606</v>
      </c>
      <c r="I1601" s="4" t="s">
        <v>17</v>
      </c>
      <c r="J1601" s="4" t="s">
        <v>32</v>
      </c>
      <c r="K1601" s="8"/>
      <c r="L1601" s="8" t="s">
        <v>36</v>
      </c>
      <c r="M1601" s="9">
        <f t="shared" si="1"/>
        <v>38</v>
      </c>
    </row>
    <row r="1602" ht="12.75" customHeight="1">
      <c r="A1602" s="4">
        <f t="shared" si="2"/>
        <v>1601</v>
      </c>
      <c r="B1602" s="4" t="s">
        <v>3537</v>
      </c>
      <c r="C1602" s="5" t="s">
        <v>3538</v>
      </c>
      <c r="D1602" s="4"/>
      <c r="E1602" s="4"/>
      <c r="F1602" s="4" t="s">
        <v>22</v>
      </c>
      <c r="G1602" s="6">
        <v>7.85</v>
      </c>
      <c r="H1602" s="7" t="s">
        <v>1606</v>
      </c>
      <c r="I1602" s="4" t="s">
        <v>2392</v>
      </c>
      <c r="J1602" s="4" t="s">
        <v>2677</v>
      </c>
      <c r="K1602" s="8"/>
      <c r="L1602" s="8" t="s">
        <v>2691</v>
      </c>
      <c r="M1602" s="9">
        <f t="shared" si="1"/>
        <v>39</v>
      </c>
    </row>
    <row r="1603" ht="12.75" customHeight="1">
      <c r="A1603" s="4">
        <f t="shared" si="2"/>
        <v>1602</v>
      </c>
      <c r="B1603" s="4" t="s">
        <v>3539</v>
      </c>
      <c r="C1603" s="5" t="s">
        <v>3540</v>
      </c>
      <c r="D1603" s="4"/>
      <c r="E1603" s="4"/>
      <c r="F1603" s="4" t="s">
        <v>22</v>
      </c>
      <c r="G1603" s="6">
        <v>4.87</v>
      </c>
      <c r="H1603" s="7" t="s">
        <v>1606</v>
      </c>
      <c r="I1603" s="4" t="s">
        <v>2392</v>
      </c>
      <c r="J1603" s="4" t="s">
        <v>2677</v>
      </c>
      <c r="K1603" s="8"/>
      <c r="L1603" s="8" t="s">
        <v>2691</v>
      </c>
      <c r="M1603" s="9">
        <f t="shared" si="1"/>
        <v>39</v>
      </c>
    </row>
    <row r="1604" ht="12.75" customHeight="1">
      <c r="A1604" s="4">
        <f t="shared" si="2"/>
        <v>1603</v>
      </c>
      <c r="B1604" s="4" t="s">
        <v>3541</v>
      </c>
      <c r="C1604" s="5" t="s">
        <v>3542</v>
      </c>
      <c r="D1604" s="4"/>
      <c r="E1604" s="4"/>
      <c r="F1604" s="4" t="s">
        <v>22</v>
      </c>
      <c r="G1604" s="6">
        <v>6.9</v>
      </c>
      <c r="H1604" s="7" t="s">
        <v>1606</v>
      </c>
      <c r="I1604" s="4" t="s">
        <v>2392</v>
      </c>
      <c r="J1604" s="4" t="s">
        <v>2677</v>
      </c>
      <c r="K1604" s="8"/>
      <c r="L1604" s="8" t="s">
        <v>2691</v>
      </c>
      <c r="M1604" s="9">
        <f t="shared" si="1"/>
        <v>39</v>
      </c>
    </row>
    <row r="1605" ht="12.75" customHeight="1">
      <c r="A1605" s="4">
        <f t="shared" si="2"/>
        <v>1604</v>
      </c>
      <c r="B1605" s="4" t="s">
        <v>3543</v>
      </c>
      <c r="C1605" s="5" t="s">
        <v>3544</v>
      </c>
      <c r="D1605" s="4"/>
      <c r="E1605" s="4"/>
      <c r="F1605" s="4" t="s">
        <v>22</v>
      </c>
      <c r="G1605" s="6">
        <v>8.9</v>
      </c>
      <c r="H1605" s="7" t="s">
        <v>1606</v>
      </c>
      <c r="I1605" s="4" t="s">
        <v>2392</v>
      </c>
      <c r="J1605" s="4" t="s">
        <v>2677</v>
      </c>
      <c r="K1605" s="8"/>
      <c r="L1605" s="8" t="s">
        <v>2691</v>
      </c>
      <c r="M1605" s="9">
        <f t="shared" si="1"/>
        <v>39</v>
      </c>
    </row>
    <row r="1606" ht="12.75" customHeight="1">
      <c r="A1606" s="4">
        <f t="shared" si="2"/>
        <v>1605</v>
      </c>
      <c r="B1606" s="4" t="s">
        <v>3545</v>
      </c>
      <c r="C1606" s="5" t="s">
        <v>3546</v>
      </c>
      <c r="D1606" s="4"/>
      <c r="E1606" s="4"/>
      <c r="F1606" s="4" t="s">
        <v>22</v>
      </c>
      <c r="G1606" s="6">
        <v>13.49</v>
      </c>
      <c r="H1606" s="7" t="s">
        <v>1606</v>
      </c>
      <c r="I1606" s="4" t="s">
        <v>17</v>
      </c>
      <c r="J1606" s="4" t="s">
        <v>2025</v>
      </c>
      <c r="K1606" s="8"/>
      <c r="L1606" s="8" t="s">
        <v>33</v>
      </c>
      <c r="M1606" s="9">
        <f t="shared" si="1"/>
        <v>28</v>
      </c>
    </row>
    <row r="1607" ht="12.75" customHeight="1">
      <c r="A1607" s="4">
        <f t="shared" si="2"/>
        <v>1606</v>
      </c>
      <c r="B1607" s="4" t="s">
        <v>3547</v>
      </c>
      <c r="C1607" s="5" t="s">
        <v>3548</v>
      </c>
      <c r="D1607" s="4"/>
      <c r="E1607" s="4"/>
      <c r="F1607" s="4" t="s">
        <v>22</v>
      </c>
      <c r="G1607" s="6">
        <v>0.27</v>
      </c>
      <c r="H1607" s="7" t="s">
        <v>1606</v>
      </c>
      <c r="I1607" s="4" t="s">
        <v>1773</v>
      </c>
      <c r="J1607" s="4" t="s">
        <v>1774</v>
      </c>
      <c r="K1607" s="8"/>
      <c r="L1607" s="8" t="s">
        <v>2855</v>
      </c>
      <c r="M1607" s="9">
        <f t="shared" si="1"/>
        <v>28</v>
      </c>
    </row>
    <row r="1608" ht="12.75" customHeight="1">
      <c r="A1608" s="4">
        <f t="shared" si="2"/>
        <v>1607</v>
      </c>
      <c r="B1608" s="4" t="s">
        <v>3549</v>
      </c>
      <c r="C1608" s="5" t="s">
        <v>3550</v>
      </c>
      <c r="D1608" s="4"/>
      <c r="E1608" s="4"/>
      <c r="F1608" s="4" t="s">
        <v>1772</v>
      </c>
      <c r="G1608" s="6">
        <v>6.59</v>
      </c>
      <c r="H1608" s="7" t="s">
        <v>1606</v>
      </c>
      <c r="I1608" s="4" t="s">
        <v>1773</v>
      </c>
      <c r="J1608" s="4" t="s">
        <v>1774</v>
      </c>
      <c r="K1608" s="8"/>
      <c r="L1608" s="8" t="s">
        <v>3551</v>
      </c>
      <c r="M1608" s="9">
        <f t="shared" si="1"/>
        <v>74</v>
      </c>
    </row>
    <row r="1609" ht="12.75" customHeight="1">
      <c r="A1609" s="4">
        <f t="shared" si="2"/>
        <v>1608</v>
      </c>
      <c r="B1609" s="4" t="s">
        <v>3552</v>
      </c>
      <c r="C1609" s="5" t="s">
        <v>3553</v>
      </c>
      <c r="D1609" s="4"/>
      <c r="E1609" s="4"/>
      <c r="F1609" s="4" t="s">
        <v>22</v>
      </c>
      <c r="G1609" s="6">
        <v>40.54</v>
      </c>
      <c r="H1609" s="7" t="s">
        <v>1606</v>
      </c>
      <c r="I1609" s="4" t="s">
        <v>1574</v>
      </c>
      <c r="J1609" s="4" t="s">
        <v>2404</v>
      </c>
      <c r="K1609" s="8"/>
      <c r="L1609" s="8" t="s">
        <v>33</v>
      </c>
      <c r="M1609" s="9">
        <f t="shared" si="1"/>
        <v>35</v>
      </c>
    </row>
    <row r="1610" ht="12.75" customHeight="1">
      <c r="A1610" s="4">
        <f t="shared" si="2"/>
        <v>1609</v>
      </c>
      <c r="B1610" s="4" t="s">
        <v>3554</v>
      </c>
      <c r="C1610" s="5" t="s">
        <v>3555</v>
      </c>
      <c r="D1610" s="4"/>
      <c r="E1610" s="4"/>
      <c r="F1610" s="4" t="s">
        <v>22</v>
      </c>
      <c r="G1610" s="6">
        <v>67.57</v>
      </c>
      <c r="H1610" s="7" t="s">
        <v>1606</v>
      </c>
      <c r="I1610" s="4" t="s">
        <v>1574</v>
      </c>
      <c r="J1610" s="4" t="s">
        <v>2404</v>
      </c>
      <c r="K1610" s="8"/>
      <c r="L1610" s="8" t="s">
        <v>33</v>
      </c>
      <c r="M1610" s="9">
        <f t="shared" si="1"/>
        <v>48</v>
      </c>
    </row>
    <row r="1611" ht="12.75" customHeight="1">
      <c r="A1611" s="4">
        <f t="shared" si="2"/>
        <v>1610</v>
      </c>
      <c r="B1611" s="4" t="s">
        <v>3556</v>
      </c>
      <c r="C1611" s="5" t="s">
        <v>3557</v>
      </c>
      <c r="D1611" s="4"/>
      <c r="E1611" s="4"/>
      <c r="F1611" s="4" t="s">
        <v>22</v>
      </c>
      <c r="G1611" s="6">
        <v>108.11</v>
      </c>
      <c r="H1611" s="7" t="s">
        <v>1606</v>
      </c>
      <c r="I1611" s="4" t="s">
        <v>1574</v>
      </c>
      <c r="J1611" s="4" t="s">
        <v>2404</v>
      </c>
      <c r="K1611" s="8"/>
      <c r="L1611" s="8" t="s">
        <v>33</v>
      </c>
      <c r="M1611" s="9">
        <f t="shared" si="1"/>
        <v>34</v>
      </c>
    </row>
    <row r="1612" ht="12.75" customHeight="1">
      <c r="A1612" s="4">
        <f t="shared" si="2"/>
        <v>1611</v>
      </c>
      <c r="B1612" s="4" t="s">
        <v>3558</v>
      </c>
      <c r="C1612" s="5" t="s">
        <v>3559</v>
      </c>
      <c r="D1612" s="4"/>
      <c r="E1612" s="4"/>
      <c r="F1612" s="4" t="s">
        <v>22</v>
      </c>
      <c r="G1612" s="21">
        <v>229.73</v>
      </c>
      <c r="H1612" s="7" t="s">
        <v>1606</v>
      </c>
      <c r="I1612" s="4" t="s">
        <v>1574</v>
      </c>
      <c r="J1612" s="4" t="s">
        <v>2404</v>
      </c>
      <c r="K1612" s="8"/>
      <c r="L1612" s="8" t="s">
        <v>33</v>
      </c>
      <c r="M1612" s="9">
        <f t="shared" si="1"/>
        <v>47</v>
      </c>
    </row>
    <row r="1613" ht="12.75" customHeight="1">
      <c r="A1613" s="4">
        <f t="shared" si="2"/>
        <v>1612</v>
      </c>
      <c r="B1613" s="4" t="s">
        <v>3560</v>
      </c>
      <c r="C1613" s="5" t="s">
        <v>3561</v>
      </c>
      <c r="D1613" s="4"/>
      <c r="E1613" s="4"/>
      <c r="F1613" s="4" t="s">
        <v>22</v>
      </c>
      <c r="G1613" s="6">
        <v>121.62</v>
      </c>
      <c r="H1613" s="7" t="s">
        <v>1606</v>
      </c>
      <c r="I1613" s="4" t="s">
        <v>1574</v>
      </c>
      <c r="J1613" s="4" t="s">
        <v>2404</v>
      </c>
      <c r="K1613" s="8"/>
      <c r="L1613" s="8" t="s">
        <v>33</v>
      </c>
      <c r="M1613" s="9">
        <f t="shared" si="1"/>
        <v>68</v>
      </c>
    </row>
    <row r="1614" ht="12.75" customHeight="1">
      <c r="A1614" s="4">
        <f t="shared" si="2"/>
        <v>1613</v>
      </c>
      <c r="B1614" s="4" t="s">
        <v>3562</v>
      </c>
      <c r="C1614" s="5" t="s">
        <v>3563</v>
      </c>
      <c r="D1614" s="4"/>
      <c r="E1614" s="4"/>
      <c r="F1614" s="4" t="s">
        <v>22</v>
      </c>
      <c r="G1614" s="6">
        <v>6.22</v>
      </c>
      <c r="H1614" s="7" t="s">
        <v>1606</v>
      </c>
      <c r="I1614" s="4" t="s">
        <v>1773</v>
      </c>
      <c r="J1614" s="4" t="s">
        <v>2427</v>
      </c>
      <c r="K1614" s="8"/>
      <c r="L1614" s="8" t="s">
        <v>33</v>
      </c>
      <c r="M1614" s="9">
        <f t="shared" si="1"/>
        <v>42</v>
      </c>
    </row>
    <row r="1615" ht="12.75" customHeight="1">
      <c r="A1615" s="4">
        <f t="shared" si="2"/>
        <v>1614</v>
      </c>
      <c r="B1615" s="4" t="s">
        <v>3564</v>
      </c>
      <c r="C1615" s="5" t="s">
        <v>3565</v>
      </c>
      <c r="D1615" s="4"/>
      <c r="E1615" s="4"/>
      <c r="F1615" s="4" t="s">
        <v>22</v>
      </c>
      <c r="G1615" s="6">
        <v>52.7</v>
      </c>
      <c r="H1615" s="7" t="s">
        <v>1606</v>
      </c>
      <c r="I1615" s="4" t="s">
        <v>17</v>
      </c>
      <c r="J1615" s="4" t="s">
        <v>3566</v>
      </c>
      <c r="K1615" s="8"/>
      <c r="L1615" s="8" t="s">
        <v>3567</v>
      </c>
      <c r="M1615" s="9">
        <f t="shared" si="1"/>
        <v>39</v>
      </c>
    </row>
    <row r="1616" ht="12.75" customHeight="1">
      <c r="A1616" s="4">
        <f t="shared" si="2"/>
        <v>1615</v>
      </c>
      <c r="B1616" s="4" t="s">
        <v>3568</v>
      </c>
      <c r="C1616" s="5" t="s">
        <v>3569</v>
      </c>
      <c r="D1616" s="4"/>
      <c r="E1616" s="4"/>
      <c r="F1616" s="4" t="s">
        <v>22</v>
      </c>
      <c r="G1616" s="6">
        <v>25.81</v>
      </c>
      <c r="H1616" s="7" t="s">
        <v>1606</v>
      </c>
      <c r="I1616" s="4" t="s">
        <v>17</v>
      </c>
      <c r="J1616" s="4" t="s">
        <v>3566</v>
      </c>
      <c r="K1616" s="8"/>
      <c r="L1616" s="8" t="s">
        <v>3567</v>
      </c>
      <c r="M1616" s="9">
        <f t="shared" si="1"/>
        <v>38</v>
      </c>
    </row>
    <row r="1617" ht="12.75" customHeight="1">
      <c r="A1617" s="4">
        <f t="shared" si="2"/>
        <v>1616</v>
      </c>
      <c r="B1617" s="4" t="s">
        <v>3570</v>
      </c>
      <c r="C1617" s="5" t="s">
        <v>3571</v>
      </c>
      <c r="D1617" s="4"/>
      <c r="E1617" s="4"/>
      <c r="F1617" s="4" t="s">
        <v>22</v>
      </c>
      <c r="G1617" s="6">
        <v>32.43</v>
      </c>
      <c r="H1617" s="7" t="s">
        <v>1606</v>
      </c>
      <c r="I1617" s="4" t="s">
        <v>17</v>
      </c>
      <c r="J1617" s="4" t="s">
        <v>3566</v>
      </c>
      <c r="K1617" s="8"/>
      <c r="L1617" s="8" t="s">
        <v>3567</v>
      </c>
      <c r="M1617" s="9">
        <f t="shared" si="1"/>
        <v>38</v>
      </c>
    </row>
    <row r="1618" ht="12.75" customHeight="1">
      <c r="A1618" s="4">
        <f t="shared" si="2"/>
        <v>1617</v>
      </c>
      <c r="B1618" s="4" t="s">
        <v>3572</v>
      </c>
      <c r="C1618" s="5" t="s">
        <v>3573</v>
      </c>
      <c r="D1618" s="4"/>
      <c r="E1618" s="4"/>
      <c r="F1618" s="4" t="s">
        <v>22</v>
      </c>
      <c r="G1618" s="6">
        <v>0.5</v>
      </c>
      <c r="H1618" s="7" t="s">
        <v>1606</v>
      </c>
      <c r="I1618" s="4" t="s">
        <v>2475</v>
      </c>
      <c r="J1618" s="4" t="s">
        <v>2742</v>
      </c>
      <c r="K1618" s="8"/>
      <c r="L1618" s="8" t="s">
        <v>3574</v>
      </c>
      <c r="M1618" s="9">
        <f t="shared" si="1"/>
        <v>53</v>
      </c>
    </row>
    <row r="1619" ht="12.75" customHeight="1">
      <c r="A1619" s="4">
        <f t="shared" si="2"/>
        <v>1618</v>
      </c>
      <c r="B1619" s="4" t="s">
        <v>3575</v>
      </c>
      <c r="C1619" s="5" t="s">
        <v>3576</v>
      </c>
      <c r="D1619" s="4"/>
      <c r="E1619" s="4"/>
      <c r="F1619" s="4" t="s">
        <v>22</v>
      </c>
      <c r="G1619" s="6">
        <v>3.24</v>
      </c>
      <c r="H1619" s="7" t="s">
        <v>1606</v>
      </c>
      <c r="I1619" s="4" t="s">
        <v>2475</v>
      </c>
      <c r="J1619" s="4" t="s">
        <v>2742</v>
      </c>
      <c r="K1619" s="8"/>
      <c r="L1619" s="8" t="s">
        <v>3574</v>
      </c>
      <c r="M1619" s="9">
        <f t="shared" si="1"/>
        <v>33</v>
      </c>
    </row>
    <row r="1620" ht="12.75" customHeight="1">
      <c r="A1620" s="4">
        <f t="shared" si="2"/>
        <v>1619</v>
      </c>
      <c r="B1620" s="4" t="s">
        <v>3577</v>
      </c>
      <c r="C1620" s="5" t="s">
        <v>3578</v>
      </c>
      <c r="D1620" s="4"/>
      <c r="E1620" s="4"/>
      <c r="F1620" s="4" t="s">
        <v>22</v>
      </c>
      <c r="G1620" s="6">
        <v>40.81</v>
      </c>
      <c r="H1620" s="7" t="s">
        <v>1606</v>
      </c>
      <c r="I1620" s="4" t="s">
        <v>2392</v>
      </c>
      <c r="J1620" s="4" t="s">
        <v>2677</v>
      </c>
      <c r="K1620" s="8"/>
      <c r="L1620" s="8" t="s">
        <v>3446</v>
      </c>
      <c r="M1620" s="9">
        <f t="shared" si="1"/>
        <v>60</v>
      </c>
    </row>
    <row r="1621" ht="12.75" customHeight="1">
      <c r="A1621" s="4">
        <f t="shared" si="2"/>
        <v>1620</v>
      </c>
      <c r="B1621" s="4" t="s">
        <v>3579</v>
      </c>
      <c r="C1621" s="5" t="s">
        <v>3580</v>
      </c>
      <c r="D1621" s="4"/>
      <c r="E1621" s="4"/>
      <c r="F1621" s="4" t="s">
        <v>22</v>
      </c>
      <c r="G1621" s="6">
        <v>46.22</v>
      </c>
      <c r="H1621" s="7" t="s">
        <v>1606</v>
      </c>
      <c r="I1621" s="4" t="s">
        <v>2392</v>
      </c>
      <c r="J1621" s="4" t="s">
        <v>2677</v>
      </c>
      <c r="K1621" s="8"/>
      <c r="L1621" s="8" t="s">
        <v>3446</v>
      </c>
      <c r="M1621" s="9">
        <f t="shared" si="1"/>
        <v>60</v>
      </c>
    </row>
    <row r="1622" ht="12.75" customHeight="1">
      <c r="A1622" s="4">
        <f t="shared" si="2"/>
        <v>1621</v>
      </c>
      <c r="B1622" s="4" t="s">
        <v>3581</v>
      </c>
      <c r="C1622" s="5" t="s">
        <v>3582</v>
      </c>
      <c r="D1622" s="4"/>
      <c r="E1622" s="4"/>
      <c r="F1622" s="4" t="s">
        <v>1772</v>
      </c>
      <c r="G1622" s="6">
        <v>0.96</v>
      </c>
      <c r="H1622" s="7" t="s">
        <v>1606</v>
      </c>
      <c r="I1622" s="4" t="s">
        <v>1773</v>
      </c>
      <c r="J1622" s="4" t="s">
        <v>1774</v>
      </c>
      <c r="K1622" s="8"/>
      <c r="L1622" s="8" t="s">
        <v>2097</v>
      </c>
      <c r="M1622" s="9">
        <f t="shared" si="1"/>
        <v>17</v>
      </c>
    </row>
    <row r="1623" ht="12.75" customHeight="1">
      <c r="A1623" s="4">
        <f t="shared" si="2"/>
        <v>1622</v>
      </c>
      <c r="B1623" s="4" t="s">
        <v>3583</v>
      </c>
      <c r="C1623" s="5" t="s">
        <v>3584</v>
      </c>
      <c r="D1623" s="4"/>
      <c r="E1623" s="4"/>
      <c r="F1623" s="4" t="s">
        <v>22</v>
      </c>
      <c r="G1623" s="6">
        <v>43.0</v>
      </c>
      <c r="H1623" s="7" t="s">
        <v>1606</v>
      </c>
      <c r="I1623" s="4" t="s">
        <v>1623</v>
      </c>
      <c r="J1623" s="4" t="s">
        <v>3172</v>
      </c>
      <c r="K1623" s="8"/>
      <c r="L1623" s="8" t="s">
        <v>3173</v>
      </c>
      <c r="M1623" s="9">
        <f t="shared" si="1"/>
        <v>26</v>
      </c>
    </row>
    <row r="1624" ht="12.75" customHeight="1">
      <c r="A1624" s="4">
        <f t="shared" si="2"/>
        <v>1623</v>
      </c>
      <c r="B1624" s="4" t="s">
        <v>3585</v>
      </c>
      <c r="C1624" s="5" t="s">
        <v>3586</v>
      </c>
      <c r="D1624" s="4"/>
      <c r="E1624" s="4"/>
      <c r="F1624" s="4" t="s">
        <v>22</v>
      </c>
      <c r="G1624" s="6">
        <v>1.85</v>
      </c>
      <c r="H1624" s="7" t="s">
        <v>1606</v>
      </c>
      <c r="I1624" s="4" t="s">
        <v>1623</v>
      </c>
      <c r="J1624" s="4" t="s">
        <v>3172</v>
      </c>
      <c r="K1624" s="8"/>
      <c r="L1624" s="8" t="s">
        <v>3173</v>
      </c>
      <c r="M1624" s="9">
        <f t="shared" si="1"/>
        <v>26</v>
      </c>
    </row>
    <row r="1625" ht="12.75" customHeight="1">
      <c r="A1625" s="4">
        <f t="shared" si="2"/>
        <v>1624</v>
      </c>
      <c r="B1625" s="4" t="s">
        <v>3587</v>
      </c>
      <c r="C1625" s="5" t="s">
        <v>3588</v>
      </c>
      <c r="D1625" s="4"/>
      <c r="E1625" s="4"/>
      <c r="F1625" s="4" t="s">
        <v>22</v>
      </c>
      <c r="G1625" s="6">
        <v>12.9</v>
      </c>
      <c r="H1625" s="7" t="s">
        <v>1606</v>
      </c>
      <c r="I1625" s="4" t="s">
        <v>2860</v>
      </c>
      <c r="J1625" s="4" t="s">
        <v>2861</v>
      </c>
      <c r="K1625" s="8"/>
      <c r="L1625" s="8" t="s">
        <v>739</v>
      </c>
      <c r="M1625" s="9">
        <f t="shared" si="1"/>
        <v>63</v>
      </c>
    </row>
    <row r="1626" ht="12.75" customHeight="1">
      <c r="A1626" s="4">
        <f t="shared" si="2"/>
        <v>1625</v>
      </c>
      <c r="B1626" s="4" t="s">
        <v>3589</v>
      </c>
      <c r="C1626" s="5" t="s">
        <v>3590</v>
      </c>
      <c r="D1626" s="4"/>
      <c r="E1626" s="4"/>
      <c r="F1626" s="4" t="s">
        <v>22</v>
      </c>
      <c r="G1626" s="6">
        <v>1.95</v>
      </c>
      <c r="H1626" s="7" t="s">
        <v>1606</v>
      </c>
      <c r="I1626" s="4" t="s">
        <v>2423</v>
      </c>
      <c r="J1626" s="4" t="s">
        <v>2424</v>
      </c>
      <c r="K1626" s="8"/>
      <c r="L1626" s="8" t="s">
        <v>3591</v>
      </c>
      <c r="M1626" s="9">
        <f t="shared" si="1"/>
        <v>26</v>
      </c>
    </row>
    <row r="1627" ht="12.75" customHeight="1">
      <c r="A1627" s="4">
        <f t="shared" si="2"/>
        <v>1626</v>
      </c>
      <c r="B1627" s="4" t="s">
        <v>3592</v>
      </c>
      <c r="C1627" s="5" t="s">
        <v>3593</v>
      </c>
      <c r="D1627" s="4"/>
      <c r="E1627" s="4"/>
      <c r="F1627" s="4" t="s">
        <v>22</v>
      </c>
      <c r="G1627" s="6">
        <v>0.58</v>
      </c>
      <c r="H1627" s="7" t="s">
        <v>1606</v>
      </c>
      <c r="I1627" s="4" t="s">
        <v>2423</v>
      </c>
      <c r="J1627" s="4" t="s">
        <v>2424</v>
      </c>
      <c r="K1627" s="8"/>
      <c r="L1627" s="8" t="s">
        <v>3591</v>
      </c>
      <c r="M1627" s="9">
        <f t="shared" si="1"/>
        <v>31</v>
      </c>
    </row>
    <row r="1628" ht="12.75" customHeight="1">
      <c r="A1628" s="4">
        <f t="shared" si="2"/>
        <v>1627</v>
      </c>
      <c r="B1628" s="4" t="s">
        <v>3594</v>
      </c>
      <c r="C1628" s="5" t="s">
        <v>3595</v>
      </c>
      <c r="D1628" s="4"/>
      <c r="E1628" s="4"/>
      <c r="F1628" s="4" t="s">
        <v>22</v>
      </c>
      <c r="G1628" s="6">
        <v>0.58</v>
      </c>
      <c r="H1628" s="7" t="s">
        <v>1606</v>
      </c>
      <c r="I1628" s="4" t="s">
        <v>2423</v>
      </c>
      <c r="J1628" s="4" t="s">
        <v>2424</v>
      </c>
      <c r="K1628" s="8"/>
      <c r="L1628" s="8" t="s">
        <v>3591</v>
      </c>
      <c r="M1628" s="9">
        <f t="shared" si="1"/>
        <v>28</v>
      </c>
    </row>
    <row r="1629" ht="12.75" customHeight="1">
      <c r="A1629" s="4">
        <f t="shared" si="2"/>
        <v>1628</v>
      </c>
      <c r="B1629" s="4" t="s">
        <v>3596</v>
      </c>
      <c r="C1629" s="5" t="s">
        <v>3597</v>
      </c>
      <c r="D1629" s="4"/>
      <c r="E1629" s="4"/>
      <c r="F1629" s="4" t="s">
        <v>22</v>
      </c>
      <c r="G1629" s="6">
        <v>2.57</v>
      </c>
      <c r="H1629" s="7" t="s">
        <v>1606</v>
      </c>
      <c r="I1629" s="4" t="s">
        <v>2423</v>
      </c>
      <c r="J1629" s="4" t="s">
        <v>2424</v>
      </c>
      <c r="K1629" s="8"/>
      <c r="L1629" s="8" t="s">
        <v>3591</v>
      </c>
      <c r="M1629" s="9">
        <f t="shared" si="1"/>
        <v>26</v>
      </c>
    </row>
    <row r="1630" ht="12.75" customHeight="1">
      <c r="A1630" s="4">
        <f t="shared" si="2"/>
        <v>1629</v>
      </c>
      <c r="B1630" s="4" t="s">
        <v>3598</v>
      </c>
      <c r="C1630" s="5" t="s">
        <v>3599</v>
      </c>
      <c r="D1630" s="4"/>
      <c r="E1630" s="4"/>
      <c r="F1630" s="4" t="s">
        <v>22</v>
      </c>
      <c r="G1630" s="6">
        <v>4.86</v>
      </c>
      <c r="H1630" s="7" t="s">
        <v>1606</v>
      </c>
      <c r="I1630" s="4" t="s">
        <v>2423</v>
      </c>
      <c r="J1630" s="4" t="s">
        <v>2424</v>
      </c>
      <c r="K1630" s="8"/>
      <c r="L1630" s="8" t="s">
        <v>3591</v>
      </c>
      <c r="M1630" s="9">
        <f t="shared" si="1"/>
        <v>22</v>
      </c>
    </row>
    <row r="1631" ht="12.75" customHeight="1">
      <c r="A1631" s="4">
        <f t="shared" si="2"/>
        <v>1630</v>
      </c>
      <c r="B1631" s="4" t="s">
        <v>3600</v>
      </c>
      <c r="C1631" s="5" t="s">
        <v>3601</v>
      </c>
      <c r="D1631" s="4"/>
      <c r="E1631" s="4"/>
      <c r="F1631" s="4" t="s">
        <v>22</v>
      </c>
      <c r="G1631" s="6">
        <v>45.14</v>
      </c>
      <c r="H1631" s="7" t="s">
        <v>1606</v>
      </c>
      <c r="I1631" s="4" t="s">
        <v>2423</v>
      </c>
      <c r="J1631" s="4" t="s">
        <v>2424</v>
      </c>
      <c r="K1631" s="8"/>
      <c r="L1631" s="8" t="s">
        <v>3591</v>
      </c>
      <c r="M1631" s="9">
        <f t="shared" si="1"/>
        <v>29</v>
      </c>
    </row>
    <row r="1632" ht="12.75" customHeight="1">
      <c r="A1632" s="4">
        <f t="shared" si="2"/>
        <v>1631</v>
      </c>
      <c r="B1632" s="4" t="s">
        <v>3602</v>
      </c>
      <c r="C1632" s="5" t="s">
        <v>3603</v>
      </c>
      <c r="D1632" s="4"/>
      <c r="E1632" s="4"/>
      <c r="F1632" s="4" t="s">
        <v>22</v>
      </c>
      <c r="G1632" s="6">
        <v>16.22</v>
      </c>
      <c r="H1632" s="7" t="s">
        <v>1606</v>
      </c>
      <c r="I1632" s="4" t="s">
        <v>2423</v>
      </c>
      <c r="J1632" s="4" t="s">
        <v>2424</v>
      </c>
      <c r="K1632" s="8"/>
      <c r="L1632" s="8" t="s">
        <v>3591</v>
      </c>
      <c r="M1632" s="9">
        <f t="shared" si="1"/>
        <v>35</v>
      </c>
    </row>
    <row r="1633" ht="12.75" customHeight="1">
      <c r="A1633" s="4">
        <f t="shared" si="2"/>
        <v>1632</v>
      </c>
      <c r="B1633" s="4" t="s">
        <v>3604</v>
      </c>
      <c r="C1633" s="5" t="s">
        <v>3605</v>
      </c>
      <c r="D1633" s="4"/>
      <c r="E1633" s="4"/>
      <c r="F1633" s="4" t="s">
        <v>22</v>
      </c>
      <c r="G1633" s="6">
        <v>2.84</v>
      </c>
      <c r="H1633" s="7" t="s">
        <v>1606</v>
      </c>
      <c r="I1633" s="4" t="s">
        <v>2423</v>
      </c>
      <c r="J1633" s="4" t="s">
        <v>2424</v>
      </c>
      <c r="K1633" s="8"/>
      <c r="L1633" s="8" t="s">
        <v>3591</v>
      </c>
      <c r="M1633" s="9">
        <f t="shared" si="1"/>
        <v>25</v>
      </c>
    </row>
    <row r="1634" ht="12.75" customHeight="1">
      <c r="A1634" s="4">
        <f t="shared" si="2"/>
        <v>1633</v>
      </c>
      <c r="B1634" s="4" t="s">
        <v>3606</v>
      </c>
      <c r="C1634" s="5" t="s">
        <v>3607</v>
      </c>
      <c r="D1634" s="4"/>
      <c r="E1634" s="4"/>
      <c r="F1634" s="4" t="s">
        <v>22</v>
      </c>
      <c r="G1634" s="6">
        <v>3.33</v>
      </c>
      <c r="H1634" s="7" t="s">
        <v>1606</v>
      </c>
      <c r="I1634" s="4" t="s">
        <v>2423</v>
      </c>
      <c r="J1634" s="4" t="s">
        <v>2424</v>
      </c>
      <c r="K1634" s="8"/>
      <c r="L1634" s="8" t="s">
        <v>3591</v>
      </c>
      <c r="M1634" s="9">
        <f t="shared" si="1"/>
        <v>25</v>
      </c>
    </row>
    <row r="1635" ht="12.75" customHeight="1">
      <c r="A1635" s="4">
        <f t="shared" si="2"/>
        <v>1634</v>
      </c>
      <c r="B1635" s="4" t="s">
        <v>3608</v>
      </c>
      <c r="C1635" s="5" t="s">
        <v>3609</v>
      </c>
      <c r="D1635" s="4"/>
      <c r="E1635" s="4"/>
      <c r="F1635" s="4" t="s">
        <v>22</v>
      </c>
      <c r="G1635" s="6">
        <v>21.6</v>
      </c>
      <c r="H1635" s="7" t="s">
        <v>1606</v>
      </c>
      <c r="I1635" s="4" t="s">
        <v>2423</v>
      </c>
      <c r="J1635" s="4" t="s">
        <v>2424</v>
      </c>
      <c r="K1635" s="8"/>
      <c r="L1635" s="8" t="s">
        <v>3591</v>
      </c>
      <c r="M1635" s="9">
        <f t="shared" si="1"/>
        <v>25</v>
      </c>
    </row>
    <row r="1636" ht="12.75" customHeight="1">
      <c r="A1636" s="4">
        <f t="shared" si="2"/>
        <v>1635</v>
      </c>
      <c r="B1636" s="4" t="s">
        <v>3610</v>
      </c>
      <c r="C1636" s="5" t="s">
        <v>3611</v>
      </c>
      <c r="D1636" s="4"/>
      <c r="E1636" s="4"/>
      <c r="F1636" s="4" t="s">
        <v>22</v>
      </c>
      <c r="G1636" s="6">
        <v>14.86</v>
      </c>
      <c r="H1636" s="7" t="s">
        <v>1606</v>
      </c>
      <c r="I1636" s="4" t="s">
        <v>2423</v>
      </c>
      <c r="J1636" s="4" t="s">
        <v>2424</v>
      </c>
      <c r="K1636" s="8"/>
      <c r="L1636" s="8" t="s">
        <v>3591</v>
      </c>
      <c r="M1636" s="9">
        <f t="shared" si="1"/>
        <v>25</v>
      </c>
    </row>
    <row r="1637" ht="12.75" customHeight="1">
      <c r="A1637" s="4">
        <f t="shared" si="2"/>
        <v>1636</v>
      </c>
      <c r="B1637" s="4" t="s">
        <v>3612</v>
      </c>
      <c r="C1637" s="5" t="s">
        <v>3613</v>
      </c>
      <c r="D1637" s="4"/>
      <c r="E1637" s="4"/>
      <c r="F1637" s="4" t="s">
        <v>22</v>
      </c>
      <c r="G1637" s="6">
        <v>5.38</v>
      </c>
      <c r="H1637" s="7" t="s">
        <v>1606</v>
      </c>
      <c r="I1637" s="4" t="s">
        <v>2423</v>
      </c>
      <c r="J1637" s="4" t="s">
        <v>2424</v>
      </c>
      <c r="K1637" s="8"/>
      <c r="L1637" s="8" t="s">
        <v>3591</v>
      </c>
      <c r="M1637" s="9">
        <f t="shared" si="1"/>
        <v>25</v>
      </c>
    </row>
    <row r="1638" ht="12.75" customHeight="1">
      <c r="A1638" s="4">
        <f t="shared" si="2"/>
        <v>1637</v>
      </c>
      <c r="B1638" s="4" t="s">
        <v>3614</v>
      </c>
      <c r="C1638" s="5" t="s">
        <v>3615</v>
      </c>
      <c r="D1638" s="4"/>
      <c r="E1638" s="4"/>
      <c r="F1638" s="4" t="s">
        <v>22</v>
      </c>
      <c r="G1638" s="6">
        <v>1.51</v>
      </c>
      <c r="H1638" s="7" t="s">
        <v>1606</v>
      </c>
      <c r="I1638" s="4" t="s">
        <v>2423</v>
      </c>
      <c r="J1638" s="4" t="s">
        <v>2424</v>
      </c>
      <c r="K1638" s="8"/>
      <c r="L1638" s="8" t="s">
        <v>3591</v>
      </c>
      <c r="M1638" s="9">
        <f t="shared" si="1"/>
        <v>25</v>
      </c>
    </row>
    <row r="1639" ht="12.75" customHeight="1">
      <c r="A1639" s="4">
        <f t="shared" si="2"/>
        <v>1638</v>
      </c>
      <c r="B1639" s="4" t="s">
        <v>3616</v>
      </c>
      <c r="C1639" s="5" t="s">
        <v>3617</v>
      </c>
      <c r="D1639" s="4"/>
      <c r="E1639" s="4"/>
      <c r="F1639" s="4" t="s">
        <v>22</v>
      </c>
      <c r="G1639" s="6">
        <v>2.43</v>
      </c>
      <c r="H1639" s="7" t="s">
        <v>1606</v>
      </c>
      <c r="I1639" s="4" t="s">
        <v>2423</v>
      </c>
      <c r="J1639" s="4" t="s">
        <v>2424</v>
      </c>
      <c r="K1639" s="8"/>
      <c r="L1639" s="8" t="s">
        <v>3591</v>
      </c>
      <c r="M1639" s="9">
        <f t="shared" si="1"/>
        <v>25</v>
      </c>
    </row>
    <row r="1640" ht="12.75" customHeight="1">
      <c r="A1640" s="4">
        <f t="shared" si="2"/>
        <v>1639</v>
      </c>
      <c r="B1640" s="4" t="s">
        <v>3618</v>
      </c>
      <c r="C1640" s="5" t="s">
        <v>3619</v>
      </c>
      <c r="D1640" s="4"/>
      <c r="E1640" s="4"/>
      <c r="F1640" s="4" t="s">
        <v>22</v>
      </c>
      <c r="G1640" s="6">
        <v>1.03</v>
      </c>
      <c r="H1640" s="7" t="s">
        <v>1606</v>
      </c>
      <c r="I1640" s="4" t="s">
        <v>2423</v>
      </c>
      <c r="J1640" s="4" t="s">
        <v>2424</v>
      </c>
      <c r="K1640" s="8"/>
      <c r="L1640" s="8" t="s">
        <v>3591</v>
      </c>
      <c r="M1640" s="9">
        <f t="shared" si="1"/>
        <v>16</v>
      </c>
    </row>
    <row r="1641" ht="12.75" customHeight="1">
      <c r="A1641" s="4">
        <f t="shared" si="2"/>
        <v>1640</v>
      </c>
      <c r="B1641" s="4" t="s">
        <v>3620</v>
      </c>
      <c r="C1641" s="5" t="s">
        <v>3621</v>
      </c>
      <c r="D1641" s="4"/>
      <c r="E1641" s="4"/>
      <c r="F1641" s="4" t="s">
        <v>22</v>
      </c>
      <c r="G1641" s="6">
        <v>0.34</v>
      </c>
      <c r="H1641" s="7" t="s">
        <v>1606</v>
      </c>
      <c r="I1641" s="4" t="s">
        <v>2423</v>
      </c>
      <c r="J1641" s="4" t="s">
        <v>2424</v>
      </c>
      <c r="K1641" s="8"/>
      <c r="L1641" s="8" t="s">
        <v>3591</v>
      </c>
      <c r="M1641" s="9">
        <f t="shared" si="1"/>
        <v>15</v>
      </c>
    </row>
    <row r="1642" ht="12.75" customHeight="1">
      <c r="A1642" s="4">
        <f t="shared" si="2"/>
        <v>1641</v>
      </c>
      <c r="B1642" s="4" t="s">
        <v>3622</v>
      </c>
      <c r="C1642" s="5" t="s">
        <v>3623</v>
      </c>
      <c r="D1642" s="4"/>
      <c r="E1642" s="4"/>
      <c r="F1642" s="4" t="s">
        <v>2078</v>
      </c>
      <c r="G1642" s="6">
        <v>1.1</v>
      </c>
      <c r="H1642" s="7" t="s">
        <v>1606</v>
      </c>
      <c r="I1642" s="4" t="s">
        <v>1773</v>
      </c>
      <c r="J1642" s="4" t="s">
        <v>1774</v>
      </c>
      <c r="K1642" s="8"/>
      <c r="L1642" s="8" t="s">
        <v>3624</v>
      </c>
      <c r="M1642" s="9">
        <f t="shared" si="1"/>
        <v>31</v>
      </c>
    </row>
    <row r="1643" ht="12.75" customHeight="1">
      <c r="A1643" s="4">
        <f t="shared" si="2"/>
        <v>1642</v>
      </c>
      <c r="B1643" s="4" t="s">
        <v>3625</v>
      </c>
      <c r="C1643" s="5" t="s">
        <v>3626</v>
      </c>
      <c r="D1643" s="4"/>
      <c r="E1643" s="4"/>
      <c r="F1643" s="4" t="s">
        <v>22</v>
      </c>
      <c r="G1643" s="6">
        <v>3.78</v>
      </c>
      <c r="H1643" s="7" t="s">
        <v>1606</v>
      </c>
      <c r="I1643" s="4" t="s">
        <v>2860</v>
      </c>
      <c r="J1643" s="4" t="s">
        <v>2861</v>
      </c>
      <c r="K1643" s="8"/>
      <c r="L1643" s="8" t="s">
        <v>3627</v>
      </c>
      <c r="M1643" s="9">
        <f t="shared" si="1"/>
        <v>32</v>
      </c>
    </row>
    <row r="1644" ht="12.75" customHeight="1">
      <c r="A1644" s="4">
        <f t="shared" si="2"/>
        <v>1643</v>
      </c>
      <c r="B1644" s="4" t="s">
        <v>3628</v>
      </c>
      <c r="C1644" s="5" t="s">
        <v>3629</v>
      </c>
      <c r="D1644" s="4"/>
      <c r="E1644" s="4"/>
      <c r="F1644" s="4" t="s">
        <v>22</v>
      </c>
      <c r="G1644" s="6">
        <v>2.09</v>
      </c>
      <c r="H1644" s="7" t="s">
        <v>1606</v>
      </c>
      <c r="I1644" s="4" t="s">
        <v>2860</v>
      </c>
      <c r="J1644" s="4" t="s">
        <v>2861</v>
      </c>
      <c r="K1644" s="8"/>
      <c r="L1644" s="8" t="s">
        <v>3630</v>
      </c>
      <c r="M1644" s="9">
        <f t="shared" si="1"/>
        <v>32</v>
      </c>
    </row>
    <row r="1645" ht="12.75" customHeight="1">
      <c r="A1645" s="4">
        <f t="shared" si="2"/>
        <v>1644</v>
      </c>
      <c r="B1645" s="4" t="s">
        <v>3631</v>
      </c>
      <c r="C1645" s="5" t="s">
        <v>3632</v>
      </c>
      <c r="D1645" s="4"/>
      <c r="E1645" s="4"/>
      <c r="F1645" s="4" t="s">
        <v>3633</v>
      </c>
      <c r="G1645" s="6">
        <v>81.08</v>
      </c>
      <c r="H1645" s="7" t="s">
        <v>1606</v>
      </c>
      <c r="I1645" s="4" t="s">
        <v>1773</v>
      </c>
      <c r="J1645" s="4" t="s">
        <v>3634</v>
      </c>
      <c r="K1645" s="8"/>
      <c r="L1645" s="8" t="s">
        <v>33</v>
      </c>
      <c r="M1645" s="9">
        <f t="shared" si="1"/>
        <v>80</v>
      </c>
    </row>
    <row r="1646" ht="12.75" customHeight="1">
      <c r="A1646" s="4">
        <f t="shared" si="2"/>
        <v>1645</v>
      </c>
      <c r="B1646" s="4" t="s">
        <v>3635</v>
      </c>
      <c r="C1646" s="5" t="s">
        <v>3636</v>
      </c>
      <c r="D1646" s="4"/>
      <c r="E1646" s="4"/>
      <c r="F1646" s="4" t="s">
        <v>22</v>
      </c>
      <c r="G1646" s="6">
        <v>2.3</v>
      </c>
      <c r="H1646" s="7" t="s">
        <v>1606</v>
      </c>
      <c r="I1646" s="4" t="s">
        <v>1773</v>
      </c>
      <c r="J1646" s="4" t="s">
        <v>1774</v>
      </c>
      <c r="K1646" s="8"/>
      <c r="L1646" s="8" t="s">
        <v>3637</v>
      </c>
      <c r="M1646" s="9">
        <f t="shared" si="1"/>
        <v>38</v>
      </c>
    </row>
    <row r="1647" ht="12.75" customHeight="1">
      <c r="A1647" s="4">
        <f t="shared" si="2"/>
        <v>1646</v>
      </c>
      <c r="B1647" s="4" t="s">
        <v>3638</v>
      </c>
      <c r="C1647" s="5" t="s">
        <v>3639</v>
      </c>
      <c r="D1647" s="4"/>
      <c r="E1647" s="4"/>
      <c r="F1647" s="4" t="s">
        <v>22</v>
      </c>
      <c r="G1647" s="6">
        <v>1.33</v>
      </c>
      <c r="H1647" s="7" t="s">
        <v>1606</v>
      </c>
      <c r="I1647" s="4" t="s">
        <v>1475</v>
      </c>
      <c r="J1647" s="4" t="s">
        <v>1476</v>
      </c>
      <c r="K1647" s="8"/>
      <c r="L1647" s="8" t="s">
        <v>33</v>
      </c>
      <c r="M1647" s="9">
        <f t="shared" si="1"/>
        <v>7</v>
      </c>
    </row>
    <row r="1648" ht="12.75" customHeight="1">
      <c r="A1648" s="4">
        <f t="shared" si="2"/>
        <v>1647</v>
      </c>
      <c r="B1648" s="4" t="s">
        <v>3640</v>
      </c>
      <c r="C1648" s="5" t="s">
        <v>3641</v>
      </c>
      <c r="D1648" s="4"/>
      <c r="E1648" s="4"/>
      <c r="F1648" s="4" t="s">
        <v>22</v>
      </c>
      <c r="G1648" s="6">
        <v>11.99</v>
      </c>
      <c r="H1648" s="7" t="s">
        <v>1606</v>
      </c>
      <c r="I1648" s="4" t="s">
        <v>1746</v>
      </c>
      <c r="J1648" s="4" t="s">
        <v>3642</v>
      </c>
      <c r="K1648" s="8"/>
      <c r="L1648" s="8" t="s">
        <v>1239</v>
      </c>
      <c r="M1648" s="9">
        <f t="shared" si="1"/>
        <v>39</v>
      </c>
    </row>
    <row r="1649" ht="12.75" customHeight="1">
      <c r="A1649" s="4">
        <f t="shared" si="2"/>
        <v>1648</v>
      </c>
      <c r="B1649" s="4" t="s">
        <v>3643</v>
      </c>
      <c r="C1649" s="5" t="s">
        <v>3644</v>
      </c>
      <c r="D1649" s="4"/>
      <c r="E1649" s="4"/>
      <c r="F1649" s="4" t="s">
        <v>1772</v>
      </c>
      <c r="G1649" s="6">
        <v>6.76</v>
      </c>
      <c r="H1649" s="7" t="s">
        <v>1606</v>
      </c>
      <c r="I1649" s="4" t="s">
        <v>2926</v>
      </c>
      <c r="J1649" s="4" t="s">
        <v>3645</v>
      </c>
      <c r="K1649" s="8"/>
      <c r="L1649" s="8" t="s">
        <v>487</v>
      </c>
      <c r="M1649" s="9">
        <f t="shared" si="1"/>
        <v>37</v>
      </c>
    </row>
    <row r="1650" ht="12.75" customHeight="1">
      <c r="A1650" s="4">
        <f t="shared" si="2"/>
        <v>1649</v>
      </c>
      <c r="B1650" s="4" t="s">
        <v>3646</v>
      </c>
      <c r="C1650" s="5" t="s">
        <v>3647</v>
      </c>
      <c r="D1650" s="4"/>
      <c r="E1650" s="4"/>
      <c r="F1650" s="4" t="s">
        <v>22</v>
      </c>
      <c r="G1650" s="6">
        <v>1.05</v>
      </c>
      <c r="H1650" s="7" t="s">
        <v>1606</v>
      </c>
      <c r="I1650" s="4" t="s">
        <v>1574</v>
      </c>
      <c r="J1650" s="4" t="s">
        <v>3648</v>
      </c>
      <c r="K1650" s="8"/>
      <c r="L1650" s="8" t="s">
        <v>33</v>
      </c>
      <c r="M1650" s="9">
        <f t="shared" si="1"/>
        <v>27</v>
      </c>
    </row>
    <row r="1651" ht="12.75" customHeight="1">
      <c r="A1651" s="4">
        <f t="shared" si="2"/>
        <v>1650</v>
      </c>
      <c r="B1651" s="4" t="s">
        <v>3649</v>
      </c>
      <c r="C1651" s="5" t="s">
        <v>3650</v>
      </c>
      <c r="D1651" s="4"/>
      <c r="E1651" s="4"/>
      <c r="F1651" s="4" t="s">
        <v>22</v>
      </c>
      <c r="G1651" s="6">
        <v>16.95</v>
      </c>
      <c r="H1651" s="7" t="s">
        <v>1606</v>
      </c>
      <c r="I1651" s="4" t="s">
        <v>1475</v>
      </c>
      <c r="J1651" s="4" t="s">
        <v>1476</v>
      </c>
      <c r="K1651" s="8"/>
      <c r="L1651" s="8" t="s">
        <v>33</v>
      </c>
      <c r="M1651" s="9">
        <f t="shared" si="1"/>
        <v>54</v>
      </c>
    </row>
    <row r="1652" ht="12.75" customHeight="1">
      <c r="A1652" s="4">
        <f t="shared" si="2"/>
        <v>1651</v>
      </c>
      <c r="B1652" s="4" t="s">
        <v>3651</v>
      </c>
      <c r="C1652" s="5" t="s">
        <v>3652</v>
      </c>
      <c r="D1652" s="4"/>
      <c r="E1652" s="4"/>
      <c r="F1652" s="4" t="s">
        <v>22</v>
      </c>
      <c r="G1652" s="6">
        <v>2.3</v>
      </c>
      <c r="H1652" s="7" t="s">
        <v>1606</v>
      </c>
      <c r="I1652" s="4" t="s">
        <v>1475</v>
      </c>
      <c r="J1652" s="4" t="s">
        <v>1476</v>
      </c>
      <c r="K1652" s="8"/>
      <c r="L1652" s="8" t="s">
        <v>33</v>
      </c>
      <c r="M1652" s="9">
        <f t="shared" si="1"/>
        <v>49</v>
      </c>
    </row>
    <row r="1653" ht="12.75" customHeight="1">
      <c r="A1653" s="4">
        <f t="shared" si="2"/>
        <v>1652</v>
      </c>
      <c r="B1653" s="4" t="s">
        <v>3653</v>
      </c>
      <c r="C1653" s="5" t="s">
        <v>3654</v>
      </c>
      <c r="D1653" s="4"/>
      <c r="E1653" s="4"/>
      <c r="F1653" s="4" t="s">
        <v>22</v>
      </c>
      <c r="G1653" s="6">
        <v>11.34</v>
      </c>
      <c r="H1653" s="7" t="s">
        <v>1606</v>
      </c>
      <c r="I1653" s="4" t="s">
        <v>2044</v>
      </c>
      <c r="J1653" s="4" t="s">
        <v>3655</v>
      </c>
      <c r="K1653" s="8"/>
      <c r="L1653" s="8" t="s">
        <v>3656</v>
      </c>
      <c r="M1653" s="9">
        <f t="shared" si="1"/>
        <v>69</v>
      </c>
    </row>
    <row r="1654" ht="12.75" customHeight="1">
      <c r="A1654" s="4">
        <f t="shared" si="2"/>
        <v>1653</v>
      </c>
      <c r="B1654" s="4" t="s">
        <v>3657</v>
      </c>
      <c r="C1654" s="5" t="s">
        <v>3658</v>
      </c>
      <c r="D1654" s="4"/>
      <c r="E1654" s="4"/>
      <c r="F1654" s="4" t="s">
        <v>22</v>
      </c>
      <c r="G1654" s="6">
        <v>0.7</v>
      </c>
      <c r="H1654" s="7" t="s">
        <v>1606</v>
      </c>
      <c r="I1654" s="4" t="s">
        <v>1800</v>
      </c>
      <c r="J1654" s="4" t="s">
        <v>1801</v>
      </c>
      <c r="K1654" s="8"/>
      <c r="L1654" s="8" t="s">
        <v>33</v>
      </c>
      <c r="M1654" s="9">
        <f t="shared" si="1"/>
        <v>23</v>
      </c>
    </row>
    <row r="1655" ht="12.75" customHeight="1">
      <c r="A1655" s="4">
        <f t="shared" si="2"/>
        <v>1654</v>
      </c>
      <c r="B1655" s="4" t="s">
        <v>3659</v>
      </c>
      <c r="C1655" s="5" t="s">
        <v>3660</v>
      </c>
      <c r="D1655" s="4"/>
      <c r="E1655" s="4"/>
      <c r="F1655" s="4" t="s">
        <v>3661</v>
      </c>
      <c r="G1655" s="6">
        <v>2.7</v>
      </c>
      <c r="H1655" s="7" t="s">
        <v>1606</v>
      </c>
      <c r="I1655" s="4" t="s">
        <v>1773</v>
      </c>
      <c r="J1655" s="4" t="s">
        <v>1774</v>
      </c>
      <c r="K1655" s="8"/>
      <c r="L1655" s="8" t="s">
        <v>33</v>
      </c>
      <c r="M1655" s="9">
        <f t="shared" si="1"/>
        <v>20</v>
      </c>
    </row>
    <row r="1656" ht="12.75" customHeight="1">
      <c r="A1656" s="4">
        <f t="shared" si="2"/>
        <v>1655</v>
      </c>
      <c r="B1656" s="4" t="s">
        <v>3662</v>
      </c>
      <c r="C1656" s="5" t="s">
        <v>3663</v>
      </c>
      <c r="D1656" s="4"/>
      <c r="E1656" s="4"/>
      <c r="F1656" s="4" t="s">
        <v>22</v>
      </c>
      <c r="G1656" s="6">
        <v>2.33</v>
      </c>
      <c r="H1656" s="7" t="s">
        <v>1606</v>
      </c>
      <c r="I1656" s="4" t="s">
        <v>1773</v>
      </c>
      <c r="J1656" s="4" t="s">
        <v>1774</v>
      </c>
      <c r="K1656" s="8"/>
      <c r="L1656" s="8" t="s">
        <v>3664</v>
      </c>
      <c r="M1656" s="9">
        <f t="shared" si="1"/>
        <v>27</v>
      </c>
    </row>
    <row r="1657" ht="12.75" customHeight="1">
      <c r="A1657" s="4">
        <f t="shared" si="2"/>
        <v>1656</v>
      </c>
      <c r="B1657" s="4" t="s">
        <v>3665</v>
      </c>
      <c r="C1657" s="5" t="s">
        <v>3666</v>
      </c>
      <c r="D1657" s="4"/>
      <c r="E1657" s="4"/>
      <c r="F1657" s="4" t="s">
        <v>22</v>
      </c>
      <c r="G1657" s="6">
        <v>2.43</v>
      </c>
      <c r="H1657" s="7" t="s">
        <v>1606</v>
      </c>
      <c r="I1657" s="4" t="s">
        <v>1773</v>
      </c>
      <c r="J1657" s="4" t="s">
        <v>1774</v>
      </c>
      <c r="K1657" s="8"/>
      <c r="L1657" s="8" t="s">
        <v>33</v>
      </c>
      <c r="M1657" s="9">
        <f t="shared" si="1"/>
        <v>34</v>
      </c>
    </row>
    <row r="1658" ht="12.75" customHeight="1">
      <c r="A1658" s="4">
        <f t="shared" si="2"/>
        <v>1657</v>
      </c>
      <c r="B1658" s="4" t="s">
        <v>3667</v>
      </c>
      <c r="C1658" s="5" t="s">
        <v>3668</v>
      </c>
      <c r="D1658" s="4"/>
      <c r="E1658" s="4"/>
      <c r="F1658" s="4" t="s">
        <v>22</v>
      </c>
      <c r="G1658" s="6">
        <v>8.85</v>
      </c>
      <c r="H1658" s="7" t="s">
        <v>1606</v>
      </c>
      <c r="I1658" s="4" t="s">
        <v>1574</v>
      </c>
      <c r="J1658" s="4" t="s">
        <v>1624</v>
      </c>
      <c r="K1658" s="8"/>
      <c r="L1658" s="8" t="s">
        <v>33</v>
      </c>
      <c r="M1658" s="9">
        <f t="shared" si="1"/>
        <v>38</v>
      </c>
    </row>
    <row r="1659" ht="12.75" customHeight="1">
      <c r="A1659" s="4">
        <f t="shared" si="2"/>
        <v>1658</v>
      </c>
      <c r="B1659" s="4" t="s">
        <v>3669</v>
      </c>
      <c r="C1659" s="5" t="s">
        <v>3670</v>
      </c>
      <c r="D1659" s="4"/>
      <c r="E1659" s="4"/>
      <c r="F1659" s="4" t="s">
        <v>22</v>
      </c>
      <c r="G1659" s="6">
        <v>34.86</v>
      </c>
      <c r="H1659" s="7" t="s">
        <v>1606</v>
      </c>
      <c r="I1659" s="4" t="s">
        <v>2392</v>
      </c>
      <c r="J1659" s="4" t="s">
        <v>2677</v>
      </c>
      <c r="K1659" s="8"/>
      <c r="L1659" s="8" t="s">
        <v>2691</v>
      </c>
      <c r="M1659" s="9">
        <f t="shared" si="1"/>
        <v>42</v>
      </c>
    </row>
    <row r="1660" ht="12.75" customHeight="1">
      <c r="A1660" s="4">
        <f t="shared" si="2"/>
        <v>1659</v>
      </c>
      <c r="B1660" s="4" t="s">
        <v>3671</v>
      </c>
      <c r="C1660" s="5" t="s">
        <v>3672</v>
      </c>
      <c r="D1660" s="4"/>
      <c r="E1660" s="4"/>
      <c r="F1660" s="4" t="s">
        <v>22</v>
      </c>
      <c r="G1660" s="6">
        <v>12.97</v>
      </c>
      <c r="H1660" s="7" t="s">
        <v>1606</v>
      </c>
      <c r="I1660" s="4" t="s">
        <v>2392</v>
      </c>
      <c r="J1660" s="4" t="s">
        <v>2677</v>
      </c>
      <c r="K1660" s="8"/>
      <c r="L1660" s="8" t="s">
        <v>2691</v>
      </c>
      <c r="M1660" s="9">
        <f t="shared" si="1"/>
        <v>44</v>
      </c>
    </row>
    <row r="1661" ht="12.75" customHeight="1">
      <c r="A1661" s="4">
        <f t="shared" si="2"/>
        <v>1660</v>
      </c>
      <c r="B1661" s="4" t="s">
        <v>3673</v>
      </c>
      <c r="C1661" s="5" t="s">
        <v>3674</v>
      </c>
      <c r="D1661" s="4"/>
      <c r="E1661" s="4"/>
      <c r="F1661" s="4" t="s">
        <v>22</v>
      </c>
      <c r="G1661" s="6">
        <v>7.49</v>
      </c>
      <c r="H1661" s="7" t="s">
        <v>1606</v>
      </c>
      <c r="I1661" s="4" t="s">
        <v>2392</v>
      </c>
      <c r="J1661" s="4" t="s">
        <v>2677</v>
      </c>
      <c r="K1661" s="8"/>
      <c r="L1661" s="8" t="s">
        <v>2691</v>
      </c>
      <c r="M1661" s="9">
        <f t="shared" si="1"/>
        <v>44</v>
      </c>
    </row>
    <row r="1662" ht="12.75" customHeight="1">
      <c r="A1662" s="4">
        <f t="shared" si="2"/>
        <v>1661</v>
      </c>
      <c r="B1662" s="4" t="s">
        <v>3675</v>
      </c>
      <c r="C1662" s="5" t="s">
        <v>3676</v>
      </c>
      <c r="D1662" s="4"/>
      <c r="E1662" s="4"/>
      <c r="F1662" s="4" t="s">
        <v>22</v>
      </c>
      <c r="G1662" s="6">
        <v>20.54</v>
      </c>
      <c r="H1662" s="7" t="s">
        <v>1606</v>
      </c>
      <c r="I1662" s="4" t="s">
        <v>2392</v>
      </c>
      <c r="J1662" s="4" t="s">
        <v>2677</v>
      </c>
      <c r="K1662" s="8"/>
      <c r="L1662" s="8" t="s">
        <v>2691</v>
      </c>
      <c r="M1662" s="9">
        <f t="shared" si="1"/>
        <v>44</v>
      </c>
    </row>
    <row r="1663" ht="12.75" customHeight="1">
      <c r="A1663" s="4">
        <f t="shared" si="2"/>
        <v>1662</v>
      </c>
      <c r="B1663" s="4" t="s">
        <v>3677</v>
      </c>
      <c r="C1663" s="5" t="s">
        <v>3678</v>
      </c>
      <c r="D1663" s="4"/>
      <c r="E1663" s="4"/>
      <c r="F1663" s="4" t="s">
        <v>22</v>
      </c>
      <c r="G1663" s="6">
        <v>8.38</v>
      </c>
      <c r="H1663" s="7" t="s">
        <v>1606</v>
      </c>
      <c r="I1663" s="4" t="s">
        <v>2392</v>
      </c>
      <c r="J1663" s="4" t="s">
        <v>2677</v>
      </c>
      <c r="K1663" s="8"/>
      <c r="L1663" s="8" t="s">
        <v>2691</v>
      </c>
      <c r="M1663" s="9">
        <f t="shared" si="1"/>
        <v>44</v>
      </c>
    </row>
    <row r="1664" ht="12.75" customHeight="1">
      <c r="A1664" s="4">
        <f t="shared" si="2"/>
        <v>1663</v>
      </c>
      <c r="B1664" s="4" t="s">
        <v>3679</v>
      </c>
      <c r="C1664" s="5" t="s">
        <v>3680</v>
      </c>
      <c r="D1664" s="4"/>
      <c r="E1664" s="4"/>
      <c r="F1664" s="4" t="s">
        <v>22</v>
      </c>
      <c r="G1664" s="6">
        <v>15.95</v>
      </c>
      <c r="H1664" s="7" t="s">
        <v>1606</v>
      </c>
      <c r="I1664" s="4" t="s">
        <v>2392</v>
      </c>
      <c r="J1664" s="4" t="s">
        <v>2677</v>
      </c>
      <c r="K1664" s="8"/>
      <c r="L1664" s="8" t="s">
        <v>2691</v>
      </c>
      <c r="M1664" s="9">
        <f t="shared" si="1"/>
        <v>44</v>
      </c>
    </row>
    <row r="1665" ht="12.75" customHeight="1">
      <c r="A1665" s="4">
        <f t="shared" si="2"/>
        <v>1664</v>
      </c>
      <c r="B1665" s="4" t="s">
        <v>3681</v>
      </c>
      <c r="C1665" s="5" t="s">
        <v>3682</v>
      </c>
      <c r="D1665" s="4"/>
      <c r="E1665" s="4"/>
      <c r="F1665" s="4" t="s">
        <v>22</v>
      </c>
      <c r="G1665" s="6">
        <v>30.0</v>
      </c>
      <c r="H1665" s="7" t="s">
        <v>1606</v>
      </c>
      <c r="I1665" s="4" t="s">
        <v>2392</v>
      </c>
      <c r="J1665" s="4" t="s">
        <v>2677</v>
      </c>
      <c r="K1665" s="8"/>
      <c r="L1665" s="8" t="s">
        <v>2691</v>
      </c>
      <c r="M1665" s="9">
        <f t="shared" si="1"/>
        <v>44</v>
      </c>
    </row>
    <row r="1666" ht="12.75" customHeight="1">
      <c r="A1666" s="4">
        <f t="shared" si="2"/>
        <v>1665</v>
      </c>
      <c r="B1666" s="4" t="s">
        <v>3683</v>
      </c>
      <c r="C1666" s="5" t="s">
        <v>3684</v>
      </c>
      <c r="D1666" s="4"/>
      <c r="E1666" s="4"/>
      <c r="F1666" s="4" t="s">
        <v>1764</v>
      </c>
      <c r="G1666" s="6">
        <v>9.52</v>
      </c>
      <c r="H1666" s="7" t="s">
        <v>1606</v>
      </c>
      <c r="I1666" s="4" t="s">
        <v>2819</v>
      </c>
      <c r="J1666" s="4" t="s">
        <v>1544</v>
      </c>
      <c r="K1666" s="8"/>
      <c r="L1666" s="8" t="s">
        <v>33</v>
      </c>
      <c r="M1666" s="9">
        <f t="shared" si="1"/>
        <v>34</v>
      </c>
    </row>
    <row r="1667" ht="12.75" customHeight="1">
      <c r="A1667" s="4">
        <f t="shared" si="2"/>
        <v>1666</v>
      </c>
      <c r="B1667" s="4" t="s">
        <v>3685</v>
      </c>
      <c r="C1667" s="5" t="s">
        <v>3686</v>
      </c>
      <c r="D1667" s="4"/>
      <c r="E1667" s="4"/>
      <c r="F1667" s="4" t="s">
        <v>1764</v>
      </c>
      <c r="G1667" s="6">
        <v>15.03</v>
      </c>
      <c r="H1667" s="7" t="s">
        <v>1606</v>
      </c>
      <c r="I1667" s="4" t="s">
        <v>2819</v>
      </c>
      <c r="J1667" s="4" t="s">
        <v>1544</v>
      </c>
      <c r="K1667" s="8"/>
      <c r="L1667" s="8" t="s">
        <v>33</v>
      </c>
      <c r="M1667" s="9">
        <f t="shared" si="1"/>
        <v>34</v>
      </c>
    </row>
    <row r="1668" ht="12.75" customHeight="1">
      <c r="A1668" s="4">
        <f t="shared" si="2"/>
        <v>1667</v>
      </c>
      <c r="B1668" s="4" t="s">
        <v>3687</v>
      </c>
      <c r="C1668" s="5" t="s">
        <v>3688</v>
      </c>
      <c r="D1668" s="4"/>
      <c r="E1668" s="4"/>
      <c r="F1668" s="4" t="s">
        <v>371</v>
      </c>
      <c r="G1668" s="6">
        <v>0.47</v>
      </c>
      <c r="H1668" s="7" t="s">
        <v>1606</v>
      </c>
      <c r="I1668" s="4" t="s">
        <v>1773</v>
      </c>
      <c r="J1668" s="4" t="s">
        <v>1774</v>
      </c>
      <c r="K1668" s="8"/>
      <c r="L1668" s="8" t="s">
        <v>2097</v>
      </c>
      <c r="M1668" s="9">
        <f t="shared" si="1"/>
        <v>28</v>
      </c>
    </row>
    <row r="1669" ht="12.75" customHeight="1">
      <c r="A1669" s="4">
        <f t="shared" si="2"/>
        <v>1668</v>
      </c>
      <c r="B1669" s="4" t="s">
        <v>3689</v>
      </c>
      <c r="C1669" s="5" t="s">
        <v>3690</v>
      </c>
      <c r="D1669" s="4"/>
      <c r="E1669" s="4"/>
      <c r="F1669" s="4" t="s">
        <v>1772</v>
      </c>
      <c r="G1669" s="6">
        <v>0.47</v>
      </c>
      <c r="H1669" s="7" t="s">
        <v>1606</v>
      </c>
      <c r="I1669" s="4" t="s">
        <v>1773</v>
      </c>
      <c r="J1669" s="4" t="s">
        <v>1774</v>
      </c>
      <c r="K1669" s="8"/>
      <c r="L1669" s="8" t="s">
        <v>2097</v>
      </c>
      <c r="M1669" s="9">
        <f t="shared" si="1"/>
        <v>28</v>
      </c>
    </row>
    <row r="1670" ht="12.75" customHeight="1">
      <c r="A1670" s="4">
        <f t="shared" si="2"/>
        <v>1669</v>
      </c>
      <c r="B1670" s="4" t="s">
        <v>3691</v>
      </c>
      <c r="C1670" s="5" t="s">
        <v>3692</v>
      </c>
      <c r="D1670" s="4"/>
      <c r="E1670" s="4"/>
      <c r="F1670" s="4" t="s">
        <v>22</v>
      </c>
      <c r="G1670" s="6">
        <v>4.05</v>
      </c>
      <c r="H1670" s="7" t="s">
        <v>1606</v>
      </c>
      <c r="I1670" s="4" t="s">
        <v>2423</v>
      </c>
      <c r="J1670" s="4" t="s">
        <v>1688</v>
      </c>
      <c r="K1670" s="8"/>
      <c r="L1670" s="8" t="s">
        <v>3693</v>
      </c>
      <c r="M1670" s="9">
        <f t="shared" si="1"/>
        <v>28</v>
      </c>
    </row>
    <row r="1671" ht="12.75" customHeight="1">
      <c r="A1671" s="4">
        <f t="shared" si="2"/>
        <v>1670</v>
      </c>
      <c r="B1671" s="4" t="s">
        <v>3694</v>
      </c>
      <c r="C1671" s="5" t="s">
        <v>3695</v>
      </c>
      <c r="D1671" s="4"/>
      <c r="E1671" s="4"/>
      <c r="F1671" s="4" t="s">
        <v>22</v>
      </c>
      <c r="G1671" s="6">
        <v>4.05</v>
      </c>
      <c r="H1671" s="7" t="s">
        <v>1606</v>
      </c>
      <c r="I1671" s="4" t="s">
        <v>2423</v>
      </c>
      <c r="J1671" s="4" t="s">
        <v>1688</v>
      </c>
      <c r="K1671" s="8"/>
      <c r="L1671" s="8" t="s">
        <v>3693</v>
      </c>
      <c r="M1671" s="9">
        <f t="shared" si="1"/>
        <v>36</v>
      </c>
    </row>
    <row r="1672" ht="12.75" customHeight="1">
      <c r="A1672" s="4">
        <f t="shared" si="2"/>
        <v>1671</v>
      </c>
      <c r="B1672" s="4" t="s">
        <v>3696</v>
      </c>
      <c r="C1672" s="5" t="s">
        <v>3697</v>
      </c>
      <c r="D1672" s="4"/>
      <c r="E1672" s="4"/>
      <c r="F1672" s="4" t="s">
        <v>22</v>
      </c>
      <c r="G1672" s="6">
        <v>12.43</v>
      </c>
      <c r="H1672" s="7" t="s">
        <v>1606</v>
      </c>
      <c r="I1672" s="4" t="s">
        <v>2392</v>
      </c>
      <c r="J1672" s="4" t="s">
        <v>2677</v>
      </c>
      <c r="K1672" s="8"/>
      <c r="L1672" s="8" t="s">
        <v>2691</v>
      </c>
      <c r="M1672" s="9">
        <f t="shared" si="1"/>
        <v>38</v>
      </c>
    </row>
    <row r="1673" ht="12.75" customHeight="1">
      <c r="A1673" s="4">
        <f t="shared" si="2"/>
        <v>1672</v>
      </c>
      <c r="B1673" s="4" t="s">
        <v>3698</v>
      </c>
      <c r="C1673" s="5" t="s">
        <v>3699</v>
      </c>
      <c r="D1673" s="4"/>
      <c r="E1673" s="4"/>
      <c r="F1673" s="4" t="s">
        <v>22</v>
      </c>
      <c r="G1673" s="6">
        <v>229.73</v>
      </c>
      <c r="H1673" s="7" t="s">
        <v>1606</v>
      </c>
      <c r="I1673" s="4" t="s">
        <v>2392</v>
      </c>
      <c r="J1673" s="4" t="s">
        <v>2677</v>
      </c>
      <c r="K1673" s="8"/>
      <c r="L1673" s="8" t="s">
        <v>2691</v>
      </c>
      <c r="M1673" s="9">
        <f t="shared" si="1"/>
        <v>43</v>
      </c>
    </row>
    <row r="1674" ht="12.75" customHeight="1">
      <c r="A1674" s="4">
        <f t="shared" si="2"/>
        <v>1673</v>
      </c>
      <c r="B1674" s="4" t="s">
        <v>3700</v>
      </c>
      <c r="C1674" s="5" t="s">
        <v>3701</v>
      </c>
      <c r="D1674" s="4"/>
      <c r="E1674" s="4"/>
      <c r="F1674" s="4" t="s">
        <v>22</v>
      </c>
      <c r="G1674" s="6">
        <v>152.7</v>
      </c>
      <c r="H1674" s="7" t="s">
        <v>1606</v>
      </c>
      <c r="I1674" s="4" t="s">
        <v>2392</v>
      </c>
      <c r="J1674" s="4" t="s">
        <v>2677</v>
      </c>
      <c r="K1674" s="8"/>
      <c r="L1674" s="8" t="s">
        <v>2691</v>
      </c>
      <c r="M1674" s="9">
        <f t="shared" si="1"/>
        <v>43</v>
      </c>
    </row>
    <row r="1675" ht="12.75" customHeight="1">
      <c r="A1675" s="4">
        <f t="shared" si="2"/>
        <v>1674</v>
      </c>
      <c r="B1675" s="4" t="s">
        <v>3702</v>
      </c>
      <c r="C1675" s="5" t="s">
        <v>3703</v>
      </c>
      <c r="D1675" s="4"/>
      <c r="E1675" s="4"/>
      <c r="F1675" s="4" t="s">
        <v>22</v>
      </c>
      <c r="G1675" s="6">
        <v>72.97</v>
      </c>
      <c r="H1675" s="7" t="s">
        <v>1606</v>
      </c>
      <c r="I1675" s="4" t="s">
        <v>2392</v>
      </c>
      <c r="J1675" s="4" t="s">
        <v>2677</v>
      </c>
      <c r="K1675" s="8"/>
      <c r="L1675" s="8" t="s">
        <v>2691</v>
      </c>
      <c r="M1675" s="9">
        <f t="shared" si="1"/>
        <v>39</v>
      </c>
    </row>
    <row r="1676" ht="12.75" customHeight="1">
      <c r="A1676" s="4">
        <f t="shared" si="2"/>
        <v>1675</v>
      </c>
      <c r="B1676" s="4" t="s">
        <v>3704</v>
      </c>
      <c r="C1676" s="5" t="s">
        <v>3705</v>
      </c>
      <c r="D1676" s="4"/>
      <c r="E1676" s="4"/>
      <c r="F1676" s="4" t="s">
        <v>22</v>
      </c>
      <c r="G1676" s="6">
        <v>15.41</v>
      </c>
      <c r="H1676" s="7" t="s">
        <v>1606</v>
      </c>
      <c r="I1676" s="4" t="s">
        <v>2392</v>
      </c>
      <c r="J1676" s="4" t="s">
        <v>2677</v>
      </c>
      <c r="K1676" s="8"/>
      <c r="L1676" s="8" t="s">
        <v>2691</v>
      </c>
      <c r="M1676" s="9">
        <f t="shared" si="1"/>
        <v>41</v>
      </c>
    </row>
    <row r="1677" ht="12.75" customHeight="1">
      <c r="A1677" s="4">
        <f t="shared" si="2"/>
        <v>1676</v>
      </c>
      <c r="B1677" s="4" t="s">
        <v>3706</v>
      </c>
      <c r="C1677" s="5" t="s">
        <v>3707</v>
      </c>
      <c r="D1677" s="4"/>
      <c r="E1677" s="4"/>
      <c r="F1677" s="4" t="s">
        <v>22</v>
      </c>
      <c r="G1677" s="6">
        <v>38.65</v>
      </c>
      <c r="H1677" s="7" t="s">
        <v>1606</v>
      </c>
      <c r="I1677" s="4" t="s">
        <v>2392</v>
      </c>
      <c r="J1677" s="4" t="s">
        <v>2677</v>
      </c>
      <c r="K1677" s="8"/>
      <c r="L1677" s="8" t="s">
        <v>2691</v>
      </c>
      <c r="M1677" s="9">
        <f t="shared" si="1"/>
        <v>41</v>
      </c>
    </row>
    <row r="1678" ht="12.75" customHeight="1">
      <c r="A1678" s="4">
        <f t="shared" si="2"/>
        <v>1677</v>
      </c>
      <c r="B1678" s="4" t="s">
        <v>3708</v>
      </c>
      <c r="C1678" s="5" t="s">
        <v>3709</v>
      </c>
      <c r="D1678" s="4"/>
      <c r="E1678" s="4"/>
      <c r="F1678" s="4" t="s">
        <v>22</v>
      </c>
      <c r="G1678" s="6">
        <v>28.92</v>
      </c>
      <c r="H1678" s="7" t="s">
        <v>1606</v>
      </c>
      <c r="I1678" s="4" t="s">
        <v>2392</v>
      </c>
      <c r="J1678" s="4" t="s">
        <v>2677</v>
      </c>
      <c r="K1678" s="8"/>
      <c r="L1678" s="8" t="s">
        <v>2691</v>
      </c>
      <c r="M1678" s="9">
        <f t="shared" si="1"/>
        <v>41</v>
      </c>
    </row>
    <row r="1679" ht="12.75" customHeight="1">
      <c r="A1679" s="4">
        <f t="shared" si="2"/>
        <v>1678</v>
      </c>
      <c r="B1679" s="4" t="s">
        <v>3710</v>
      </c>
      <c r="C1679" s="5" t="s">
        <v>3711</v>
      </c>
      <c r="D1679" s="4"/>
      <c r="E1679" s="4"/>
      <c r="F1679" s="4" t="s">
        <v>22</v>
      </c>
      <c r="G1679" s="6">
        <v>53.24</v>
      </c>
      <c r="H1679" s="7" t="s">
        <v>1606</v>
      </c>
      <c r="I1679" s="4" t="s">
        <v>2392</v>
      </c>
      <c r="J1679" s="4" t="s">
        <v>2677</v>
      </c>
      <c r="K1679" s="8"/>
      <c r="L1679" s="8" t="s">
        <v>2691</v>
      </c>
      <c r="M1679" s="9">
        <f t="shared" si="1"/>
        <v>41</v>
      </c>
    </row>
    <row r="1680" ht="12.75" customHeight="1">
      <c r="A1680" s="4">
        <f t="shared" si="2"/>
        <v>1679</v>
      </c>
      <c r="B1680" s="4" t="s">
        <v>3712</v>
      </c>
      <c r="C1680" s="5" t="s">
        <v>3713</v>
      </c>
      <c r="D1680" s="4"/>
      <c r="E1680" s="4"/>
      <c r="F1680" s="4" t="s">
        <v>15</v>
      </c>
      <c r="G1680" s="6">
        <v>0.49</v>
      </c>
      <c r="H1680" s="7" t="s">
        <v>1606</v>
      </c>
      <c r="I1680" s="4" t="s">
        <v>1800</v>
      </c>
      <c r="J1680" s="4" t="s">
        <v>1801</v>
      </c>
      <c r="K1680" s="8"/>
      <c r="L1680" s="8" t="s">
        <v>33</v>
      </c>
      <c r="M1680" s="9">
        <f t="shared" si="1"/>
        <v>18</v>
      </c>
    </row>
    <row r="1681" ht="12.75" customHeight="1">
      <c r="A1681" s="4">
        <f t="shared" si="2"/>
        <v>1680</v>
      </c>
      <c r="B1681" s="4" t="s">
        <v>3714</v>
      </c>
      <c r="C1681" s="5" t="s">
        <v>3715</v>
      </c>
      <c r="D1681" s="4"/>
      <c r="E1681" s="4"/>
      <c r="F1681" s="4" t="s">
        <v>1772</v>
      </c>
      <c r="G1681" s="6">
        <v>10.81</v>
      </c>
      <c r="H1681" s="7" t="s">
        <v>1606</v>
      </c>
      <c r="I1681" s="4" t="s">
        <v>1574</v>
      </c>
      <c r="J1681" s="4" t="s">
        <v>2812</v>
      </c>
      <c r="K1681" s="8"/>
      <c r="L1681" s="8" t="s">
        <v>1160</v>
      </c>
      <c r="M1681" s="9">
        <f t="shared" si="1"/>
        <v>64</v>
      </c>
    </row>
    <row r="1682" ht="12.75" customHeight="1">
      <c r="A1682" s="4">
        <f t="shared" si="2"/>
        <v>1681</v>
      </c>
      <c r="B1682" s="4" t="s">
        <v>3716</v>
      </c>
      <c r="C1682" s="5" t="s">
        <v>3717</v>
      </c>
      <c r="D1682" s="4"/>
      <c r="E1682" s="4"/>
      <c r="F1682" s="4" t="s">
        <v>1772</v>
      </c>
      <c r="G1682" s="6">
        <v>14.05</v>
      </c>
      <c r="H1682" s="7" t="s">
        <v>1606</v>
      </c>
      <c r="I1682" s="4" t="s">
        <v>1574</v>
      </c>
      <c r="J1682" s="4" t="s">
        <v>2812</v>
      </c>
      <c r="K1682" s="8"/>
      <c r="L1682" s="8" t="s">
        <v>1160</v>
      </c>
      <c r="M1682" s="9">
        <f t="shared" si="1"/>
        <v>64</v>
      </c>
    </row>
    <row r="1683" ht="12.75" customHeight="1">
      <c r="A1683" s="4">
        <f t="shared" si="2"/>
        <v>1682</v>
      </c>
      <c r="B1683" s="4" t="s">
        <v>3718</v>
      </c>
      <c r="C1683" s="5" t="s">
        <v>3719</v>
      </c>
      <c r="D1683" s="4"/>
      <c r="E1683" s="4"/>
      <c r="F1683" s="4" t="s">
        <v>22</v>
      </c>
      <c r="G1683" s="6">
        <v>12.16</v>
      </c>
      <c r="H1683" s="7" t="s">
        <v>1606</v>
      </c>
      <c r="I1683" s="4" t="s">
        <v>2646</v>
      </c>
      <c r="J1683" s="4" t="s">
        <v>2729</v>
      </c>
      <c r="K1683" s="8"/>
      <c r="L1683" s="8" t="s">
        <v>33</v>
      </c>
      <c r="M1683" s="9">
        <f t="shared" si="1"/>
        <v>35</v>
      </c>
    </row>
    <row r="1684" ht="12.75" customHeight="1">
      <c r="A1684" s="4">
        <f t="shared" si="2"/>
        <v>1683</v>
      </c>
      <c r="B1684" s="4" t="s">
        <v>3720</v>
      </c>
      <c r="C1684" s="5" t="s">
        <v>3721</v>
      </c>
      <c r="D1684" s="4"/>
      <c r="E1684" s="4"/>
      <c r="F1684" s="4" t="s">
        <v>22</v>
      </c>
      <c r="G1684" s="6">
        <v>2.11</v>
      </c>
      <c r="H1684" s="7" t="s">
        <v>1606</v>
      </c>
      <c r="I1684" s="4" t="s">
        <v>1800</v>
      </c>
      <c r="J1684" s="4" t="s">
        <v>1801</v>
      </c>
      <c r="K1684" s="8"/>
      <c r="L1684" s="8" t="s">
        <v>33</v>
      </c>
      <c r="M1684" s="9">
        <f t="shared" si="1"/>
        <v>31</v>
      </c>
    </row>
    <row r="1685" ht="12.75" customHeight="1">
      <c r="A1685" s="4">
        <f t="shared" si="2"/>
        <v>1684</v>
      </c>
      <c r="B1685" s="4" t="s">
        <v>3722</v>
      </c>
      <c r="C1685" s="5" t="s">
        <v>3723</v>
      </c>
      <c r="D1685" s="4"/>
      <c r="E1685" s="4"/>
      <c r="F1685" s="4" t="s">
        <v>22</v>
      </c>
      <c r="G1685" s="6">
        <v>3.24</v>
      </c>
      <c r="H1685" s="7" t="s">
        <v>1606</v>
      </c>
      <c r="I1685" s="4" t="s">
        <v>1475</v>
      </c>
      <c r="J1685" s="4" t="s">
        <v>1476</v>
      </c>
      <c r="K1685" s="8"/>
      <c r="L1685" s="8" t="s">
        <v>3309</v>
      </c>
      <c r="M1685" s="9">
        <f t="shared" si="1"/>
        <v>28</v>
      </c>
    </row>
    <row r="1686" ht="12.75" customHeight="1">
      <c r="A1686" s="4">
        <f t="shared" si="2"/>
        <v>1685</v>
      </c>
      <c r="B1686" s="4" t="s">
        <v>3724</v>
      </c>
      <c r="C1686" s="5" t="s">
        <v>3725</v>
      </c>
      <c r="D1686" s="4"/>
      <c r="E1686" s="4"/>
      <c r="F1686" s="4" t="s">
        <v>22</v>
      </c>
      <c r="G1686" s="6">
        <v>3.26</v>
      </c>
      <c r="H1686" s="7" t="s">
        <v>1606</v>
      </c>
      <c r="I1686" s="4" t="s">
        <v>1746</v>
      </c>
      <c r="J1686" s="4" t="s">
        <v>3726</v>
      </c>
      <c r="K1686" s="8"/>
      <c r="L1686" s="8" t="s">
        <v>512</v>
      </c>
      <c r="M1686" s="9">
        <f t="shared" si="1"/>
        <v>21</v>
      </c>
    </row>
    <row r="1687" ht="12.75" customHeight="1">
      <c r="A1687" s="4">
        <f t="shared" si="2"/>
        <v>1686</v>
      </c>
      <c r="B1687" s="4" t="s">
        <v>3727</v>
      </c>
      <c r="C1687" s="5" t="s">
        <v>3728</v>
      </c>
      <c r="D1687" s="4"/>
      <c r="E1687" s="4"/>
      <c r="F1687" s="4" t="s">
        <v>22</v>
      </c>
      <c r="G1687" s="6">
        <v>1.79</v>
      </c>
      <c r="H1687" s="7" t="s">
        <v>1606</v>
      </c>
      <c r="I1687" s="4" t="s">
        <v>1746</v>
      </c>
      <c r="J1687" s="4" t="s">
        <v>3726</v>
      </c>
      <c r="K1687" s="8"/>
      <c r="L1687" s="8" t="s">
        <v>3729</v>
      </c>
      <c r="M1687" s="9">
        <f t="shared" si="1"/>
        <v>31</v>
      </c>
    </row>
    <row r="1688" ht="12.75" customHeight="1">
      <c r="A1688" s="4">
        <f t="shared" si="2"/>
        <v>1687</v>
      </c>
      <c r="B1688" s="4" t="s">
        <v>3730</v>
      </c>
      <c r="C1688" s="5" t="s">
        <v>3731</v>
      </c>
      <c r="D1688" s="4"/>
      <c r="E1688" s="4"/>
      <c r="F1688" s="4" t="s">
        <v>22</v>
      </c>
      <c r="G1688" s="6">
        <v>69.95</v>
      </c>
      <c r="H1688" s="7" t="s">
        <v>1606</v>
      </c>
      <c r="I1688" s="4" t="s">
        <v>1574</v>
      </c>
      <c r="J1688" s="4" t="s">
        <v>1624</v>
      </c>
      <c r="K1688" s="8"/>
      <c r="L1688" s="8" t="s">
        <v>1659</v>
      </c>
      <c r="M1688" s="9">
        <f t="shared" si="1"/>
        <v>34</v>
      </c>
    </row>
    <row r="1689" ht="12.75" customHeight="1">
      <c r="A1689" s="4">
        <f t="shared" si="2"/>
        <v>1688</v>
      </c>
      <c r="B1689" s="4" t="s">
        <v>3732</v>
      </c>
      <c r="C1689" s="5" t="s">
        <v>3733</v>
      </c>
      <c r="D1689" s="4"/>
      <c r="E1689" s="4"/>
      <c r="F1689" s="4" t="s">
        <v>22</v>
      </c>
      <c r="G1689" s="6">
        <v>52.43</v>
      </c>
      <c r="H1689" s="7" t="s">
        <v>1606</v>
      </c>
      <c r="I1689" s="4" t="s">
        <v>1574</v>
      </c>
      <c r="J1689" s="4" t="s">
        <v>1624</v>
      </c>
      <c r="K1689" s="8"/>
      <c r="L1689" s="8" t="s">
        <v>1659</v>
      </c>
      <c r="M1689" s="9">
        <f t="shared" si="1"/>
        <v>30</v>
      </c>
    </row>
    <row r="1690" ht="12.75" customHeight="1">
      <c r="A1690" s="4">
        <f t="shared" si="2"/>
        <v>1689</v>
      </c>
      <c r="B1690" s="4" t="s">
        <v>3734</v>
      </c>
      <c r="C1690" s="5" t="s">
        <v>3735</v>
      </c>
      <c r="D1690" s="4"/>
      <c r="E1690" s="4"/>
      <c r="F1690" s="4" t="s">
        <v>22</v>
      </c>
      <c r="G1690" s="6">
        <v>45.92</v>
      </c>
      <c r="H1690" s="7" t="s">
        <v>1606</v>
      </c>
      <c r="I1690" s="4" t="s">
        <v>1574</v>
      </c>
      <c r="J1690" s="4" t="s">
        <v>1624</v>
      </c>
      <c r="K1690" s="8"/>
      <c r="L1690" s="8" t="s">
        <v>1659</v>
      </c>
      <c r="M1690" s="9">
        <f t="shared" si="1"/>
        <v>32</v>
      </c>
    </row>
    <row r="1691" ht="12.75" customHeight="1">
      <c r="A1691" s="4">
        <f t="shared" si="2"/>
        <v>1690</v>
      </c>
      <c r="B1691" s="4" t="s">
        <v>3736</v>
      </c>
      <c r="C1691" s="5" t="s">
        <v>3737</v>
      </c>
      <c r="D1691" s="4"/>
      <c r="E1691" s="4"/>
      <c r="F1691" s="4" t="s">
        <v>22</v>
      </c>
      <c r="G1691" s="6">
        <v>100.84</v>
      </c>
      <c r="H1691" s="7" t="s">
        <v>1606</v>
      </c>
      <c r="I1691" s="4" t="s">
        <v>1574</v>
      </c>
      <c r="J1691" s="4" t="s">
        <v>1624</v>
      </c>
      <c r="K1691" s="8"/>
      <c r="L1691" s="8" t="s">
        <v>1659</v>
      </c>
      <c r="M1691" s="9">
        <f t="shared" si="1"/>
        <v>30</v>
      </c>
    </row>
    <row r="1692" ht="12.75" customHeight="1">
      <c r="A1692" s="4">
        <f t="shared" si="2"/>
        <v>1691</v>
      </c>
      <c r="B1692" s="4" t="s">
        <v>3738</v>
      </c>
      <c r="C1692" s="5" t="s">
        <v>3739</v>
      </c>
      <c r="D1692" s="4"/>
      <c r="E1692" s="4"/>
      <c r="F1692" s="4" t="s">
        <v>22</v>
      </c>
      <c r="G1692" s="6">
        <v>41.14</v>
      </c>
      <c r="H1692" s="7" t="s">
        <v>1606</v>
      </c>
      <c r="I1692" s="4" t="s">
        <v>1574</v>
      </c>
      <c r="J1692" s="4" t="s">
        <v>1624</v>
      </c>
      <c r="K1692" s="8"/>
      <c r="L1692" s="8" t="s">
        <v>1659</v>
      </c>
      <c r="M1692" s="9">
        <f t="shared" si="1"/>
        <v>32</v>
      </c>
    </row>
    <row r="1693" ht="12.75" customHeight="1">
      <c r="A1693" s="4">
        <f t="shared" si="2"/>
        <v>1692</v>
      </c>
      <c r="B1693" s="4" t="s">
        <v>3740</v>
      </c>
      <c r="C1693" s="5" t="s">
        <v>3741</v>
      </c>
      <c r="D1693" s="4"/>
      <c r="E1693" s="4"/>
      <c r="F1693" s="4" t="s">
        <v>22</v>
      </c>
      <c r="G1693" s="6">
        <v>100.32</v>
      </c>
      <c r="H1693" s="7" t="s">
        <v>1606</v>
      </c>
      <c r="I1693" s="4" t="s">
        <v>1574</v>
      </c>
      <c r="J1693" s="4" t="s">
        <v>1624</v>
      </c>
      <c r="K1693" s="8"/>
      <c r="L1693" s="8" t="s">
        <v>1659</v>
      </c>
      <c r="M1693" s="9">
        <f t="shared" si="1"/>
        <v>30</v>
      </c>
    </row>
    <row r="1694" ht="12.75" customHeight="1">
      <c r="A1694" s="4">
        <f t="shared" si="2"/>
        <v>1693</v>
      </c>
      <c r="B1694" s="4" t="s">
        <v>3742</v>
      </c>
      <c r="C1694" s="5" t="s">
        <v>3743</v>
      </c>
      <c r="D1694" s="4"/>
      <c r="E1694" s="4"/>
      <c r="F1694" s="4" t="s">
        <v>22</v>
      </c>
      <c r="G1694" s="6">
        <v>31.84</v>
      </c>
      <c r="H1694" s="7" t="s">
        <v>1606</v>
      </c>
      <c r="I1694" s="4" t="s">
        <v>1574</v>
      </c>
      <c r="J1694" s="4" t="s">
        <v>1624</v>
      </c>
      <c r="K1694" s="8"/>
      <c r="L1694" s="8" t="s">
        <v>3409</v>
      </c>
      <c r="M1694" s="9">
        <f t="shared" si="1"/>
        <v>35</v>
      </c>
    </row>
    <row r="1695" ht="12.75" customHeight="1">
      <c r="A1695" s="4">
        <f t="shared" si="2"/>
        <v>1694</v>
      </c>
      <c r="B1695" s="4" t="s">
        <v>3744</v>
      </c>
      <c r="C1695" s="5" t="s">
        <v>3745</v>
      </c>
      <c r="D1695" s="4"/>
      <c r="E1695" s="4"/>
      <c r="F1695" s="4" t="s">
        <v>22</v>
      </c>
      <c r="G1695" s="6">
        <v>13.1</v>
      </c>
      <c r="H1695" s="7" t="s">
        <v>1606</v>
      </c>
      <c r="I1695" s="4" t="s">
        <v>1574</v>
      </c>
      <c r="J1695" s="4" t="s">
        <v>1624</v>
      </c>
      <c r="K1695" s="8"/>
      <c r="L1695" s="8" t="s">
        <v>3409</v>
      </c>
      <c r="M1695" s="9">
        <f t="shared" si="1"/>
        <v>31</v>
      </c>
    </row>
    <row r="1696" ht="12.75" customHeight="1">
      <c r="A1696" s="4">
        <f t="shared" si="2"/>
        <v>1695</v>
      </c>
      <c r="B1696" s="4" t="s">
        <v>3746</v>
      </c>
      <c r="C1696" s="5" t="s">
        <v>3747</v>
      </c>
      <c r="D1696" s="4"/>
      <c r="E1696" s="4"/>
      <c r="F1696" s="4" t="s">
        <v>22</v>
      </c>
      <c r="G1696" s="6">
        <v>10.76</v>
      </c>
      <c r="H1696" s="7" t="s">
        <v>1606</v>
      </c>
      <c r="I1696" s="4" t="s">
        <v>1574</v>
      </c>
      <c r="J1696" s="4" t="s">
        <v>1624</v>
      </c>
      <c r="K1696" s="8"/>
      <c r="L1696" s="8" t="s">
        <v>3409</v>
      </c>
      <c r="M1696" s="9">
        <f t="shared" si="1"/>
        <v>33</v>
      </c>
    </row>
    <row r="1697" ht="12.75" customHeight="1">
      <c r="A1697" s="4">
        <f t="shared" si="2"/>
        <v>1696</v>
      </c>
      <c r="B1697" s="4" t="s">
        <v>3748</v>
      </c>
      <c r="C1697" s="5" t="s">
        <v>3749</v>
      </c>
      <c r="D1697" s="4"/>
      <c r="E1697" s="4"/>
      <c r="F1697" s="4" t="s">
        <v>22</v>
      </c>
      <c r="G1697" s="6">
        <v>41.0</v>
      </c>
      <c r="H1697" s="7" t="s">
        <v>1606</v>
      </c>
      <c r="I1697" s="4" t="s">
        <v>1574</v>
      </c>
      <c r="J1697" s="4" t="s">
        <v>1624</v>
      </c>
      <c r="K1697" s="8"/>
      <c r="L1697" s="8" t="s">
        <v>3409</v>
      </c>
      <c r="M1697" s="9">
        <f t="shared" si="1"/>
        <v>35</v>
      </c>
    </row>
    <row r="1698" ht="12.75" customHeight="1">
      <c r="A1698" s="4">
        <f t="shared" si="2"/>
        <v>1697</v>
      </c>
      <c r="B1698" s="4" t="s">
        <v>3750</v>
      </c>
      <c r="C1698" s="5" t="s">
        <v>3751</v>
      </c>
      <c r="D1698" s="4"/>
      <c r="E1698" s="4"/>
      <c r="F1698" s="4" t="s">
        <v>22</v>
      </c>
      <c r="G1698" s="6">
        <v>23.51</v>
      </c>
      <c r="H1698" s="7" t="s">
        <v>1606</v>
      </c>
      <c r="I1698" s="4" t="s">
        <v>1574</v>
      </c>
      <c r="J1698" s="4" t="s">
        <v>1624</v>
      </c>
      <c r="K1698" s="8"/>
      <c r="L1698" s="8" t="s">
        <v>3409</v>
      </c>
      <c r="M1698" s="9">
        <f t="shared" si="1"/>
        <v>31</v>
      </c>
    </row>
    <row r="1699" ht="12.75" customHeight="1">
      <c r="A1699" s="4">
        <f t="shared" si="2"/>
        <v>1698</v>
      </c>
      <c r="B1699" s="4" t="s">
        <v>3752</v>
      </c>
      <c r="C1699" s="5" t="s">
        <v>3753</v>
      </c>
      <c r="D1699" s="4"/>
      <c r="E1699" s="4"/>
      <c r="F1699" s="4" t="s">
        <v>22</v>
      </c>
      <c r="G1699" s="6">
        <v>17.88</v>
      </c>
      <c r="H1699" s="7" t="s">
        <v>1606</v>
      </c>
      <c r="I1699" s="4" t="s">
        <v>1574</v>
      </c>
      <c r="J1699" s="4" t="s">
        <v>1624</v>
      </c>
      <c r="K1699" s="8"/>
      <c r="L1699" s="8" t="s">
        <v>3409</v>
      </c>
      <c r="M1699" s="9">
        <f t="shared" si="1"/>
        <v>31</v>
      </c>
    </row>
    <row r="1700" ht="12.75" customHeight="1">
      <c r="A1700" s="4">
        <f t="shared" si="2"/>
        <v>1699</v>
      </c>
      <c r="B1700" s="4" t="s">
        <v>3754</v>
      </c>
      <c r="C1700" s="5" t="s">
        <v>3755</v>
      </c>
      <c r="D1700" s="4"/>
      <c r="E1700" s="4"/>
      <c r="F1700" s="4" t="s">
        <v>22</v>
      </c>
      <c r="G1700" s="6">
        <v>12.32</v>
      </c>
      <c r="H1700" s="7" t="s">
        <v>1606</v>
      </c>
      <c r="I1700" s="4" t="s">
        <v>1574</v>
      </c>
      <c r="J1700" s="4" t="s">
        <v>1624</v>
      </c>
      <c r="K1700" s="8"/>
      <c r="L1700" s="8" t="s">
        <v>3409</v>
      </c>
      <c r="M1700" s="9">
        <f t="shared" si="1"/>
        <v>33</v>
      </c>
    </row>
    <row r="1701" ht="12.75" customHeight="1">
      <c r="A1701" s="4">
        <f t="shared" si="2"/>
        <v>1700</v>
      </c>
      <c r="B1701" s="4" t="s">
        <v>3756</v>
      </c>
      <c r="C1701" s="5" t="s">
        <v>3757</v>
      </c>
      <c r="D1701" s="4"/>
      <c r="E1701" s="4"/>
      <c r="F1701" s="4" t="s">
        <v>22</v>
      </c>
      <c r="G1701" s="6">
        <v>22.57</v>
      </c>
      <c r="H1701" s="7" t="s">
        <v>1606</v>
      </c>
      <c r="I1701" s="4" t="s">
        <v>1574</v>
      </c>
      <c r="J1701" s="4" t="s">
        <v>1624</v>
      </c>
      <c r="K1701" s="8"/>
      <c r="L1701" s="8" t="s">
        <v>3409</v>
      </c>
      <c r="M1701" s="9">
        <f t="shared" si="1"/>
        <v>31</v>
      </c>
    </row>
    <row r="1702" ht="12.75" customHeight="1">
      <c r="A1702" s="4">
        <f t="shared" si="2"/>
        <v>1701</v>
      </c>
      <c r="B1702" s="4" t="s">
        <v>3758</v>
      </c>
      <c r="C1702" s="5" t="s">
        <v>3759</v>
      </c>
      <c r="D1702" s="4"/>
      <c r="E1702" s="4"/>
      <c r="F1702" s="4" t="s">
        <v>22</v>
      </c>
      <c r="G1702" s="6">
        <v>83.32</v>
      </c>
      <c r="H1702" s="7" t="s">
        <v>1606</v>
      </c>
      <c r="I1702" s="4" t="s">
        <v>1574</v>
      </c>
      <c r="J1702" s="4" t="s">
        <v>830</v>
      </c>
      <c r="K1702" s="8"/>
      <c r="L1702" s="8" t="s">
        <v>3760</v>
      </c>
      <c r="M1702" s="9">
        <f t="shared" si="1"/>
        <v>42</v>
      </c>
    </row>
    <row r="1703" ht="12.75" customHeight="1">
      <c r="A1703" s="4">
        <f t="shared" si="2"/>
        <v>1702</v>
      </c>
      <c r="B1703" s="4" t="s">
        <v>3761</v>
      </c>
      <c r="C1703" s="5" t="s">
        <v>3762</v>
      </c>
      <c r="D1703" s="4"/>
      <c r="E1703" s="4"/>
      <c r="F1703" s="4" t="s">
        <v>22</v>
      </c>
      <c r="G1703" s="6">
        <v>67.81</v>
      </c>
      <c r="H1703" s="7" t="s">
        <v>1606</v>
      </c>
      <c r="I1703" s="4" t="s">
        <v>1574</v>
      </c>
      <c r="J1703" s="4" t="s">
        <v>830</v>
      </c>
      <c r="K1703" s="8"/>
      <c r="L1703" s="8" t="s">
        <v>3760</v>
      </c>
      <c r="M1703" s="9">
        <f t="shared" si="1"/>
        <v>43</v>
      </c>
    </row>
    <row r="1704" ht="12.75" customHeight="1">
      <c r="A1704" s="4">
        <f t="shared" si="2"/>
        <v>1703</v>
      </c>
      <c r="B1704" s="4" t="s">
        <v>3763</v>
      </c>
      <c r="C1704" s="5" t="s">
        <v>3764</v>
      </c>
      <c r="D1704" s="4"/>
      <c r="E1704" s="4"/>
      <c r="F1704" s="4" t="s">
        <v>22</v>
      </c>
      <c r="G1704" s="6">
        <v>25.36</v>
      </c>
      <c r="H1704" s="7" t="s">
        <v>1606</v>
      </c>
      <c r="I1704" s="4" t="s">
        <v>1574</v>
      </c>
      <c r="J1704" s="4" t="s">
        <v>830</v>
      </c>
      <c r="K1704" s="8"/>
      <c r="L1704" s="8" t="s">
        <v>3760</v>
      </c>
      <c r="M1704" s="9">
        <f t="shared" si="1"/>
        <v>42</v>
      </c>
    </row>
    <row r="1705" ht="12.75" customHeight="1">
      <c r="A1705" s="4">
        <f t="shared" si="2"/>
        <v>1704</v>
      </c>
      <c r="B1705" s="4" t="s">
        <v>3765</v>
      </c>
      <c r="C1705" s="5" t="s">
        <v>3766</v>
      </c>
      <c r="D1705" s="4"/>
      <c r="E1705" s="4"/>
      <c r="F1705" s="4" t="s">
        <v>22</v>
      </c>
      <c r="G1705" s="6">
        <v>96.58</v>
      </c>
      <c r="H1705" s="7" t="s">
        <v>1606</v>
      </c>
      <c r="I1705" s="4" t="s">
        <v>1574</v>
      </c>
      <c r="J1705" s="4" t="s">
        <v>830</v>
      </c>
      <c r="K1705" s="8"/>
      <c r="L1705" s="8" t="s">
        <v>3760</v>
      </c>
      <c r="M1705" s="9">
        <f t="shared" si="1"/>
        <v>43</v>
      </c>
    </row>
    <row r="1706" ht="12.75" customHeight="1">
      <c r="A1706" s="4">
        <f t="shared" si="2"/>
        <v>1705</v>
      </c>
      <c r="B1706" s="4" t="s">
        <v>3767</v>
      </c>
      <c r="C1706" s="5" t="s">
        <v>3768</v>
      </c>
      <c r="D1706" s="4"/>
      <c r="E1706" s="4"/>
      <c r="F1706" s="4" t="s">
        <v>22</v>
      </c>
      <c r="G1706" s="6">
        <v>30.26</v>
      </c>
      <c r="H1706" s="7" t="s">
        <v>1606</v>
      </c>
      <c r="I1706" s="4" t="s">
        <v>1574</v>
      </c>
      <c r="J1706" s="4" t="s">
        <v>830</v>
      </c>
      <c r="K1706" s="8"/>
      <c r="L1706" s="8" t="s">
        <v>3760</v>
      </c>
      <c r="M1706" s="9">
        <f t="shared" si="1"/>
        <v>42</v>
      </c>
    </row>
    <row r="1707" ht="12.75" customHeight="1">
      <c r="A1707" s="4">
        <f t="shared" si="2"/>
        <v>1706</v>
      </c>
      <c r="B1707" s="4" t="s">
        <v>3769</v>
      </c>
      <c r="C1707" s="5" t="s">
        <v>3770</v>
      </c>
      <c r="D1707" s="4"/>
      <c r="E1707" s="4"/>
      <c r="F1707" s="4" t="s">
        <v>22</v>
      </c>
      <c r="G1707" s="6">
        <v>39.86</v>
      </c>
      <c r="H1707" s="7" t="s">
        <v>1606</v>
      </c>
      <c r="I1707" s="4" t="s">
        <v>1574</v>
      </c>
      <c r="J1707" s="4" t="s">
        <v>830</v>
      </c>
      <c r="K1707" s="8"/>
      <c r="L1707" s="8" t="s">
        <v>3760</v>
      </c>
      <c r="M1707" s="9">
        <f t="shared" si="1"/>
        <v>42</v>
      </c>
    </row>
    <row r="1708" ht="12.75" customHeight="1">
      <c r="A1708" s="4">
        <f t="shared" si="2"/>
        <v>1707</v>
      </c>
      <c r="B1708" s="4" t="s">
        <v>3771</v>
      </c>
      <c r="C1708" s="5" t="s">
        <v>3772</v>
      </c>
      <c r="D1708" s="4"/>
      <c r="E1708" s="4"/>
      <c r="F1708" s="4" t="s">
        <v>22</v>
      </c>
      <c r="G1708" s="6">
        <v>107.07</v>
      </c>
      <c r="H1708" s="7" t="s">
        <v>1606</v>
      </c>
      <c r="I1708" s="4" t="s">
        <v>1574</v>
      </c>
      <c r="J1708" s="4" t="s">
        <v>830</v>
      </c>
      <c r="K1708" s="8"/>
      <c r="L1708" s="8" t="s">
        <v>3760</v>
      </c>
      <c r="M1708" s="9">
        <f t="shared" si="1"/>
        <v>46</v>
      </c>
    </row>
    <row r="1709" ht="12.75" customHeight="1">
      <c r="A1709" s="4">
        <f t="shared" si="2"/>
        <v>1708</v>
      </c>
      <c r="B1709" s="4" t="s">
        <v>3773</v>
      </c>
      <c r="C1709" s="5" t="s">
        <v>3774</v>
      </c>
      <c r="D1709" s="4"/>
      <c r="E1709" s="4"/>
      <c r="F1709" s="4" t="s">
        <v>22</v>
      </c>
      <c r="G1709" s="6">
        <v>90.28</v>
      </c>
      <c r="H1709" s="7" t="s">
        <v>1606</v>
      </c>
      <c r="I1709" s="4" t="s">
        <v>1574</v>
      </c>
      <c r="J1709" s="4" t="s">
        <v>830</v>
      </c>
      <c r="K1709" s="8"/>
      <c r="L1709" s="8" t="s">
        <v>3760</v>
      </c>
      <c r="M1709" s="9">
        <f t="shared" si="1"/>
        <v>46</v>
      </c>
    </row>
    <row r="1710" ht="12.75" customHeight="1">
      <c r="A1710" s="4">
        <f t="shared" si="2"/>
        <v>1709</v>
      </c>
      <c r="B1710" s="4" t="s">
        <v>3775</v>
      </c>
      <c r="C1710" s="5" t="s">
        <v>3776</v>
      </c>
      <c r="D1710" s="4"/>
      <c r="E1710" s="4"/>
      <c r="F1710" s="4" t="s">
        <v>22</v>
      </c>
      <c r="G1710" s="6">
        <v>54.64</v>
      </c>
      <c r="H1710" s="7" t="s">
        <v>1606</v>
      </c>
      <c r="I1710" s="4" t="s">
        <v>1574</v>
      </c>
      <c r="J1710" s="4" t="s">
        <v>830</v>
      </c>
      <c r="K1710" s="8"/>
      <c r="L1710" s="8" t="s">
        <v>3760</v>
      </c>
      <c r="M1710" s="9">
        <f t="shared" si="1"/>
        <v>45</v>
      </c>
    </row>
    <row r="1711" ht="12.75" customHeight="1">
      <c r="A1711" s="4">
        <f t="shared" si="2"/>
        <v>1710</v>
      </c>
      <c r="B1711" s="4" t="s">
        <v>3777</v>
      </c>
      <c r="C1711" s="5" t="s">
        <v>3778</v>
      </c>
      <c r="D1711" s="4"/>
      <c r="E1711" s="4"/>
      <c r="F1711" s="4" t="s">
        <v>22</v>
      </c>
      <c r="G1711" s="6">
        <v>96.16</v>
      </c>
      <c r="H1711" s="7" t="s">
        <v>1606</v>
      </c>
      <c r="I1711" s="4" t="s">
        <v>1574</v>
      </c>
      <c r="J1711" s="4" t="s">
        <v>830</v>
      </c>
      <c r="K1711" s="8"/>
      <c r="L1711" s="8" t="s">
        <v>3760</v>
      </c>
      <c r="M1711" s="9">
        <f t="shared" si="1"/>
        <v>46</v>
      </c>
    </row>
    <row r="1712" ht="12.75" customHeight="1">
      <c r="A1712" s="4">
        <f t="shared" si="2"/>
        <v>1711</v>
      </c>
      <c r="B1712" s="4" t="s">
        <v>3779</v>
      </c>
      <c r="C1712" s="5" t="s">
        <v>3780</v>
      </c>
      <c r="D1712" s="4"/>
      <c r="E1712" s="4"/>
      <c r="F1712" s="4" t="s">
        <v>22</v>
      </c>
      <c r="G1712" s="6">
        <v>82.23</v>
      </c>
      <c r="H1712" s="7" t="s">
        <v>1606</v>
      </c>
      <c r="I1712" s="4" t="s">
        <v>1574</v>
      </c>
      <c r="J1712" s="4" t="s">
        <v>830</v>
      </c>
      <c r="K1712" s="8"/>
      <c r="L1712" s="8" t="s">
        <v>3760</v>
      </c>
      <c r="M1712" s="9">
        <f t="shared" si="1"/>
        <v>45</v>
      </c>
    </row>
    <row r="1713" ht="12.75" customHeight="1">
      <c r="A1713" s="4">
        <f t="shared" si="2"/>
        <v>1712</v>
      </c>
      <c r="B1713" s="4" t="s">
        <v>3781</v>
      </c>
      <c r="C1713" s="5" t="s">
        <v>3782</v>
      </c>
      <c r="D1713" s="4"/>
      <c r="E1713" s="4"/>
      <c r="F1713" s="4" t="s">
        <v>22</v>
      </c>
      <c r="G1713" s="6">
        <v>103.58</v>
      </c>
      <c r="H1713" s="7" t="s">
        <v>1606</v>
      </c>
      <c r="I1713" s="4" t="s">
        <v>1574</v>
      </c>
      <c r="J1713" s="4" t="s">
        <v>830</v>
      </c>
      <c r="K1713" s="8"/>
      <c r="L1713" s="8" t="s">
        <v>3760</v>
      </c>
      <c r="M1713" s="9">
        <f t="shared" si="1"/>
        <v>63</v>
      </c>
    </row>
    <row r="1714" ht="12.75" customHeight="1">
      <c r="A1714" s="4">
        <f t="shared" si="2"/>
        <v>1713</v>
      </c>
      <c r="B1714" s="4" t="s">
        <v>3783</v>
      </c>
      <c r="C1714" s="5" t="s">
        <v>3784</v>
      </c>
      <c r="D1714" s="4"/>
      <c r="E1714" s="4"/>
      <c r="F1714" s="4" t="s">
        <v>22</v>
      </c>
      <c r="G1714" s="6">
        <v>71.26</v>
      </c>
      <c r="H1714" s="7" t="s">
        <v>1606</v>
      </c>
      <c r="I1714" s="4" t="s">
        <v>1574</v>
      </c>
      <c r="J1714" s="4" t="s">
        <v>830</v>
      </c>
      <c r="K1714" s="8"/>
      <c r="L1714" s="8" t="s">
        <v>3760</v>
      </c>
      <c r="M1714" s="9">
        <f t="shared" si="1"/>
        <v>56</v>
      </c>
    </row>
    <row r="1715" ht="12.75" customHeight="1">
      <c r="A1715" s="4">
        <f t="shared" si="2"/>
        <v>1714</v>
      </c>
      <c r="B1715" s="4" t="s">
        <v>3785</v>
      </c>
      <c r="C1715" s="5" t="s">
        <v>3786</v>
      </c>
      <c r="D1715" s="4"/>
      <c r="E1715" s="4"/>
      <c r="F1715" s="4" t="s">
        <v>22</v>
      </c>
      <c r="G1715" s="6">
        <v>200.1</v>
      </c>
      <c r="H1715" s="7" t="s">
        <v>1606</v>
      </c>
      <c r="I1715" s="4" t="s">
        <v>1574</v>
      </c>
      <c r="J1715" s="4" t="s">
        <v>830</v>
      </c>
      <c r="K1715" s="8"/>
      <c r="L1715" s="8" t="s">
        <v>3760</v>
      </c>
      <c r="M1715" s="9">
        <f t="shared" si="1"/>
        <v>56</v>
      </c>
    </row>
    <row r="1716" ht="12.75" customHeight="1">
      <c r="A1716" s="4">
        <f t="shared" si="2"/>
        <v>1715</v>
      </c>
      <c r="B1716" s="4" t="s">
        <v>3787</v>
      </c>
      <c r="C1716" s="5" t="s">
        <v>3788</v>
      </c>
      <c r="D1716" s="4"/>
      <c r="E1716" s="4"/>
      <c r="F1716" s="4" t="s">
        <v>22</v>
      </c>
      <c r="G1716" s="6">
        <v>121.98</v>
      </c>
      <c r="H1716" s="7" t="s">
        <v>1606</v>
      </c>
      <c r="I1716" s="4" t="s">
        <v>1574</v>
      </c>
      <c r="J1716" s="4" t="s">
        <v>830</v>
      </c>
      <c r="K1716" s="8"/>
      <c r="L1716" s="8" t="s">
        <v>3760</v>
      </c>
      <c r="M1716" s="9">
        <f t="shared" si="1"/>
        <v>56</v>
      </c>
    </row>
    <row r="1717" ht="12.75" customHeight="1">
      <c r="A1717" s="4">
        <f t="shared" si="2"/>
        <v>1716</v>
      </c>
      <c r="B1717" s="4" t="s">
        <v>3789</v>
      </c>
      <c r="C1717" s="5" t="s">
        <v>3790</v>
      </c>
      <c r="D1717" s="4"/>
      <c r="E1717" s="4"/>
      <c r="F1717" s="4" t="s">
        <v>22</v>
      </c>
      <c r="G1717" s="6">
        <v>7.36</v>
      </c>
      <c r="H1717" s="7" t="s">
        <v>1606</v>
      </c>
      <c r="I1717" s="4" t="s">
        <v>1574</v>
      </c>
      <c r="J1717" s="4" t="s">
        <v>1575</v>
      </c>
      <c r="K1717" s="8"/>
      <c r="L1717" s="8" t="s">
        <v>2601</v>
      </c>
      <c r="M1717" s="9">
        <f t="shared" si="1"/>
        <v>17</v>
      </c>
    </row>
    <row r="1718" ht="12.75" customHeight="1">
      <c r="A1718" s="4">
        <f t="shared" si="2"/>
        <v>1717</v>
      </c>
      <c r="B1718" s="4" t="s">
        <v>3791</v>
      </c>
      <c r="C1718" s="5" t="s">
        <v>3792</v>
      </c>
      <c r="D1718" s="4"/>
      <c r="E1718" s="4"/>
      <c r="F1718" s="4" t="s">
        <v>22</v>
      </c>
      <c r="G1718" s="6">
        <v>8.73</v>
      </c>
      <c r="H1718" s="7" t="s">
        <v>1606</v>
      </c>
      <c r="I1718" s="4" t="s">
        <v>1574</v>
      </c>
      <c r="J1718" s="4" t="s">
        <v>830</v>
      </c>
      <c r="K1718" s="8"/>
      <c r="L1718" s="8" t="s">
        <v>3760</v>
      </c>
      <c r="M1718" s="9">
        <f t="shared" si="1"/>
        <v>59</v>
      </c>
    </row>
    <row r="1719" ht="12.75" customHeight="1">
      <c r="A1719" s="4">
        <f t="shared" si="2"/>
        <v>1718</v>
      </c>
      <c r="B1719" s="4" t="s">
        <v>3793</v>
      </c>
      <c r="C1719" s="5" t="s">
        <v>3794</v>
      </c>
      <c r="D1719" s="4"/>
      <c r="E1719" s="4"/>
      <c r="F1719" s="4" t="s">
        <v>22</v>
      </c>
      <c r="G1719" s="6">
        <v>8.73</v>
      </c>
      <c r="H1719" s="7" t="s">
        <v>1606</v>
      </c>
      <c r="I1719" s="4" t="s">
        <v>1574</v>
      </c>
      <c r="J1719" s="4" t="s">
        <v>830</v>
      </c>
      <c r="K1719" s="8"/>
      <c r="L1719" s="8" t="s">
        <v>3760</v>
      </c>
      <c r="M1719" s="9">
        <f t="shared" si="1"/>
        <v>59</v>
      </c>
    </row>
    <row r="1720" ht="12.75" customHeight="1">
      <c r="A1720" s="4">
        <f t="shared" si="2"/>
        <v>1719</v>
      </c>
      <c r="B1720" s="4" t="s">
        <v>3795</v>
      </c>
      <c r="C1720" s="5" t="s">
        <v>3796</v>
      </c>
      <c r="D1720" s="4"/>
      <c r="E1720" s="4"/>
      <c r="F1720" s="4" t="s">
        <v>22</v>
      </c>
      <c r="G1720" s="6">
        <v>5.09</v>
      </c>
      <c r="H1720" s="7" t="s">
        <v>1606</v>
      </c>
      <c r="I1720" s="4" t="s">
        <v>1574</v>
      </c>
      <c r="J1720" s="4" t="s">
        <v>830</v>
      </c>
      <c r="K1720" s="8"/>
      <c r="L1720" s="8" t="s">
        <v>3760</v>
      </c>
      <c r="M1720" s="9">
        <f t="shared" si="1"/>
        <v>56</v>
      </c>
    </row>
    <row r="1721" ht="12.75" customHeight="1">
      <c r="A1721" s="4">
        <f t="shared" si="2"/>
        <v>1720</v>
      </c>
      <c r="B1721" s="4" t="s">
        <v>3797</v>
      </c>
      <c r="C1721" s="5" t="s">
        <v>3798</v>
      </c>
      <c r="D1721" s="4"/>
      <c r="E1721" s="4"/>
      <c r="F1721" s="4" t="s">
        <v>22</v>
      </c>
      <c r="G1721" s="6">
        <v>8.73</v>
      </c>
      <c r="H1721" s="7" t="s">
        <v>1606</v>
      </c>
      <c r="I1721" s="4" t="s">
        <v>1574</v>
      </c>
      <c r="J1721" s="4" t="s">
        <v>830</v>
      </c>
      <c r="K1721" s="8"/>
      <c r="L1721" s="8" t="s">
        <v>3760</v>
      </c>
      <c r="M1721" s="9">
        <f t="shared" si="1"/>
        <v>59</v>
      </c>
    </row>
    <row r="1722" ht="12.75" customHeight="1">
      <c r="A1722" s="4">
        <f t="shared" si="2"/>
        <v>1721</v>
      </c>
      <c r="B1722" s="4" t="s">
        <v>3799</v>
      </c>
      <c r="C1722" s="5" t="s">
        <v>3800</v>
      </c>
      <c r="D1722" s="4"/>
      <c r="E1722" s="4"/>
      <c r="F1722" s="4" t="s">
        <v>22</v>
      </c>
      <c r="G1722" s="6">
        <v>4.98</v>
      </c>
      <c r="H1722" s="7" t="s">
        <v>1606</v>
      </c>
      <c r="I1722" s="4" t="s">
        <v>1574</v>
      </c>
      <c r="J1722" s="4" t="s">
        <v>830</v>
      </c>
      <c r="K1722" s="8"/>
      <c r="L1722" s="8" t="s">
        <v>3760</v>
      </c>
      <c r="M1722" s="9">
        <f t="shared" si="1"/>
        <v>56</v>
      </c>
    </row>
    <row r="1723" ht="12.75" customHeight="1">
      <c r="A1723" s="4">
        <f t="shared" si="2"/>
        <v>1722</v>
      </c>
      <c r="B1723" s="4" t="s">
        <v>3801</v>
      </c>
      <c r="C1723" s="5" t="s">
        <v>3802</v>
      </c>
      <c r="D1723" s="4"/>
      <c r="E1723" s="4"/>
      <c r="F1723" s="4" t="s">
        <v>22</v>
      </c>
      <c r="G1723" s="6">
        <v>11.55</v>
      </c>
      <c r="H1723" s="7" t="s">
        <v>1606</v>
      </c>
      <c r="I1723" s="4" t="s">
        <v>1574</v>
      </c>
      <c r="J1723" s="4" t="s">
        <v>830</v>
      </c>
      <c r="K1723" s="8"/>
      <c r="L1723" s="8" t="s">
        <v>3760</v>
      </c>
      <c r="M1723" s="9">
        <f t="shared" si="1"/>
        <v>58</v>
      </c>
    </row>
    <row r="1724" ht="12.75" customHeight="1">
      <c r="A1724" s="4">
        <f t="shared" si="2"/>
        <v>1723</v>
      </c>
      <c r="B1724" s="4" t="s">
        <v>3803</v>
      </c>
      <c r="C1724" s="5" t="s">
        <v>3804</v>
      </c>
      <c r="D1724" s="4"/>
      <c r="E1724" s="4"/>
      <c r="F1724" s="4" t="s">
        <v>22</v>
      </c>
      <c r="G1724" s="6">
        <v>9.09</v>
      </c>
      <c r="H1724" s="7" t="s">
        <v>1606</v>
      </c>
      <c r="I1724" s="4" t="s">
        <v>1574</v>
      </c>
      <c r="J1724" s="4" t="s">
        <v>830</v>
      </c>
      <c r="K1724" s="8"/>
      <c r="L1724" s="8" t="s">
        <v>3760</v>
      </c>
      <c r="M1724" s="9">
        <f t="shared" si="1"/>
        <v>59</v>
      </c>
    </row>
    <row r="1725" ht="12.75" customHeight="1">
      <c r="A1725" s="4">
        <f t="shared" si="2"/>
        <v>1724</v>
      </c>
      <c r="B1725" s="4" t="s">
        <v>3805</v>
      </c>
      <c r="C1725" s="5" t="s">
        <v>3806</v>
      </c>
      <c r="D1725" s="4"/>
      <c r="E1725" s="4"/>
      <c r="F1725" s="4" t="s">
        <v>22</v>
      </c>
      <c r="G1725" s="6">
        <v>5.09</v>
      </c>
      <c r="H1725" s="7" t="s">
        <v>1606</v>
      </c>
      <c r="I1725" s="4" t="s">
        <v>1574</v>
      </c>
      <c r="J1725" s="4" t="s">
        <v>830</v>
      </c>
      <c r="K1725" s="8"/>
      <c r="L1725" s="8" t="s">
        <v>3760</v>
      </c>
      <c r="M1725" s="9">
        <f t="shared" si="1"/>
        <v>56</v>
      </c>
    </row>
    <row r="1726" ht="12.75" customHeight="1">
      <c r="A1726" s="4">
        <f t="shared" si="2"/>
        <v>1725</v>
      </c>
      <c r="B1726" s="4" t="s">
        <v>3807</v>
      </c>
      <c r="C1726" s="5" t="s">
        <v>3808</v>
      </c>
      <c r="D1726" s="4"/>
      <c r="E1726" s="4"/>
      <c r="F1726" s="4" t="s">
        <v>22</v>
      </c>
      <c r="G1726" s="6">
        <v>11.55</v>
      </c>
      <c r="H1726" s="7" t="s">
        <v>1606</v>
      </c>
      <c r="I1726" s="4" t="s">
        <v>1574</v>
      </c>
      <c r="J1726" s="4" t="s">
        <v>830</v>
      </c>
      <c r="K1726" s="8"/>
      <c r="L1726" s="8" t="s">
        <v>3760</v>
      </c>
      <c r="M1726" s="9">
        <f t="shared" si="1"/>
        <v>58</v>
      </c>
    </row>
    <row r="1727" ht="12.75" customHeight="1">
      <c r="A1727" s="4">
        <f t="shared" si="2"/>
        <v>1726</v>
      </c>
      <c r="B1727" s="4" t="s">
        <v>3809</v>
      </c>
      <c r="C1727" s="5" t="s">
        <v>3810</v>
      </c>
      <c r="D1727" s="4"/>
      <c r="E1727" s="4"/>
      <c r="F1727" s="4" t="s">
        <v>22</v>
      </c>
      <c r="G1727" s="6">
        <v>11.74</v>
      </c>
      <c r="H1727" s="7" t="s">
        <v>1606</v>
      </c>
      <c r="I1727" s="4" t="s">
        <v>1574</v>
      </c>
      <c r="J1727" s="4" t="s">
        <v>830</v>
      </c>
      <c r="K1727" s="8"/>
      <c r="L1727" s="8" t="s">
        <v>3760</v>
      </c>
      <c r="M1727" s="9">
        <f t="shared" si="1"/>
        <v>59</v>
      </c>
    </row>
    <row r="1728" ht="12.75" customHeight="1">
      <c r="A1728" s="4">
        <f t="shared" si="2"/>
        <v>1727</v>
      </c>
      <c r="B1728" s="4" t="s">
        <v>3811</v>
      </c>
      <c r="C1728" s="5" t="s">
        <v>3812</v>
      </c>
      <c r="D1728" s="4"/>
      <c r="E1728" s="4"/>
      <c r="F1728" s="4" t="s">
        <v>22</v>
      </c>
      <c r="G1728" s="6">
        <v>9.09</v>
      </c>
      <c r="H1728" s="7" t="s">
        <v>1606</v>
      </c>
      <c r="I1728" s="4" t="s">
        <v>1574</v>
      </c>
      <c r="J1728" s="4" t="s">
        <v>830</v>
      </c>
      <c r="K1728" s="8"/>
      <c r="L1728" s="8" t="s">
        <v>3760</v>
      </c>
      <c r="M1728" s="9">
        <f t="shared" si="1"/>
        <v>58</v>
      </c>
    </row>
    <row r="1729" ht="12.75" customHeight="1">
      <c r="A1729" s="4">
        <f t="shared" si="2"/>
        <v>1728</v>
      </c>
      <c r="B1729" s="4" t="s">
        <v>3813</v>
      </c>
      <c r="C1729" s="5" t="s">
        <v>3814</v>
      </c>
      <c r="D1729" s="4"/>
      <c r="E1729" s="4"/>
      <c r="F1729" s="4" t="s">
        <v>22</v>
      </c>
      <c r="G1729" s="6">
        <v>8.4</v>
      </c>
      <c r="H1729" s="7" t="s">
        <v>1606</v>
      </c>
      <c r="I1729" s="4" t="s">
        <v>1574</v>
      </c>
      <c r="J1729" s="4" t="s">
        <v>830</v>
      </c>
      <c r="K1729" s="8"/>
      <c r="L1729" s="8" t="s">
        <v>3760</v>
      </c>
      <c r="M1729" s="9">
        <f t="shared" si="1"/>
        <v>59</v>
      </c>
    </row>
    <row r="1730" ht="12.75" customHeight="1">
      <c r="A1730" s="4">
        <f t="shared" si="2"/>
        <v>1729</v>
      </c>
      <c r="B1730" s="4" t="s">
        <v>3815</v>
      </c>
      <c r="C1730" s="5" t="s">
        <v>3816</v>
      </c>
      <c r="D1730" s="4"/>
      <c r="E1730" s="4"/>
      <c r="F1730" s="4" t="s">
        <v>22</v>
      </c>
      <c r="G1730" s="6">
        <v>16.12</v>
      </c>
      <c r="H1730" s="7" t="s">
        <v>1606</v>
      </c>
      <c r="I1730" s="4" t="s">
        <v>1574</v>
      </c>
      <c r="J1730" s="4" t="s">
        <v>830</v>
      </c>
      <c r="K1730" s="8"/>
      <c r="L1730" s="8" t="s">
        <v>3760</v>
      </c>
      <c r="M1730" s="9">
        <f t="shared" si="1"/>
        <v>59</v>
      </c>
    </row>
    <row r="1731" ht="12.75" customHeight="1">
      <c r="A1731" s="4">
        <f t="shared" si="2"/>
        <v>1730</v>
      </c>
      <c r="B1731" s="4" t="s">
        <v>3817</v>
      </c>
      <c r="C1731" s="5" t="s">
        <v>3818</v>
      </c>
      <c r="D1731" s="4"/>
      <c r="E1731" s="4"/>
      <c r="F1731" s="4" t="s">
        <v>22</v>
      </c>
      <c r="G1731" s="6">
        <v>59.62</v>
      </c>
      <c r="H1731" s="7" t="s">
        <v>1606</v>
      </c>
      <c r="I1731" s="4" t="s">
        <v>1574</v>
      </c>
      <c r="J1731" s="4" t="s">
        <v>830</v>
      </c>
      <c r="K1731" s="8"/>
      <c r="L1731" s="8" t="s">
        <v>3760</v>
      </c>
      <c r="M1731" s="9">
        <f t="shared" si="1"/>
        <v>66</v>
      </c>
    </row>
    <row r="1732" ht="12.75" customHeight="1">
      <c r="A1732" s="4">
        <f t="shared" si="2"/>
        <v>1731</v>
      </c>
      <c r="B1732" s="4" t="s">
        <v>3819</v>
      </c>
      <c r="C1732" s="5" t="s">
        <v>3820</v>
      </c>
      <c r="D1732" s="4"/>
      <c r="E1732" s="4"/>
      <c r="F1732" s="4" t="s">
        <v>22</v>
      </c>
      <c r="G1732" s="6">
        <v>7.82</v>
      </c>
      <c r="H1732" s="7" t="s">
        <v>1606</v>
      </c>
      <c r="I1732" s="4" t="s">
        <v>1574</v>
      </c>
      <c r="J1732" s="4" t="s">
        <v>830</v>
      </c>
      <c r="K1732" s="8"/>
      <c r="L1732" s="8" t="s">
        <v>3760</v>
      </c>
      <c r="M1732" s="9">
        <f t="shared" si="1"/>
        <v>59</v>
      </c>
    </row>
    <row r="1733" ht="12.75" customHeight="1">
      <c r="A1733" s="4">
        <f t="shared" si="2"/>
        <v>1732</v>
      </c>
      <c r="B1733" s="4" t="s">
        <v>3821</v>
      </c>
      <c r="C1733" s="5" t="s">
        <v>3822</v>
      </c>
      <c r="D1733" s="4"/>
      <c r="E1733" s="4"/>
      <c r="F1733" s="4" t="s">
        <v>22</v>
      </c>
      <c r="G1733" s="6">
        <v>16.45</v>
      </c>
      <c r="H1733" s="7" t="s">
        <v>1606</v>
      </c>
      <c r="I1733" s="4" t="s">
        <v>1574</v>
      </c>
      <c r="J1733" s="4" t="s">
        <v>830</v>
      </c>
      <c r="K1733" s="8"/>
      <c r="L1733" s="8" t="s">
        <v>3760</v>
      </c>
      <c r="M1733" s="9">
        <f t="shared" si="1"/>
        <v>59</v>
      </c>
    </row>
    <row r="1734" ht="12.75" customHeight="1">
      <c r="A1734" s="4">
        <f t="shared" si="2"/>
        <v>1733</v>
      </c>
      <c r="B1734" s="4" t="s">
        <v>3823</v>
      </c>
      <c r="C1734" s="5" t="s">
        <v>3824</v>
      </c>
      <c r="D1734" s="4"/>
      <c r="E1734" s="4"/>
      <c r="F1734" s="4" t="s">
        <v>22</v>
      </c>
      <c r="G1734" s="6">
        <v>12.38</v>
      </c>
      <c r="H1734" s="7" t="s">
        <v>1606</v>
      </c>
      <c r="I1734" s="4" t="s">
        <v>1574</v>
      </c>
      <c r="J1734" s="4" t="s">
        <v>830</v>
      </c>
      <c r="K1734" s="8"/>
      <c r="L1734" s="8" t="s">
        <v>3760</v>
      </c>
      <c r="M1734" s="9">
        <f t="shared" si="1"/>
        <v>37</v>
      </c>
    </row>
    <row r="1735" ht="12.75" customHeight="1">
      <c r="A1735" s="4">
        <f t="shared" si="2"/>
        <v>1734</v>
      </c>
      <c r="B1735" s="4" t="s">
        <v>3825</v>
      </c>
      <c r="C1735" s="5" t="s">
        <v>3826</v>
      </c>
      <c r="D1735" s="4"/>
      <c r="E1735" s="4"/>
      <c r="F1735" s="4" t="s">
        <v>22</v>
      </c>
      <c r="G1735" s="6">
        <v>7.81</v>
      </c>
      <c r="H1735" s="7" t="s">
        <v>1606</v>
      </c>
      <c r="I1735" s="4" t="s">
        <v>1574</v>
      </c>
      <c r="J1735" s="4" t="s">
        <v>830</v>
      </c>
      <c r="K1735" s="8"/>
      <c r="L1735" s="8" t="s">
        <v>3760</v>
      </c>
      <c r="M1735" s="9">
        <f t="shared" si="1"/>
        <v>59</v>
      </c>
    </row>
    <row r="1736" ht="12.75" customHeight="1">
      <c r="A1736" s="4">
        <f t="shared" si="2"/>
        <v>1735</v>
      </c>
      <c r="B1736" s="4" t="s">
        <v>3827</v>
      </c>
      <c r="C1736" s="5" t="s">
        <v>3828</v>
      </c>
      <c r="D1736" s="4"/>
      <c r="E1736" s="4"/>
      <c r="F1736" s="4" t="s">
        <v>22</v>
      </c>
      <c r="G1736" s="6">
        <v>16.46</v>
      </c>
      <c r="H1736" s="7" t="s">
        <v>1606</v>
      </c>
      <c r="I1736" s="4" t="s">
        <v>1574</v>
      </c>
      <c r="J1736" s="4" t="s">
        <v>830</v>
      </c>
      <c r="K1736" s="8"/>
      <c r="L1736" s="8" t="s">
        <v>3760</v>
      </c>
      <c r="M1736" s="9">
        <f t="shared" si="1"/>
        <v>59</v>
      </c>
    </row>
    <row r="1737" ht="12.75" customHeight="1">
      <c r="A1737" s="4">
        <f t="shared" si="2"/>
        <v>1736</v>
      </c>
      <c r="B1737" s="4" t="s">
        <v>3829</v>
      </c>
      <c r="C1737" s="5" t="s">
        <v>3830</v>
      </c>
      <c r="D1737" s="4"/>
      <c r="E1737" s="4"/>
      <c r="F1737" s="4" t="s">
        <v>22</v>
      </c>
      <c r="G1737" s="6">
        <v>24.93</v>
      </c>
      <c r="H1737" s="7" t="s">
        <v>1606</v>
      </c>
      <c r="I1737" s="4" t="s">
        <v>1574</v>
      </c>
      <c r="J1737" s="4" t="s">
        <v>830</v>
      </c>
      <c r="K1737" s="8"/>
      <c r="L1737" s="8" t="s">
        <v>3760</v>
      </c>
      <c r="M1737" s="9">
        <f t="shared" si="1"/>
        <v>59</v>
      </c>
    </row>
    <row r="1738" ht="12.75" customHeight="1">
      <c r="A1738" s="4">
        <f t="shared" si="2"/>
        <v>1737</v>
      </c>
      <c r="B1738" s="4" t="s">
        <v>3831</v>
      </c>
      <c r="C1738" s="5" t="s">
        <v>3832</v>
      </c>
      <c r="D1738" s="4"/>
      <c r="E1738" s="4"/>
      <c r="F1738" s="4" t="s">
        <v>22</v>
      </c>
      <c r="G1738" s="6">
        <v>7.81</v>
      </c>
      <c r="H1738" s="7" t="s">
        <v>1606</v>
      </c>
      <c r="I1738" s="4" t="s">
        <v>1574</v>
      </c>
      <c r="J1738" s="4" t="s">
        <v>830</v>
      </c>
      <c r="K1738" s="8"/>
      <c r="L1738" s="8" t="s">
        <v>3760</v>
      </c>
      <c r="M1738" s="9">
        <f t="shared" si="1"/>
        <v>59</v>
      </c>
    </row>
    <row r="1739" ht="12.75" customHeight="1">
      <c r="A1739" s="4">
        <f t="shared" si="2"/>
        <v>1738</v>
      </c>
      <c r="B1739" s="4" t="s">
        <v>3833</v>
      </c>
      <c r="C1739" s="5" t="s">
        <v>3834</v>
      </c>
      <c r="D1739" s="4"/>
      <c r="E1739" s="4"/>
      <c r="F1739" s="4" t="s">
        <v>22</v>
      </c>
      <c r="G1739" s="6">
        <v>16.45</v>
      </c>
      <c r="H1739" s="7" t="s">
        <v>1606</v>
      </c>
      <c r="I1739" s="4" t="s">
        <v>1574</v>
      </c>
      <c r="J1739" s="4" t="s">
        <v>830</v>
      </c>
      <c r="K1739" s="8"/>
      <c r="L1739" s="8" t="s">
        <v>3760</v>
      </c>
      <c r="M1739" s="9">
        <f t="shared" si="1"/>
        <v>59</v>
      </c>
    </row>
    <row r="1740" ht="12.75" customHeight="1">
      <c r="A1740" s="4">
        <f t="shared" si="2"/>
        <v>1739</v>
      </c>
      <c r="B1740" s="4" t="s">
        <v>3835</v>
      </c>
      <c r="C1740" s="5" t="s">
        <v>3836</v>
      </c>
      <c r="D1740" s="4"/>
      <c r="E1740" s="4"/>
      <c r="F1740" s="4" t="s">
        <v>22</v>
      </c>
      <c r="G1740" s="6">
        <v>25.84</v>
      </c>
      <c r="H1740" s="7" t="s">
        <v>1606</v>
      </c>
      <c r="I1740" s="4" t="s">
        <v>1574</v>
      </c>
      <c r="J1740" s="4" t="s">
        <v>830</v>
      </c>
      <c r="K1740" s="8"/>
      <c r="L1740" s="8" t="s">
        <v>3760</v>
      </c>
      <c r="M1740" s="9">
        <f t="shared" si="1"/>
        <v>58</v>
      </c>
    </row>
    <row r="1741" ht="12.75" customHeight="1">
      <c r="A1741" s="4">
        <f t="shared" si="2"/>
        <v>1740</v>
      </c>
      <c r="B1741" s="4" t="s">
        <v>3837</v>
      </c>
      <c r="C1741" s="5" t="s">
        <v>3838</v>
      </c>
      <c r="D1741" s="4"/>
      <c r="E1741" s="4"/>
      <c r="F1741" s="4" t="s">
        <v>22</v>
      </c>
      <c r="G1741" s="6">
        <v>78.17</v>
      </c>
      <c r="H1741" s="7" t="s">
        <v>1606</v>
      </c>
      <c r="I1741" s="4" t="s">
        <v>1574</v>
      </c>
      <c r="J1741" s="4" t="s">
        <v>830</v>
      </c>
      <c r="K1741" s="8"/>
      <c r="L1741" s="8" t="s">
        <v>3760</v>
      </c>
      <c r="M1741" s="9">
        <f t="shared" si="1"/>
        <v>65</v>
      </c>
    </row>
    <row r="1742" ht="12.75" customHeight="1">
      <c r="A1742" s="4">
        <f t="shared" si="2"/>
        <v>1741</v>
      </c>
      <c r="B1742" s="4" t="s">
        <v>3839</v>
      </c>
      <c r="C1742" s="5" t="s">
        <v>3840</v>
      </c>
      <c r="D1742" s="4"/>
      <c r="E1742" s="4"/>
      <c r="F1742" s="4" t="s">
        <v>22</v>
      </c>
      <c r="G1742" s="6">
        <v>8.99</v>
      </c>
      <c r="H1742" s="7" t="s">
        <v>1606</v>
      </c>
      <c r="I1742" s="4" t="s">
        <v>1574</v>
      </c>
      <c r="J1742" s="4" t="s">
        <v>830</v>
      </c>
      <c r="K1742" s="8"/>
      <c r="L1742" s="8" t="s">
        <v>3760</v>
      </c>
      <c r="M1742" s="9">
        <f t="shared" si="1"/>
        <v>59</v>
      </c>
    </row>
    <row r="1743" ht="12.75" customHeight="1">
      <c r="A1743" s="4">
        <f t="shared" si="2"/>
        <v>1742</v>
      </c>
      <c r="B1743" s="4" t="s">
        <v>3841</v>
      </c>
      <c r="C1743" s="5" t="s">
        <v>3842</v>
      </c>
      <c r="D1743" s="4"/>
      <c r="E1743" s="4"/>
      <c r="F1743" s="4" t="s">
        <v>22</v>
      </c>
      <c r="G1743" s="6">
        <v>16.45</v>
      </c>
      <c r="H1743" s="7" t="s">
        <v>1606</v>
      </c>
      <c r="I1743" s="4" t="s">
        <v>1574</v>
      </c>
      <c r="J1743" s="4" t="s">
        <v>830</v>
      </c>
      <c r="K1743" s="8"/>
      <c r="L1743" s="8" t="s">
        <v>3760</v>
      </c>
      <c r="M1743" s="9">
        <f t="shared" si="1"/>
        <v>59</v>
      </c>
    </row>
    <row r="1744" ht="12.75" customHeight="1">
      <c r="A1744" s="4">
        <f t="shared" si="2"/>
        <v>1743</v>
      </c>
      <c r="B1744" s="4" t="s">
        <v>3843</v>
      </c>
      <c r="C1744" s="5" t="s">
        <v>3844</v>
      </c>
      <c r="D1744" s="4"/>
      <c r="E1744" s="4"/>
      <c r="F1744" s="4" t="s">
        <v>22</v>
      </c>
      <c r="G1744" s="6">
        <v>60.9</v>
      </c>
      <c r="H1744" s="7" t="s">
        <v>1606</v>
      </c>
      <c r="I1744" s="4" t="s">
        <v>1574</v>
      </c>
      <c r="J1744" s="4" t="s">
        <v>830</v>
      </c>
      <c r="K1744" s="8"/>
      <c r="L1744" s="8" t="s">
        <v>3760</v>
      </c>
      <c r="M1744" s="9">
        <f t="shared" si="1"/>
        <v>66</v>
      </c>
    </row>
    <row r="1745" ht="12.75" customHeight="1">
      <c r="A1745" s="4">
        <f t="shared" si="2"/>
        <v>1744</v>
      </c>
      <c r="B1745" s="4" t="s">
        <v>3845</v>
      </c>
      <c r="C1745" s="5" t="s">
        <v>3846</v>
      </c>
      <c r="D1745" s="4"/>
      <c r="E1745" s="4"/>
      <c r="F1745" s="4" t="s">
        <v>22</v>
      </c>
      <c r="G1745" s="6">
        <v>5.94</v>
      </c>
      <c r="H1745" s="7" t="s">
        <v>1606</v>
      </c>
      <c r="I1745" s="4" t="s">
        <v>1574</v>
      </c>
      <c r="J1745" s="4" t="s">
        <v>830</v>
      </c>
      <c r="K1745" s="8"/>
      <c r="L1745" s="8" t="s">
        <v>3760</v>
      </c>
      <c r="M1745" s="9">
        <f t="shared" si="1"/>
        <v>58</v>
      </c>
    </row>
    <row r="1746" ht="12.75" customHeight="1">
      <c r="A1746" s="4">
        <f t="shared" si="2"/>
        <v>1745</v>
      </c>
      <c r="B1746" s="4" t="s">
        <v>3847</v>
      </c>
      <c r="C1746" s="5" t="s">
        <v>3848</v>
      </c>
      <c r="D1746" s="4"/>
      <c r="E1746" s="4"/>
      <c r="F1746" s="4" t="s">
        <v>22</v>
      </c>
      <c r="G1746" s="6">
        <v>10.34</v>
      </c>
      <c r="H1746" s="7" t="s">
        <v>1606</v>
      </c>
      <c r="I1746" s="4" t="s">
        <v>1574</v>
      </c>
      <c r="J1746" s="4" t="s">
        <v>830</v>
      </c>
      <c r="K1746" s="8"/>
      <c r="L1746" s="8" t="s">
        <v>3760</v>
      </c>
      <c r="M1746" s="9">
        <f t="shared" si="1"/>
        <v>59</v>
      </c>
    </row>
    <row r="1747" ht="12.75" customHeight="1">
      <c r="A1747" s="4">
        <f t="shared" si="2"/>
        <v>1746</v>
      </c>
      <c r="B1747" s="4" t="s">
        <v>3849</v>
      </c>
      <c r="C1747" s="5" t="s">
        <v>3850</v>
      </c>
      <c r="D1747" s="4"/>
      <c r="E1747" s="4"/>
      <c r="F1747" s="4" t="s">
        <v>22</v>
      </c>
      <c r="G1747" s="6">
        <v>21.82</v>
      </c>
      <c r="H1747" s="7" t="s">
        <v>1606</v>
      </c>
      <c r="I1747" s="4" t="s">
        <v>1574</v>
      </c>
      <c r="J1747" s="4" t="s">
        <v>830</v>
      </c>
      <c r="K1747" s="8"/>
      <c r="L1747" s="8" t="s">
        <v>3760</v>
      </c>
      <c r="M1747" s="9">
        <f t="shared" si="1"/>
        <v>59</v>
      </c>
    </row>
    <row r="1748" ht="12.75" customHeight="1">
      <c r="A1748" s="4">
        <f t="shared" si="2"/>
        <v>1747</v>
      </c>
      <c r="B1748" s="4" t="s">
        <v>3851</v>
      </c>
      <c r="C1748" s="5" t="s">
        <v>3852</v>
      </c>
      <c r="D1748" s="4"/>
      <c r="E1748" s="4"/>
      <c r="F1748" s="4" t="s">
        <v>22</v>
      </c>
      <c r="G1748" s="6">
        <v>79.89</v>
      </c>
      <c r="H1748" s="7" t="s">
        <v>1606</v>
      </c>
      <c r="I1748" s="4" t="s">
        <v>1574</v>
      </c>
      <c r="J1748" s="4" t="s">
        <v>830</v>
      </c>
      <c r="K1748" s="8"/>
      <c r="L1748" s="8" t="s">
        <v>3760</v>
      </c>
      <c r="M1748" s="9">
        <f t="shared" si="1"/>
        <v>65</v>
      </c>
    </row>
    <row r="1749" ht="12.75" customHeight="1">
      <c r="A1749" s="4">
        <f t="shared" si="2"/>
        <v>1748</v>
      </c>
      <c r="B1749" s="4" t="s">
        <v>3853</v>
      </c>
      <c r="C1749" s="5" t="s">
        <v>3854</v>
      </c>
      <c r="D1749" s="4"/>
      <c r="E1749" s="4"/>
      <c r="F1749" s="4" t="s">
        <v>22</v>
      </c>
      <c r="G1749" s="6">
        <v>11.82</v>
      </c>
      <c r="H1749" s="7" t="s">
        <v>1606</v>
      </c>
      <c r="I1749" s="4" t="s">
        <v>1574</v>
      </c>
      <c r="J1749" s="4" t="s">
        <v>830</v>
      </c>
      <c r="K1749" s="8"/>
      <c r="L1749" s="8" t="s">
        <v>3760</v>
      </c>
      <c r="M1749" s="9">
        <f t="shared" si="1"/>
        <v>59</v>
      </c>
    </row>
    <row r="1750" ht="12.75" customHeight="1">
      <c r="A1750" s="4">
        <f t="shared" si="2"/>
        <v>1749</v>
      </c>
      <c r="B1750" s="4" t="s">
        <v>3855</v>
      </c>
      <c r="C1750" s="5" t="s">
        <v>3856</v>
      </c>
      <c r="D1750" s="4"/>
      <c r="E1750" s="4"/>
      <c r="F1750" s="4" t="s">
        <v>22</v>
      </c>
      <c r="G1750" s="6">
        <v>21.72</v>
      </c>
      <c r="H1750" s="7" t="s">
        <v>1606</v>
      </c>
      <c r="I1750" s="4" t="s">
        <v>1574</v>
      </c>
      <c r="J1750" s="4" t="s">
        <v>830</v>
      </c>
      <c r="K1750" s="8"/>
      <c r="L1750" s="8" t="s">
        <v>3760</v>
      </c>
      <c r="M1750" s="9">
        <f t="shared" si="1"/>
        <v>59</v>
      </c>
    </row>
    <row r="1751" ht="12.75" customHeight="1">
      <c r="A1751" s="4">
        <f t="shared" si="2"/>
        <v>1750</v>
      </c>
      <c r="B1751" s="4" t="s">
        <v>3857</v>
      </c>
      <c r="C1751" s="5" t="s">
        <v>3858</v>
      </c>
      <c r="D1751" s="4"/>
      <c r="E1751" s="4"/>
      <c r="F1751" s="4" t="s">
        <v>22</v>
      </c>
      <c r="G1751" s="6">
        <v>14.64</v>
      </c>
      <c r="H1751" s="7" t="s">
        <v>1606</v>
      </c>
      <c r="I1751" s="4" t="s">
        <v>1574</v>
      </c>
      <c r="J1751" s="4" t="s">
        <v>830</v>
      </c>
      <c r="K1751" s="8"/>
      <c r="L1751" s="8" t="s">
        <v>3760</v>
      </c>
      <c r="M1751" s="9">
        <f t="shared" si="1"/>
        <v>59</v>
      </c>
    </row>
    <row r="1752" ht="12.75" customHeight="1">
      <c r="A1752" s="4">
        <f t="shared" si="2"/>
        <v>1751</v>
      </c>
      <c r="B1752" s="4" t="s">
        <v>3859</v>
      </c>
      <c r="C1752" s="5" t="s">
        <v>3860</v>
      </c>
      <c r="D1752" s="4"/>
      <c r="E1752" s="4"/>
      <c r="F1752" s="4" t="s">
        <v>22</v>
      </c>
      <c r="G1752" s="6">
        <v>22.91</v>
      </c>
      <c r="H1752" s="7" t="s">
        <v>1606</v>
      </c>
      <c r="I1752" s="4" t="s">
        <v>1574</v>
      </c>
      <c r="J1752" s="4" t="s">
        <v>830</v>
      </c>
      <c r="K1752" s="8"/>
      <c r="L1752" s="8" t="s">
        <v>3760</v>
      </c>
      <c r="M1752" s="9">
        <f t="shared" si="1"/>
        <v>59</v>
      </c>
    </row>
    <row r="1753" ht="12.75" customHeight="1">
      <c r="A1753" s="4">
        <f t="shared" si="2"/>
        <v>1752</v>
      </c>
      <c r="B1753" s="4" t="s">
        <v>3861</v>
      </c>
      <c r="C1753" s="5" t="s">
        <v>3862</v>
      </c>
      <c r="D1753" s="4"/>
      <c r="E1753" s="4"/>
      <c r="F1753" s="4" t="s">
        <v>22</v>
      </c>
      <c r="G1753" s="6">
        <v>12.65</v>
      </c>
      <c r="H1753" s="7" t="s">
        <v>1606</v>
      </c>
      <c r="I1753" s="4" t="s">
        <v>1574</v>
      </c>
      <c r="J1753" s="4" t="s">
        <v>830</v>
      </c>
      <c r="K1753" s="8"/>
      <c r="L1753" s="8" t="s">
        <v>3760</v>
      </c>
      <c r="M1753" s="9">
        <f t="shared" si="1"/>
        <v>58</v>
      </c>
    </row>
    <row r="1754" ht="12.75" customHeight="1">
      <c r="A1754" s="4">
        <f t="shared" si="2"/>
        <v>1753</v>
      </c>
      <c r="B1754" s="4" t="s">
        <v>3863</v>
      </c>
      <c r="C1754" s="5" t="s">
        <v>3864</v>
      </c>
      <c r="D1754" s="4"/>
      <c r="E1754" s="4"/>
      <c r="F1754" s="4" t="s">
        <v>22</v>
      </c>
      <c r="G1754" s="6">
        <v>19.54</v>
      </c>
      <c r="H1754" s="7" t="s">
        <v>1606</v>
      </c>
      <c r="I1754" s="4" t="s">
        <v>1574</v>
      </c>
      <c r="J1754" s="4" t="s">
        <v>830</v>
      </c>
      <c r="K1754" s="8"/>
      <c r="L1754" s="8" t="s">
        <v>3760</v>
      </c>
      <c r="M1754" s="9">
        <f t="shared" si="1"/>
        <v>58</v>
      </c>
    </row>
    <row r="1755" ht="12.75" customHeight="1">
      <c r="A1755" s="4">
        <f t="shared" si="2"/>
        <v>1754</v>
      </c>
      <c r="B1755" s="4" t="s">
        <v>3865</v>
      </c>
      <c r="C1755" s="5" t="s">
        <v>3866</v>
      </c>
      <c r="D1755" s="4"/>
      <c r="E1755" s="4"/>
      <c r="F1755" s="4" t="s">
        <v>22</v>
      </c>
      <c r="G1755" s="6">
        <v>66.36</v>
      </c>
      <c r="H1755" s="7" t="s">
        <v>1606</v>
      </c>
      <c r="I1755" s="4" t="s">
        <v>1574</v>
      </c>
      <c r="J1755" s="4" t="s">
        <v>830</v>
      </c>
      <c r="K1755" s="8"/>
      <c r="L1755" s="8" t="s">
        <v>3760</v>
      </c>
      <c r="M1755" s="9">
        <f t="shared" si="1"/>
        <v>65</v>
      </c>
    </row>
    <row r="1756" ht="12.75" customHeight="1">
      <c r="A1756" s="4">
        <f t="shared" si="2"/>
        <v>1755</v>
      </c>
      <c r="B1756" s="4" t="s">
        <v>3867</v>
      </c>
      <c r="C1756" s="5" t="s">
        <v>3868</v>
      </c>
      <c r="D1756" s="4"/>
      <c r="E1756" s="4"/>
      <c r="F1756" s="4" t="s">
        <v>22</v>
      </c>
      <c r="G1756" s="6">
        <v>61.29</v>
      </c>
      <c r="H1756" s="7" t="s">
        <v>1606</v>
      </c>
      <c r="I1756" s="4" t="s">
        <v>1574</v>
      </c>
      <c r="J1756" s="4" t="s">
        <v>830</v>
      </c>
      <c r="K1756" s="8"/>
      <c r="L1756" s="8" t="s">
        <v>3760</v>
      </c>
      <c r="M1756" s="9">
        <f t="shared" si="1"/>
        <v>59</v>
      </c>
    </row>
    <row r="1757" ht="12.75" customHeight="1">
      <c r="A1757" s="4">
        <f t="shared" si="2"/>
        <v>1756</v>
      </c>
      <c r="B1757" s="4" t="s">
        <v>3869</v>
      </c>
      <c r="C1757" s="5" t="s">
        <v>3870</v>
      </c>
      <c r="D1757" s="4"/>
      <c r="E1757" s="4"/>
      <c r="F1757" s="4" t="s">
        <v>22</v>
      </c>
      <c r="G1757" s="6">
        <v>102.89</v>
      </c>
      <c r="H1757" s="7" t="s">
        <v>1606</v>
      </c>
      <c r="I1757" s="4" t="s">
        <v>1574</v>
      </c>
      <c r="J1757" s="4" t="s">
        <v>830</v>
      </c>
      <c r="K1757" s="8"/>
      <c r="L1757" s="8" t="s">
        <v>3760</v>
      </c>
      <c r="M1757" s="9">
        <f t="shared" si="1"/>
        <v>60</v>
      </c>
    </row>
    <row r="1758" ht="12.75" customHeight="1">
      <c r="A1758" s="4">
        <f t="shared" si="2"/>
        <v>1757</v>
      </c>
      <c r="B1758" s="4" t="s">
        <v>3871</v>
      </c>
      <c r="C1758" s="5" t="s">
        <v>3872</v>
      </c>
      <c r="D1758" s="4"/>
      <c r="E1758" s="4"/>
      <c r="F1758" s="4" t="s">
        <v>22</v>
      </c>
      <c r="G1758" s="6">
        <v>29.09</v>
      </c>
      <c r="H1758" s="7" t="s">
        <v>1606</v>
      </c>
      <c r="I1758" s="4" t="s">
        <v>1574</v>
      </c>
      <c r="J1758" s="4" t="s">
        <v>830</v>
      </c>
      <c r="K1758" s="8"/>
      <c r="L1758" s="8" t="s">
        <v>3760</v>
      </c>
      <c r="M1758" s="9">
        <f t="shared" si="1"/>
        <v>59</v>
      </c>
    </row>
    <row r="1759" ht="12.75" customHeight="1">
      <c r="A1759" s="4">
        <f t="shared" si="2"/>
        <v>1758</v>
      </c>
      <c r="B1759" s="4" t="s">
        <v>3873</v>
      </c>
      <c r="C1759" s="5" t="s">
        <v>3874</v>
      </c>
      <c r="D1759" s="4"/>
      <c r="E1759" s="4"/>
      <c r="F1759" s="4" t="s">
        <v>22</v>
      </c>
      <c r="G1759" s="6">
        <v>27.41</v>
      </c>
      <c r="H1759" s="7" t="s">
        <v>1606</v>
      </c>
      <c r="I1759" s="4" t="s">
        <v>1574</v>
      </c>
      <c r="J1759" s="4" t="s">
        <v>830</v>
      </c>
      <c r="K1759" s="8"/>
      <c r="L1759" s="8" t="s">
        <v>3760</v>
      </c>
      <c r="M1759" s="9">
        <f t="shared" si="1"/>
        <v>59</v>
      </c>
    </row>
    <row r="1760" ht="12.75" customHeight="1">
      <c r="A1760" s="4">
        <f t="shared" si="2"/>
        <v>1759</v>
      </c>
      <c r="B1760" s="4" t="s">
        <v>3875</v>
      </c>
      <c r="C1760" s="5" t="s">
        <v>3876</v>
      </c>
      <c r="D1760" s="4"/>
      <c r="E1760" s="4"/>
      <c r="F1760" s="4" t="s">
        <v>22</v>
      </c>
      <c r="G1760" s="6">
        <v>28.9</v>
      </c>
      <c r="H1760" s="7" t="s">
        <v>1606</v>
      </c>
      <c r="I1760" s="4" t="s">
        <v>1574</v>
      </c>
      <c r="J1760" s="4" t="s">
        <v>830</v>
      </c>
      <c r="K1760" s="8"/>
      <c r="L1760" s="8" t="s">
        <v>3760</v>
      </c>
      <c r="M1760" s="9">
        <f t="shared" si="1"/>
        <v>59</v>
      </c>
    </row>
    <row r="1761" ht="12.75" customHeight="1">
      <c r="A1761" s="4">
        <f t="shared" si="2"/>
        <v>1760</v>
      </c>
      <c r="B1761" s="4" t="s">
        <v>3877</v>
      </c>
      <c r="C1761" s="5" t="s">
        <v>3878</v>
      </c>
      <c r="D1761" s="4"/>
      <c r="E1761" s="4"/>
      <c r="F1761" s="4" t="s">
        <v>22</v>
      </c>
      <c r="G1761" s="6">
        <v>18.92</v>
      </c>
      <c r="H1761" s="7" t="s">
        <v>1606</v>
      </c>
      <c r="I1761" s="4" t="s">
        <v>1574</v>
      </c>
      <c r="J1761" s="4" t="s">
        <v>830</v>
      </c>
      <c r="K1761" s="8"/>
      <c r="L1761" s="8" t="s">
        <v>3760</v>
      </c>
      <c r="M1761" s="9">
        <f t="shared" si="1"/>
        <v>59</v>
      </c>
    </row>
    <row r="1762" ht="12.75" customHeight="1">
      <c r="A1762" s="4">
        <f t="shared" si="2"/>
        <v>1761</v>
      </c>
      <c r="B1762" s="4" t="s">
        <v>3879</v>
      </c>
      <c r="C1762" s="5" t="s">
        <v>3880</v>
      </c>
      <c r="D1762" s="4"/>
      <c r="E1762" s="4"/>
      <c r="F1762" s="4" t="s">
        <v>22</v>
      </c>
      <c r="G1762" s="6">
        <v>27.63</v>
      </c>
      <c r="H1762" s="7" t="s">
        <v>1606</v>
      </c>
      <c r="I1762" s="4" t="s">
        <v>1574</v>
      </c>
      <c r="J1762" s="4" t="s">
        <v>830</v>
      </c>
      <c r="K1762" s="8"/>
      <c r="L1762" s="8" t="s">
        <v>3760</v>
      </c>
      <c r="M1762" s="9">
        <f t="shared" si="1"/>
        <v>58</v>
      </c>
    </row>
    <row r="1763" ht="12.75" customHeight="1">
      <c r="A1763" s="4">
        <f t="shared" si="2"/>
        <v>1762</v>
      </c>
      <c r="B1763" s="4" t="s">
        <v>3881</v>
      </c>
      <c r="C1763" s="5" t="s">
        <v>3882</v>
      </c>
      <c r="D1763" s="4"/>
      <c r="E1763" s="4"/>
      <c r="F1763" s="4" t="s">
        <v>22</v>
      </c>
      <c r="G1763" s="6">
        <v>19.81</v>
      </c>
      <c r="H1763" s="7" t="s">
        <v>1606</v>
      </c>
      <c r="I1763" s="4" t="s">
        <v>1574</v>
      </c>
      <c r="J1763" s="4" t="s">
        <v>830</v>
      </c>
      <c r="K1763" s="8"/>
      <c r="L1763" s="8" t="s">
        <v>3760</v>
      </c>
      <c r="M1763" s="9">
        <f t="shared" si="1"/>
        <v>59</v>
      </c>
    </row>
    <row r="1764" ht="12.75" customHeight="1">
      <c r="A1764" s="4">
        <f t="shared" si="2"/>
        <v>1763</v>
      </c>
      <c r="B1764" s="4" t="s">
        <v>3883</v>
      </c>
      <c r="C1764" s="5" t="s">
        <v>3884</v>
      </c>
      <c r="D1764" s="4"/>
      <c r="E1764" s="4"/>
      <c r="F1764" s="4" t="s">
        <v>22</v>
      </c>
      <c r="G1764" s="6">
        <v>43.08</v>
      </c>
      <c r="H1764" s="7" t="s">
        <v>1606</v>
      </c>
      <c r="I1764" s="4" t="s">
        <v>1574</v>
      </c>
      <c r="J1764" s="4" t="s">
        <v>830</v>
      </c>
      <c r="K1764" s="8"/>
      <c r="L1764" s="8" t="s">
        <v>3760</v>
      </c>
      <c r="M1764" s="9">
        <f t="shared" si="1"/>
        <v>59</v>
      </c>
    </row>
    <row r="1765" ht="12.75" customHeight="1">
      <c r="A1765" s="4">
        <f t="shared" si="2"/>
        <v>1764</v>
      </c>
      <c r="B1765" s="4" t="s">
        <v>3885</v>
      </c>
      <c r="C1765" s="5" t="s">
        <v>3886</v>
      </c>
      <c r="D1765" s="4"/>
      <c r="E1765" s="4"/>
      <c r="F1765" s="4" t="s">
        <v>22</v>
      </c>
      <c r="G1765" s="6">
        <v>21.63</v>
      </c>
      <c r="H1765" s="7" t="s">
        <v>1606</v>
      </c>
      <c r="I1765" s="4" t="s">
        <v>1574</v>
      </c>
      <c r="J1765" s="4" t="s">
        <v>830</v>
      </c>
      <c r="K1765" s="8"/>
      <c r="L1765" s="8" t="s">
        <v>3760</v>
      </c>
      <c r="M1765" s="9">
        <f t="shared" si="1"/>
        <v>59</v>
      </c>
    </row>
    <row r="1766" ht="12.75" customHeight="1">
      <c r="A1766" s="4">
        <f t="shared" si="2"/>
        <v>1765</v>
      </c>
      <c r="B1766" s="4" t="s">
        <v>3887</v>
      </c>
      <c r="C1766" s="5" t="s">
        <v>3888</v>
      </c>
      <c r="D1766" s="4"/>
      <c r="E1766" s="4"/>
      <c r="F1766" s="4" t="s">
        <v>22</v>
      </c>
      <c r="G1766" s="6">
        <v>67.81</v>
      </c>
      <c r="H1766" s="7" t="s">
        <v>1606</v>
      </c>
      <c r="I1766" s="4" t="s">
        <v>1574</v>
      </c>
      <c r="J1766" s="4" t="s">
        <v>830</v>
      </c>
      <c r="K1766" s="8"/>
      <c r="L1766" s="8" t="s">
        <v>3760</v>
      </c>
      <c r="M1766" s="9">
        <f t="shared" si="1"/>
        <v>63</v>
      </c>
    </row>
    <row r="1767" ht="12.75" customHeight="1">
      <c r="A1767" s="4">
        <f t="shared" si="2"/>
        <v>1766</v>
      </c>
      <c r="B1767" s="4" t="s">
        <v>3889</v>
      </c>
      <c r="C1767" s="5" t="s">
        <v>3890</v>
      </c>
      <c r="D1767" s="4"/>
      <c r="E1767" s="4"/>
      <c r="F1767" s="4" t="s">
        <v>22</v>
      </c>
      <c r="G1767" s="6">
        <v>37.63</v>
      </c>
      <c r="H1767" s="7" t="s">
        <v>1606</v>
      </c>
      <c r="I1767" s="4" t="s">
        <v>1574</v>
      </c>
      <c r="J1767" s="4" t="s">
        <v>830</v>
      </c>
      <c r="K1767" s="8"/>
      <c r="L1767" s="8" t="s">
        <v>3760</v>
      </c>
      <c r="M1767" s="9">
        <f t="shared" si="1"/>
        <v>58</v>
      </c>
    </row>
    <row r="1768" ht="12.75" customHeight="1">
      <c r="A1768" s="4">
        <f t="shared" si="2"/>
        <v>1767</v>
      </c>
      <c r="B1768" s="4" t="s">
        <v>3891</v>
      </c>
      <c r="C1768" s="5" t="s">
        <v>3892</v>
      </c>
      <c r="D1768" s="4"/>
      <c r="E1768" s="4"/>
      <c r="F1768" s="4" t="s">
        <v>22</v>
      </c>
      <c r="G1768" s="6">
        <v>24.01</v>
      </c>
      <c r="H1768" s="7" t="s">
        <v>1606</v>
      </c>
      <c r="I1768" s="4" t="s">
        <v>1574</v>
      </c>
      <c r="J1768" s="4" t="s">
        <v>830</v>
      </c>
      <c r="K1768" s="8"/>
      <c r="L1768" s="8" t="s">
        <v>3760</v>
      </c>
      <c r="M1768" s="9">
        <f t="shared" si="1"/>
        <v>59</v>
      </c>
    </row>
    <row r="1769" ht="12.75" customHeight="1">
      <c r="A1769" s="4">
        <f t="shared" si="2"/>
        <v>1768</v>
      </c>
      <c r="B1769" s="4" t="s">
        <v>3893</v>
      </c>
      <c r="C1769" s="5" t="s">
        <v>3894</v>
      </c>
      <c r="D1769" s="4"/>
      <c r="E1769" s="4"/>
      <c r="F1769" s="4" t="s">
        <v>22</v>
      </c>
      <c r="G1769" s="6">
        <v>40.2</v>
      </c>
      <c r="H1769" s="7" t="s">
        <v>1606</v>
      </c>
      <c r="I1769" s="4" t="s">
        <v>1574</v>
      </c>
      <c r="J1769" s="4" t="s">
        <v>830</v>
      </c>
      <c r="K1769" s="8"/>
      <c r="L1769" s="8" t="s">
        <v>3760</v>
      </c>
      <c r="M1769" s="9">
        <f t="shared" si="1"/>
        <v>59</v>
      </c>
    </row>
    <row r="1770" ht="12.75" customHeight="1">
      <c r="A1770" s="4">
        <f t="shared" si="2"/>
        <v>1769</v>
      </c>
      <c r="B1770" s="4" t="s">
        <v>3895</v>
      </c>
      <c r="C1770" s="5" t="s">
        <v>3896</v>
      </c>
      <c r="D1770" s="4"/>
      <c r="E1770" s="4"/>
      <c r="F1770" s="4" t="s">
        <v>22</v>
      </c>
      <c r="G1770" s="6">
        <v>96.89</v>
      </c>
      <c r="H1770" s="7" t="s">
        <v>1606</v>
      </c>
      <c r="I1770" s="4" t="s">
        <v>1574</v>
      </c>
      <c r="J1770" s="4" t="s">
        <v>830</v>
      </c>
      <c r="K1770" s="8"/>
      <c r="L1770" s="8" t="s">
        <v>3760</v>
      </c>
      <c r="M1770" s="9">
        <f t="shared" si="1"/>
        <v>59</v>
      </c>
    </row>
    <row r="1771" ht="12.75" customHeight="1">
      <c r="A1771" s="4">
        <f t="shared" si="2"/>
        <v>1770</v>
      </c>
      <c r="B1771" s="4" t="s">
        <v>3897</v>
      </c>
      <c r="C1771" s="5" t="s">
        <v>3898</v>
      </c>
      <c r="D1771" s="4"/>
      <c r="E1771" s="4"/>
      <c r="F1771" s="4" t="s">
        <v>22</v>
      </c>
      <c r="G1771" s="6">
        <v>38.21</v>
      </c>
      <c r="H1771" s="7" t="s">
        <v>1606</v>
      </c>
      <c r="I1771" s="4" t="s">
        <v>1574</v>
      </c>
      <c r="J1771" s="4" t="s">
        <v>830</v>
      </c>
      <c r="K1771" s="8"/>
      <c r="L1771" s="8" t="s">
        <v>3760</v>
      </c>
      <c r="M1771" s="9">
        <f t="shared" si="1"/>
        <v>59</v>
      </c>
    </row>
    <row r="1772" ht="12.75" customHeight="1">
      <c r="A1772" s="4">
        <f t="shared" si="2"/>
        <v>1771</v>
      </c>
      <c r="B1772" s="4" t="s">
        <v>3899</v>
      </c>
      <c r="C1772" s="5" t="s">
        <v>3900</v>
      </c>
      <c r="D1772" s="4"/>
      <c r="E1772" s="4"/>
      <c r="F1772" s="4" t="s">
        <v>22</v>
      </c>
      <c r="G1772" s="6">
        <v>1.62</v>
      </c>
      <c r="H1772" s="7" t="s">
        <v>1606</v>
      </c>
      <c r="I1772" s="4" t="s">
        <v>1475</v>
      </c>
      <c r="J1772" s="4" t="s">
        <v>1476</v>
      </c>
      <c r="K1772" s="8"/>
      <c r="L1772" s="8" t="s">
        <v>3901</v>
      </c>
      <c r="M1772" s="9">
        <f t="shared" si="1"/>
        <v>35</v>
      </c>
    </row>
    <row r="1773" ht="12.75" customHeight="1">
      <c r="A1773" s="4">
        <f t="shared" si="2"/>
        <v>1772</v>
      </c>
      <c r="B1773" s="4" t="s">
        <v>3902</v>
      </c>
      <c r="C1773" s="5" t="s">
        <v>3903</v>
      </c>
      <c r="D1773" s="4"/>
      <c r="E1773" s="4"/>
      <c r="F1773" s="4" t="s">
        <v>22</v>
      </c>
      <c r="G1773" s="6">
        <v>2.03</v>
      </c>
      <c r="H1773" s="7" t="s">
        <v>1606</v>
      </c>
      <c r="I1773" s="4" t="s">
        <v>1475</v>
      </c>
      <c r="J1773" s="4" t="s">
        <v>3904</v>
      </c>
      <c r="K1773" s="8"/>
      <c r="L1773" s="8" t="s">
        <v>33</v>
      </c>
      <c r="M1773" s="9">
        <f t="shared" si="1"/>
        <v>28</v>
      </c>
    </row>
    <row r="1774" ht="12.75" customHeight="1">
      <c r="A1774" s="4">
        <f t="shared" si="2"/>
        <v>1773</v>
      </c>
      <c r="B1774" s="4" t="s">
        <v>3905</v>
      </c>
      <c r="C1774" s="5" t="s">
        <v>3906</v>
      </c>
      <c r="D1774" s="4"/>
      <c r="E1774" s="4"/>
      <c r="F1774" s="4" t="s">
        <v>22</v>
      </c>
      <c r="G1774" s="6">
        <v>1.22</v>
      </c>
      <c r="H1774" s="7" t="s">
        <v>1606</v>
      </c>
      <c r="I1774" s="4" t="s">
        <v>1475</v>
      </c>
      <c r="J1774" s="4" t="s">
        <v>3904</v>
      </c>
      <c r="K1774" s="8"/>
      <c r="L1774" s="8" t="s">
        <v>33</v>
      </c>
      <c r="M1774" s="9">
        <f t="shared" si="1"/>
        <v>27</v>
      </c>
    </row>
    <row r="1775" ht="12.75" customHeight="1">
      <c r="A1775" s="4">
        <f t="shared" si="2"/>
        <v>1774</v>
      </c>
      <c r="B1775" s="4" t="s">
        <v>3907</v>
      </c>
      <c r="C1775" s="5" t="s">
        <v>3908</v>
      </c>
      <c r="D1775" s="4"/>
      <c r="E1775" s="4"/>
      <c r="F1775" s="4" t="s">
        <v>22</v>
      </c>
      <c r="G1775" s="6">
        <v>1.62</v>
      </c>
      <c r="H1775" s="7" t="s">
        <v>1606</v>
      </c>
      <c r="I1775" s="4" t="s">
        <v>1475</v>
      </c>
      <c r="J1775" s="4" t="s">
        <v>3904</v>
      </c>
      <c r="K1775" s="8"/>
      <c r="L1775" s="8" t="s">
        <v>33</v>
      </c>
      <c r="M1775" s="9">
        <f t="shared" si="1"/>
        <v>27</v>
      </c>
    </row>
    <row r="1776" ht="12.75" customHeight="1">
      <c r="A1776" s="4">
        <f t="shared" si="2"/>
        <v>1775</v>
      </c>
      <c r="B1776" s="4" t="s">
        <v>3909</v>
      </c>
      <c r="C1776" s="5" t="s">
        <v>3910</v>
      </c>
      <c r="D1776" s="4"/>
      <c r="E1776" s="4"/>
      <c r="F1776" s="4" t="s">
        <v>22</v>
      </c>
      <c r="G1776" s="6">
        <v>45.16</v>
      </c>
      <c r="H1776" s="7" t="s">
        <v>1606</v>
      </c>
      <c r="I1776" s="4" t="s">
        <v>1697</v>
      </c>
      <c r="J1776" s="4" t="s">
        <v>1698</v>
      </c>
      <c r="K1776" s="8"/>
      <c r="L1776" s="8" t="s">
        <v>1701</v>
      </c>
      <c r="M1776" s="9">
        <f t="shared" si="1"/>
        <v>33</v>
      </c>
    </row>
    <row r="1777" ht="12.75" customHeight="1">
      <c r="A1777" s="4">
        <f t="shared" si="2"/>
        <v>1776</v>
      </c>
      <c r="B1777" s="4" t="s">
        <v>3911</v>
      </c>
      <c r="C1777" s="5" t="s">
        <v>3912</v>
      </c>
      <c r="D1777" s="4"/>
      <c r="E1777" s="4"/>
      <c r="F1777" s="4" t="s">
        <v>22</v>
      </c>
      <c r="G1777" s="6">
        <v>45.16</v>
      </c>
      <c r="H1777" s="7" t="s">
        <v>1606</v>
      </c>
      <c r="I1777" s="4" t="s">
        <v>1697</v>
      </c>
      <c r="J1777" s="4" t="s">
        <v>1698</v>
      </c>
      <c r="K1777" s="8"/>
      <c r="L1777" s="8" t="s">
        <v>1509</v>
      </c>
      <c r="M1777" s="9">
        <f t="shared" si="1"/>
        <v>32</v>
      </c>
    </row>
    <row r="1778" ht="12.75" customHeight="1">
      <c r="A1778" s="4">
        <f t="shared" si="2"/>
        <v>1777</v>
      </c>
      <c r="B1778" s="4" t="s">
        <v>3913</v>
      </c>
      <c r="C1778" s="5" t="s">
        <v>3914</v>
      </c>
      <c r="D1778" s="4"/>
      <c r="E1778" s="4"/>
      <c r="F1778" s="4" t="s">
        <v>22</v>
      </c>
      <c r="G1778" s="6">
        <v>194.57</v>
      </c>
      <c r="H1778" s="7" t="s">
        <v>1606</v>
      </c>
      <c r="I1778" s="4" t="s">
        <v>1697</v>
      </c>
      <c r="J1778" s="4" t="s">
        <v>1698</v>
      </c>
      <c r="K1778" s="8"/>
      <c r="L1778" s="8" t="s">
        <v>1701</v>
      </c>
      <c r="M1778" s="9">
        <f t="shared" si="1"/>
        <v>33</v>
      </c>
    </row>
    <row r="1779" ht="12.75" customHeight="1">
      <c r="A1779" s="4">
        <f t="shared" si="2"/>
        <v>1778</v>
      </c>
      <c r="B1779" s="4" t="s">
        <v>3915</v>
      </c>
      <c r="C1779" s="5" t="s">
        <v>3916</v>
      </c>
      <c r="D1779" s="4"/>
      <c r="E1779" s="4"/>
      <c r="F1779" s="4" t="s">
        <v>1694</v>
      </c>
      <c r="G1779" s="6">
        <v>11.38</v>
      </c>
      <c r="H1779" s="7" t="s">
        <v>1606</v>
      </c>
      <c r="I1779" s="4" t="s">
        <v>2044</v>
      </c>
      <c r="J1779" s="4" t="s">
        <v>2045</v>
      </c>
      <c r="K1779" s="8"/>
      <c r="L1779" s="8" t="s">
        <v>3917</v>
      </c>
      <c r="M1779" s="9">
        <f t="shared" si="1"/>
        <v>26</v>
      </c>
    </row>
    <row r="1780" ht="12.75" customHeight="1">
      <c r="A1780" s="4">
        <f t="shared" si="2"/>
        <v>1779</v>
      </c>
      <c r="B1780" s="4" t="s">
        <v>3918</v>
      </c>
      <c r="C1780" s="5" t="s">
        <v>3919</v>
      </c>
      <c r="D1780" s="4"/>
      <c r="E1780" s="4"/>
      <c r="F1780" s="4" t="s">
        <v>22</v>
      </c>
      <c r="G1780" s="6">
        <v>74.86</v>
      </c>
      <c r="H1780" s="7" t="s">
        <v>1606</v>
      </c>
      <c r="I1780" s="4" t="s">
        <v>2860</v>
      </c>
      <c r="J1780" s="4" t="s">
        <v>2861</v>
      </c>
      <c r="K1780" s="8"/>
      <c r="L1780" s="8" t="s">
        <v>739</v>
      </c>
      <c r="M1780" s="9">
        <f t="shared" si="1"/>
        <v>26</v>
      </c>
    </row>
    <row r="1781" ht="12.75" customHeight="1">
      <c r="A1781" s="4">
        <f t="shared" si="2"/>
        <v>1780</v>
      </c>
      <c r="B1781" s="4" t="s">
        <v>3920</v>
      </c>
      <c r="C1781" s="5" t="s">
        <v>3921</v>
      </c>
      <c r="D1781" s="4"/>
      <c r="E1781" s="4"/>
      <c r="F1781" s="4" t="s">
        <v>22</v>
      </c>
      <c r="G1781" s="6">
        <v>0.14</v>
      </c>
      <c r="H1781" s="7" t="s">
        <v>1606</v>
      </c>
      <c r="I1781" s="4" t="s">
        <v>1773</v>
      </c>
      <c r="J1781" s="4" t="s">
        <v>1774</v>
      </c>
      <c r="K1781" s="8"/>
      <c r="L1781" s="8" t="s">
        <v>2097</v>
      </c>
      <c r="M1781" s="9">
        <f t="shared" si="1"/>
        <v>38</v>
      </c>
    </row>
    <row r="1782" ht="12.75" customHeight="1">
      <c r="A1782" s="4">
        <f t="shared" si="2"/>
        <v>1781</v>
      </c>
      <c r="B1782" s="4" t="s">
        <v>3922</v>
      </c>
      <c r="C1782" s="5" t="s">
        <v>3923</v>
      </c>
      <c r="D1782" s="4"/>
      <c r="E1782" s="4"/>
      <c r="F1782" s="4" t="s">
        <v>22</v>
      </c>
      <c r="G1782" s="6">
        <v>0.14</v>
      </c>
      <c r="H1782" s="7" t="s">
        <v>1606</v>
      </c>
      <c r="I1782" s="4" t="s">
        <v>1773</v>
      </c>
      <c r="J1782" s="4" t="s">
        <v>1774</v>
      </c>
      <c r="K1782" s="8"/>
      <c r="L1782" s="8" t="s">
        <v>2097</v>
      </c>
      <c r="M1782" s="9">
        <f t="shared" si="1"/>
        <v>39</v>
      </c>
    </row>
    <row r="1783" ht="12.75" customHeight="1">
      <c r="A1783" s="4">
        <f t="shared" si="2"/>
        <v>1782</v>
      </c>
      <c r="B1783" s="4" t="s">
        <v>3924</v>
      </c>
      <c r="C1783" s="5" t="s">
        <v>3925</v>
      </c>
      <c r="D1783" s="4"/>
      <c r="E1783" s="4"/>
      <c r="F1783" s="4" t="s">
        <v>22</v>
      </c>
      <c r="G1783" s="6">
        <v>0.36</v>
      </c>
      <c r="H1783" s="7" t="s">
        <v>1606</v>
      </c>
      <c r="I1783" s="4" t="s">
        <v>1773</v>
      </c>
      <c r="J1783" s="4" t="s">
        <v>1774</v>
      </c>
      <c r="K1783" s="8"/>
      <c r="L1783" s="8" t="s">
        <v>33</v>
      </c>
      <c r="M1783" s="9">
        <f t="shared" si="1"/>
        <v>30</v>
      </c>
    </row>
    <row r="1784" ht="12.75" customHeight="1">
      <c r="A1784" s="4">
        <f t="shared" si="2"/>
        <v>1783</v>
      </c>
      <c r="B1784" s="4" t="s">
        <v>3926</v>
      </c>
      <c r="C1784" s="5" t="s">
        <v>3927</v>
      </c>
      <c r="D1784" s="4"/>
      <c r="E1784" s="4"/>
      <c r="F1784" s="4" t="s">
        <v>22</v>
      </c>
      <c r="G1784" s="6">
        <v>0.14</v>
      </c>
      <c r="H1784" s="7" t="s">
        <v>1606</v>
      </c>
      <c r="I1784" s="4" t="s">
        <v>1773</v>
      </c>
      <c r="J1784" s="4" t="s">
        <v>1774</v>
      </c>
      <c r="K1784" s="8"/>
      <c r="L1784" s="8" t="s">
        <v>2097</v>
      </c>
      <c r="M1784" s="9">
        <f t="shared" si="1"/>
        <v>32</v>
      </c>
    </row>
    <row r="1785" ht="12.75" customHeight="1">
      <c r="A1785" s="4">
        <f t="shared" si="2"/>
        <v>1784</v>
      </c>
      <c r="B1785" s="4" t="s">
        <v>3928</v>
      </c>
      <c r="C1785" s="5" t="s">
        <v>3929</v>
      </c>
      <c r="D1785" s="4"/>
      <c r="E1785" s="4"/>
      <c r="F1785" s="4" t="s">
        <v>22</v>
      </c>
      <c r="G1785" s="6">
        <v>0.14</v>
      </c>
      <c r="H1785" s="7" t="s">
        <v>1606</v>
      </c>
      <c r="I1785" s="4" t="s">
        <v>1773</v>
      </c>
      <c r="J1785" s="4" t="s">
        <v>1774</v>
      </c>
      <c r="K1785" s="8"/>
      <c r="L1785" s="8" t="s">
        <v>2097</v>
      </c>
      <c r="M1785" s="9">
        <f t="shared" si="1"/>
        <v>33</v>
      </c>
    </row>
    <row r="1786" ht="12.75" customHeight="1">
      <c r="A1786" s="4">
        <f t="shared" si="2"/>
        <v>1785</v>
      </c>
      <c r="B1786" s="4" t="s">
        <v>3930</v>
      </c>
      <c r="C1786" s="5" t="s">
        <v>3931</v>
      </c>
      <c r="D1786" s="4"/>
      <c r="E1786" s="4"/>
      <c r="F1786" s="4" t="s">
        <v>22</v>
      </c>
      <c r="G1786" s="6">
        <v>0.14</v>
      </c>
      <c r="H1786" s="7" t="s">
        <v>1606</v>
      </c>
      <c r="I1786" s="4" t="s">
        <v>1773</v>
      </c>
      <c r="J1786" s="4" t="s">
        <v>1774</v>
      </c>
      <c r="K1786" s="8"/>
      <c r="L1786" s="8" t="s">
        <v>2097</v>
      </c>
      <c r="M1786" s="9">
        <f t="shared" si="1"/>
        <v>32</v>
      </c>
    </row>
    <row r="1787" ht="12.75" customHeight="1">
      <c r="A1787" s="4">
        <f t="shared" si="2"/>
        <v>1786</v>
      </c>
      <c r="B1787" s="4" t="s">
        <v>3932</v>
      </c>
      <c r="C1787" s="5" t="s">
        <v>3933</v>
      </c>
      <c r="D1787" s="4"/>
      <c r="E1787" s="4"/>
      <c r="F1787" s="4" t="s">
        <v>22</v>
      </c>
      <c r="G1787" s="6">
        <v>0.09</v>
      </c>
      <c r="H1787" s="7" t="s">
        <v>1606</v>
      </c>
      <c r="I1787" s="4" t="s">
        <v>1773</v>
      </c>
      <c r="J1787" s="4" t="s">
        <v>1774</v>
      </c>
      <c r="K1787" s="8"/>
      <c r="L1787" s="8" t="s">
        <v>2097</v>
      </c>
      <c r="M1787" s="9">
        <f t="shared" si="1"/>
        <v>8</v>
      </c>
    </row>
    <row r="1788" ht="12.75" customHeight="1">
      <c r="A1788" s="4">
        <f t="shared" si="2"/>
        <v>1787</v>
      </c>
      <c r="B1788" s="4" t="s">
        <v>3934</v>
      </c>
      <c r="C1788" s="5" t="s">
        <v>3935</v>
      </c>
      <c r="D1788" s="4"/>
      <c r="E1788" s="4"/>
      <c r="F1788" s="4" t="s">
        <v>1772</v>
      </c>
      <c r="G1788" s="6">
        <v>3.22</v>
      </c>
      <c r="H1788" s="7" t="s">
        <v>1606</v>
      </c>
      <c r="I1788" s="4" t="s">
        <v>1773</v>
      </c>
      <c r="J1788" s="4" t="s">
        <v>1774</v>
      </c>
      <c r="K1788" s="8"/>
      <c r="L1788" s="8" t="s">
        <v>2097</v>
      </c>
      <c r="M1788" s="9">
        <f t="shared" si="1"/>
        <v>28</v>
      </c>
    </row>
    <row r="1789" ht="12.75" customHeight="1">
      <c r="A1789" s="4">
        <f t="shared" si="2"/>
        <v>1788</v>
      </c>
      <c r="B1789" s="4" t="s">
        <v>3936</v>
      </c>
      <c r="C1789" s="5" t="s">
        <v>3937</v>
      </c>
      <c r="D1789" s="4"/>
      <c r="E1789" s="4"/>
      <c r="F1789" s="4" t="s">
        <v>22</v>
      </c>
      <c r="G1789" s="6">
        <v>1.59</v>
      </c>
      <c r="H1789" s="7" t="s">
        <v>1606</v>
      </c>
      <c r="I1789" s="4" t="s">
        <v>1800</v>
      </c>
      <c r="J1789" s="4" t="s">
        <v>1801</v>
      </c>
      <c r="K1789" s="8"/>
      <c r="L1789" s="8" t="s">
        <v>33</v>
      </c>
      <c r="M1789" s="9">
        <f t="shared" si="1"/>
        <v>34</v>
      </c>
    </row>
    <row r="1790" ht="12.75" customHeight="1">
      <c r="A1790" s="4">
        <f t="shared" si="2"/>
        <v>1789</v>
      </c>
      <c r="B1790" s="4" t="s">
        <v>3938</v>
      </c>
      <c r="C1790" s="5" t="s">
        <v>3939</v>
      </c>
      <c r="D1790" s="4"/>
      <c r="E1790" s="4"/>
      <c r="F1790" s="4" t="s">
        <v>22</v>
      </c>
      <c r="G1790" s="6">
        <v>20.54</v>
      </c>
      <c r="H1790" s="7" t="s">
        <v>1606</v>
      </c>
      <c r="I1790" s="4" t="s">
        <v>1800</v>
      </c>
      <c r="J1790" s="4" t="s">
        <v>1801</v>
      </c>
      <c r="K1790" s="8"/>
      <c r="L1790" s="8" t="s">
        <v>33</v>
      </c>
      <c r="M1790" s="9">
        <f t="shared" si="1"/>
        <v>39</v>
      </c>
    </row>
    <row r="1791" ht="12.75" customHeight="1">
      <c r="A1791" s="4">
        <f t="shared" si="2"/>
        <v>1790</v>
      </c>
      <c r="B1791" s="4" t="s">
        <v>3940</v>
      </c>
      <c r="C1791" s="5" t="s">
        <v>3941</v>
      </c>
      <c r="D1791" s="4"/>
      <c r="E1791" s="4"/>
      <c r="F1791" s="4" t="s">
        <v>3522</v>
      </c>
      <c r="G1791" s="6">
        <v>31.35</v>
      </c>
      <c r="H1791" s="7" t="s">
        <v>1606</v>
      </c>
      <c r="I1791" s="4" t="s">
        <v>17</v>
      </c>
      <c r="J1791" s="4" t="s">
        <v>3523</v>
      </c>
      <c r="K1791" s="8"/>
      <c r="L1791" s="8" t="s">
        <v>3942</v>
      </c>
      <c r="M1791" s="9">
        <f t="shared" si="1"/>
        <v>39</v>
      </c>
    </row>
    <row r="1792" ht="12.75" customHeight="1">
      <c r="A1792" s="4">
        <f t="shared" si="2"/>
        <v>1791</v>
      </c>
      <c r="B1792" s="4" t="s">
        <v>3943</v>
      </c>
      <c r="C1792" s="5" t="s">
        <v>3944</v>
      </c>
      <c r="D1792" s="4"/>
      <c r="E1792" s="4"/>
      <c r="F1792" s="4" t="s">
        <v>3522</v>
      </c>
      <c r="G1792" s="6">
        <v>86.49</v>
      </c>
      <c r="H1792" s="7" t="s">
        <v>1606</v>
      </c>
      <c r="I1792" s="4" t="s">
        <v>17</v>
      </c>
      <c r="J1792" s="4" t="s">
        <v>3523</v>
      </c>
      <c r="K1792" s="8"/>
      <c r="L1792" s="8" t="s">
        <v>3942</v>
      </c>
      <c r="M1792" s="9">
        <f t="shared" si="1"/>
        <v>34</v>
      </c>
    </row>
    <row r="1793" ht="12.75" customHeight="1">
      <c r="A1793" s="4">
        <f t="shared" si="2"/>
        <v>1792</v>
      </c>
      <c r="B1793" s="4" t="s">
        <v>3945</v>
      </c>
      <c r="C1793" s="5" t="s">
        <v>3946</v>
      </c>
      <c r="D1793" s="4"/>
      <c r="E1793" s="4"/>
      <c r="F1793" s="4" t="s">
        <v>22</v>
      </c>
      <c r="G1793" s="6">
        <v>229.73</v>
      </c>
      <c r="H1793" s="7" t="s">
        <v>1606</v>
      </c>
      <c r="I1793" s="4" t="s">
        <v>17</v>
      </c>
      <c r="J1793" s="4" t="s">
        <v>3523</v>
      </c>
      <c r="K1793" s="8"/>
      <c r="L1793" s="8" t="s">
        <v>3942</v>
      </c>
      <c r="M1793" s="9">
        <f t="shared" si="1"/>
        <v>29</v>
      </c>
    </row>
    <row r="1794" ht="12.75" customHeight="1">
      <c r="A1794" s="4">
        <f t="shared" si="2"/>
        <v>1793</v>
      </c>
      <c r="B1794" s="4" t="s">
        <v>3947</v>
      </c>
      <c r="C1794" s="5" t="s">
        <v>3948</v>
      </c>
      <c r="D1794" s="4"/>
      <c r="E1794" s="4"/>
      <c r="F1794" s="4" t="s">
        <v>22</v>
      </c>
      <c r="G1794" s="6">
        <v>8.65</v>
      </c>
      <c r="H1794" s="7" t="s">
        <v>1606</v>
      </c>
      <c r="I1794" s="4" t="s">
        <v>17</v>
      </c>
      <c r="J1794" s="4" t="s">
        <v>2037</v>
      </c>
      <c r="K1794" s="8"/>
      <c r="L1794" s="8" t="s">
        <v>33</v>
      </c>
      <c r="M1794" s="9">
        <f t="shared" si="1"/>
        <v>77</v>
      </c>
    </row>
    <row r="1795" ht="12.75" customHeight="1">
      <c r="A1795" s="4">
        <f t="shared" si="2"/>
        <v>1794</v>
      </c>
      <c r="B1795" s="4" t="s">
        <v>3949</v>
      </c>
      <c r="C1795" s="5" t="s">
        <v>3950</v>
      </c>
      <c r="D1795" s="4"/>
      <c r="E1795" s="4"/>
      <c r="F1795" s="4" t="s">
        <v>22</v>
      </c>
      <c r="G1795" s="6">
        <v>8.65</v>
      </c>
      <c r="H1795" s="7" t="s">
        <v>1606</v>
      </c>
      <c r="I1795" s="4" t="s">
        <v>17</v>
      </c>
      <c r="J1795" s="4" t="s">
        <v>2037</v>
      </c>
      <c r="K1795" s="8"/>
      <c r="L1795" s="8" t="s">
        <v>33</v>
      </c>
      <c r="M1795" s="9">
        <f t="shared" si="1"/>
        <v>64</v>
      </c>
    </row>
    <row r="1796" ht="12.75" customHeight="1">
      <c r="A1796" s="4">
        <f t="shared" si="2"/>
        <v>1795</v>
      </c>
      <c r="B1796" s="4" t="s">
        <v>3951</v>
      </c>
      <c r="C1796" s="5" t="s">
        <v>3952</v>
      </c>
      <c r="D1796" s="4"/>
      <c r="E1796" s="4"/>
      <c r="F1796" s="4" t="s">
        <v>22</v>
      </c>
      <c r="G1796" s="6">
        <v>8.65</v>
      </c>
      <c r="H1796" s="7" t="s">
        <v>1606</v>
      </c>
      <c r="I1796" s="4" t="s">
        <v>17</v>
      </c>
      <c r="J1796" s="4" t="s">
        <v>2037</v>
      </c>
      <c r="K1796" s="8"/>
      <c r="L1796" s="8" t="s">
        <v>33</v>
      </c>
      <c r="M1796" s="9">
        <f t="shared" si="1"/>
        <v>65</v>
      </c>
    </row>
    <row r="1797" ht="12.75" customHeight="1">
      <c r="A1797" s="4">
        <f t="shared" si="2"/>
        <v>1796</v>
      </c>
      <c r="B1797" s="4" t="s">
        <v>3953</v>
      </c>
      <c r="C1797" s="5" t="s">
        <v>3954</v>
      </c>
      <c r="D1797" s="4"/>
      <c r="E1797" s="4"/>
      <c r="F1797" s="4" t="s">
        <v>22</v>
      </c>
      <c r="G1797" s="6">
        <v>8.65</v>
      </c>
      <c r="H1797" s="7" t="s">
        <v>1606</v>
      </c>
      <c r="I1797" s="4" t="s">
        <v>17</v>
      </c>
      <c r="J1797" s="4" t="s">
        <v>2037</v>
      </c>
      <c r="K1797" s="8"/>
      <c r="L1797" s="8" t="s">
        <v>33</v>
      </c>
      <c r="M1797" s="9">
        <f t="shared" si="1"/>
        <v>56</v>
      </c>
    </row>
    <row r="1798" ht="12.75" customHeight="1">
      <c r="A1798" s="4">
        <f t="shared" si="2"/>
        <v>1797</v>
      </c>
      <c r="B1798" s="4" t="s">
        <v>3955</v>
      </c>
      <c r="C1798" s="5" t="s">
        <v>3956</v>
      </c>
      <c r="D1798" s="4"/>
      <c r="E1798" s="4"/>
      <c r="F1798" s="4" t="s">
        <v>22</v>
      </c>
      <c r="G1798" s="6">
        <v>8.65</v>
      </c>
      <c r="H1798" s="7" t="s">
        <v>1606</v>
      </c>
      <c r="I1798" s="4" t="s">
        <v>17</v>
      </c>
      <c r="J1798" s="4" t="s">
        <v>2037</v>
      </c>
      <c r="K1798" s="8"/>
      <c r="L1798" s="8" t="s">
        <v>33</v>
      </c>
      <c r="M1798" s="9">
        <f t="shared" si="1"/>
        <v>66</v>
      </c>
    </row>
    <row r="1799" ht="12.75" customHeight="1">
      <c r="A1799" s="4">
        <f t="shared" si="2"/>
        <v>1798</v>
      </c>
      <c r="B1799" s="4" t="s">
        <v>3957</v>
      </c>
      <c r="C1799" s="5" t="s">
        <v>3958</v>
      </c>
      <c r="D1799" s="4"/>
      <c r="E1799" s="4"/>
      <c r="F1799" s="4" t="s">
        <v>22</v>
      </c>
      <c r="G1799" s="6">
        <v>8.65</v>
      </c>
      <c r="H1799" s="7" t="s">
        <v>1606</v>
      </c>
      <c r="I1799" s="4" t="s">
        <v>17</v>
      </c>
      <c r="J1799" s="4" t="s">
        <v>2037</v>
      </c>
      <c r="K1799" s="8"/>
      <c r="L1799" s="8" t="s">
        <v>33</v>
      </c>
      <c r="M1799" s="9">
        <f t="shared" si="1"/>
        <v>77</v>
      </c>
    </row>
    <row r="1800" ht="12.75" customHeight="1">
      <c r="A1800" s="4">
        <f t="shared" si="2"/>
        <v>1799</v>
      </c>
      <c r="B1800" s="4" t="s">
        <v>3959</v>
      </c>
      <c r="C1800" s="5" t="s">
        <v>3960</v>
      </c>
      <c r="D1800" s="4"/>
      <c r="E1800" s="4"/>
      <c r="F1800" s="4" t="s">
        <v>22</v>
      </c>
      <c r="G1800" s="6">
        <v>8.65</v>
      </c>
      <c r="H1800" s="7" t="s">
        <v>1606</v>
      </c>
      <c r="I1800" s="4" t="s">
        <v>17</v>
      </c>
      <c r="J1800" s="4" t="s">
        <v>2037</v>
      </c>
      <c r="K1800" s="8"/>
      <c r="L1800" s="8" t="s">
        <v>33</v>
      </c>
      <c r="M1800" s="9">
        <f t="shared" si="1"/>
        <v>78</v>
      </c>
    </row>
    <row r="1801" ht="12.75" customHeight="1">
      <c r="A1801" s="4">
        <f t="shared" si="2"/>
        <v>1800</v>
      </c>
      <c r="B1801" s="4" t="s">
        <v>3961</v>
      </c>
      <c r="C1801" s="5" t="s">
        <v>3962</v>
      </c>
      <c r="D1801" s="4"/>
      <c r="E1801" s="4"/>
      <c r="F1801" s="4" t="s">
        <v>22</v>
      </c>
      <c r="G1801" s="6">
        <v>8.65</v>
      </c>
      <c r="H1801" s="7" t="s">
        <v>1606</v>
      </c>
      <c r="I1801" s="4" t="s">
        <v>17</v>
      </c>
      <c r="J1801" s="4" t="s">
        <v>2037</v>
      </c>
      <c r="K1801" s="8"/>
      <c r="L1801" s="8" t="s">
        <v>33</v>
      </c>
      <c r="M1801" s="9">
        <f t="shared" si="1"/>
        <v>74</v>
      </c>
    </row>
    <row r="1802" ht="12.75" customHeight="1">
      <c r="A1802" s="4">
        <f t="shared" si="2"/>
        <v>1801</v>
      </c>
      <c r="B1802" s="4" t="s">
        <v>3963</v>
      </c>
      <c r="C1802" s="5" t="s">
        <v>3964</v>
      </c>
      <c r="D1802" s="4"/>
      <c r="E1802" s="4"/>
      <c r="F1802" s="4" t="s">
        <v>22</v>
      </c>
      <c r="G1802" s="6">
        <v>8.65</v>
      </c>
      <c r="H1802" s="7" t="s">
        <v>1606</v>
      </c>
      <c r="I1802" s="4" t="s">
        <v>17</v>
      </c>
      <c r="J1802" s="4" t="s">
        <v>2037</v>
      </c>
      <c r="K1802" s="8"/>
      <c r="L1802" s="8" t="s">
        <v>33</v>
      </c>
      <c r="M1802" s="9">
        <f t="shared" si="1"/>
        <v>72</v>
      </c>
    </row>
    <row r="1803" ht="12.75" customHeight="1">
      <c r="A1803" s="4">
        <f t="shared" si="2"/>
        <v>1802</v>
      </c>
      <c r="B1803" s="4" t="s">
        <v>3965</v>
      </c>
      <c r="C1803" s="5" t="s">
        <v>3966</v>
      </c>
      <c r="D1803" s="4"/>
      <c r="E1803" s="4"/>
      <c r="F1803" s="4" t="s">
        <v>22</v>
      </c>
      <c r="G1803" s="6">
        <v>8.65</v>
      </c>
      <c r="H1803" s="7" t="s">
        <v>1606</v>
      </c>
      <c r="I1803" s="4" t="s">
        <v>17</v>
      </c>
      <c r="J1803" s="4" t="s">
        <v>2037</v>
      </c>
      <c r="K1803" s="8"/>
      <c r="L1803" s="8" t="s">
        <v>33</v>
      </c>
      <c r="M1803" s="9">
        <f t="shared" si="1"/>
        <v>67</v>
      </c>
    </row>
    <row r="1804" ht="12.75" customHeight="1">
      <c r="A1804" s="4">
        <f t="shared" si="2"/>
        <v>1803</v>
      </c>
      <c r="B1804" s="4" t="s">
        <v>3967</v>
      </c>
      <c r="C1804" s="5" t="s">
        <v>3968</v>
      </c>
      <c r="D1804" s="4"/>
      <c r="E1804" s="4"/>
      <c r="F1804" s="4" t="s">
        <v>22</v>
      </c>
      <c r="G1804" s="6">
        <v>8.65</v>
      </c>
      <c r="H1804" s="7" t="s">
        <v>1606</v>
      </c>
      <c r="I1804" s="4" t="s">
        <v>17</v>
      </c>
      <c r="J1804" s="4" t="s">
        <v>2037</v>
      </c>
      <c r="K1804" s="8"/>
      <c r="L1804" s="8" t="s">
        <v>33</v>
      </c>
      <c r="M1804" s="9">
        <f t="shared" si="1"/>
        <v>79</v>
      </c>
    </row>
    <row r="1805" ht="12.75" customHeight="1">
      <c r="A1805" s="4">
        <f t="shared" si="2"/>
        <v>1804</v>
      </c>
      <c r="B1805" s="4" t="s">
        <v>3969</v>
      </c>
      <c r="C1805" s="5" t="s">
        <v>3970</v>
      </c>
      <c r="D1805" s="4"/>
      <c r="E1805" s="4"/>
      <c r="F1805" s="4" t="s">
        <v>22</v>
      </c>
      <c r="G1805" s="6">
        <v>8.65</v>
      </c>
      <c r="H1805" s="7" t="s">
        <v>1606</v>
      </c>
      <c r="I1805" s="4" t="s">
        <v>17</v>
      </c>
      <c r="J1805" s="4" t="s">
        <v>2037</v>
      </c>
      <c r="K1805" s="8"/>
      <c r="L1805" s="8" t="s">
        <v>33</v>
      </c>
      <c r="M1805" s="9">
        <f t="shared" si="1"/>
        <v>61</v>
      </c>
    </row>
    <row r="1806" ht="12.75" customHeight="1">
      <c r="A1806" s="4">
        <f t="shared" si="2"/>
        <v>1805</v>
      </c>
      <c r="B1806" s="4" t="s">
        <v>3971</v>
      </c>
      <c r="C1806" s="5" t="s">
        <v>3972</v>
      </c>
      <c r="D1806" s="4"/>
      <c r="E1806" s="4"/>
      <c r="F1806" s="4" t="s">
        <v>22</v>
      </c>
      <c r="G1806" s="6">
        <v>8.65</v>
      </c>
      <c r="H1806" s="7" t="s">
        <v>1606</v>
      </c>
      <c r="I1806" s="4" t="s">
        <v>17</v>
      </c>
      <c r="J1806" s="4" t="s">
        <v>2037</v>
      </c>
      <c r="K1806" s="8"/>
      <c r="L1806" s="8" t="s">
        <v>33</v>
      </c>
      <c r="M1806" s="9">
        <f t="shared" si="1"/>
        <v>72</v>
      </c>
    </row>
    <row r="1807" ht="12.75" customHeight="1">
      <c r="A1807" s="4">
        <f t="shared" si="2"/>
        <v>1806</v>
      </c>
      <c r="B1807" s="4" t="s">
        <v>3973</v>
      </c>
      <c r="C1807" s="5" t="s">
        <v>3974</v>
      </c>
      <c r="D1807" s="4"/>
      <c r="E1807" s="4"/>
      <c r="F1807" s="4" t="s">
        <v>22</v>
      </c>
      <c r="G1807" s="6">
        <v>0.38</v>
      </c>
      <c r="H1807" s="7" t="s">
        <v>1606</v>
      </c>
      <c r="I1807" s="4" t="s">
        <v>1773</v>
      </c>
      <c r="J1807" s="4" t="s">
        <v>1774</v>
      </c>
      <c r="K1807" s="8"/>
      <c r="L1807" s="8" t="s">
        <v>3975</v>
      </c>
      <c r="M1807" s="9">
        <f t="shared" si="1"/>
        <v>28</v>
      </c>
    </row>
    <row r="1808" ht="12.75" customHeight="1">
      <c r="A1808" s="4">
        <f t="shared" si="2"/>
        <v>1807</v>
      </c>
      <c r="B1808" s="4" t="s">
        <v>3976</v>
      </c>
      <c r="C1808" s="5" t="s">
        <v>3977</v>
      </c>
      <c r="D1808" s="4"/>
      <c r="E1808" s="4"/>
      <c r="F1808" s="4" t="s">
        <v>22</v>
      </c>
      <c r="G1808" s="6">
        <v>10.07</v>
      </c>
      <c r="H1808" s="7" t="s">
        <v>1606</v>
      </c>
      <c r="I1808" s="4" t="s">
        <v>1773</v>
      </c>
      <c r="J1808" s="4" t="s">
        <v>1774</v>
      </c>
      <c r="K1808" s="8"/>
      <c r="L1808" s="8" t="s">
        <v>3975</v>
      </c>
      <c r="M1808" s="9">
        <f t="shared" si="1"/>
        <v>27</v>
      </c>
    </row>
    <row r="1809" ht="12.75" customHeight="1">
      <c r="A1809" s="4">
        <f t="shared" si="2"/>
        <v>1808</v>
      </c>
      <c r="B1809" s="4" t="s">
        <v>3978</v>
      </c>
      <c r="C1809" s="5" t="s">
        <v>3979</v>
      </c>
      <c r="D1809" s="4"/>
      <c r="E1809" s="4"/>
      <c r="F1809" s="4" t="s">
        <v>22</v>
      </c>
      <c r="G1809" s="6">
        <v>1.19</v>
      </c>
      <c r="H1809" s="7" t="s">
        <v>1606</v>
      </c>
      <c r="I1809" s="4" t="s">
        <v>1773</v>
      </c>
      <c r="J1809" s="4" t="s">
        <v>1774</v>
      </c>
      <c r="K1809" s="8"/>
      <c r="L1809" s="8" t="s">
        <v>3980</v>
      </c>
      <c r="M1809" s="9">
        <f t="shared" si="1"/>
        <v>16</v>
      </c>
    </row>
    <row r="1810" ht="12.75" customHeight="1">
      <c r="A1810" s="4">
        <f t="shared" si="2"/>
        <v>1809</v>
      </c>
      <c r="B1810" s="4" t="s">
        <v>3981</v>
      </c>
      <c r="C1810" s="5" t="s">
        <v>3982</v>
      </c>
      <c r="D1810" s="4"/>
      <c r="E1810" s="4"/>
      <c r="F1810" s="4" t="s">
        <v>22</v>
      </c>
      <c r="G1810" s="6">
        <v>0.43</v>
      </c>
      <c r="H1810" s="7" t="s">
        <v>1606</v>
      </c>
      <c r="I1810" s="4" t="s">
        <v>1475</v>
      </c>
      <c r="J1810" s="4" t="s">
        <v>3983</v>
      </c>
      <c r="K1810" s="8"/>
      <c r="L1810" s="8" t="s">
        <v>33</v>
      </c>
      <c r="M1810" s="9">
        <f t="shared" si="1"/>
        <v>17</v>
      </c>
    </row>
    <row r="1811" ht="12.75" customHeight="1">
      <c r="A1811" s="4">
        <f t="shared" si="2"/>
        <v>1810</v>
      </c>
      <c r="B1811" s="4" t="s">
        <v>3984</v>
      </c>
      <c r="C1811" s="5" t="s">
        <v>3985</v>
      </c>
      <c r="D1811" s="4"/>
      <c r="E1811" s="4"/>
      <c r="F1811" s="4" t="s">
        <v>22</v>
      </c>
      <c r="G1811" s="6">
        <v>0.54</v>
      </c>
      <c r="H1811" s="7" t="s">
        <v>1606</v>
      </c>
      <c r="I1811" s="4" t="s">
        <v>1475</v>
      </c>
      <c r="J1811" s="4" t="s">
        <v>3983</v>
      </c>
      <c r="K1811" s="8"/>
      <c r="L1811" s="8" t="s">
        <v>33</v>
      </c>
      <c r="M1811" s="9">
        <f t="shared" si="1"/>
        <v>17</v>
      </c>
    </row>
    <row r="1812" ht="12.75" customHeight="1">
      <c r="A1812" s="4">
        <f t="shared" si="2"/>
        <v>1811</v>
      </c>
      <c r="B1812" s="4" t="s">
        <v>3986</v>
      </c>
      <c r="C1812" s="5" t="s">
        <v>3987</v>
      </c>
      <c r="D1812" s="4"/>
      <c r="E1812" s="4"/>
      <c r="F1812" s="4" t="s">
        <v>22</v>
      </c>
      <c r="G1812" s="6">
        <v>0.85</v>
      </c>
      <c r="H1812" s="7" t="s">
        <v>1606</v>
      </c>
      <c r="I1812" s="4" t="s">
        <v>1475</v>
      </c>
      <c r="J1812" s="4" t="s">
        <v>3983</v>
      </c>
      <c r="K1812" s="8"/>
      <c r="L1812" s="8" t="s">
        <v>33</v>
      </c>
      <c r="M1812" s="9">
        <f t="shared" si="1"/>
        <v>17</v>
      </c>
    </row>
    <row r="1813" ht="12.75" customHeight="1">
      <c r="A1813" s="4">
        <f t="shared" si="2"/>
        <v>1812</v>
      </c>
      <c r="B1813" s="4" t="s">
        <v>3988</v>
      </c>
      <c r="C1813" s="5" t="s">
        <v>3989</v>
      </c>
      <c r="D1813" s="4"/>
      <c r="E1813" s="4"/>
      <c r="F1813" s="4" t="s">
        <v>22</v>
      </c>
      <c r="G1813" s="6">
        <v>0.49</v>
      </c>
      <c r="H1813" s="7" t="s">
        <v>1606</v>
      </c>
      <c r="I1813" s="4" t="s">
        <v>1475</v>
      </c>
      <c r="J1813" s="4" t="s">
        <v>3983</v>
      </c>
      <c r="K1813" s="8"/>
      <c r="L1813" s="8" t="s">
        <v>33</v>
      </c>
      <c r="M1813" s="9">
        <f t="shared" si="1"/>
        <v>17</v>
      </c>
    </row>
    <row r="1814" ht="12.75" customHeight="1">
      <c r="A1814" s="4">
        <f t="shared" si="2"/>
        <v>1813</v>
      </c>
      <c r="B1814" s="4" t="s">
        <v>3990</v>
      </c>
      <c r="C1814" s="5" t="s">
        <v>3991</v>
      </c>
      <c r="D1814" s="4"/>
      <c r="E1814" s="4"/>
      <c r="F1814" s="4" t="s">
        <v>22</v>
      </c>
      <c r="G1814" s="6">
        <v>0.87</v>
      </c>
      <c r="H1814" s="7" t="s">
        <v>1606</v>
      </c>
      <c r="I1814" s="4" t="s">
        <v>1475</v>
      </c>
      <c r="J1814" s="4" t="s">
        <v>3983</v>
      </c>
      <c r="K1814" s="8"/>
      <c r="L1814" s="8" t="s">
        <v>33</v>
      </c>
      <c r="M1814" s="9">
        <f t="shared" si="1"/>
        <v>17</v>
      </c>
    </row>
    <row r="1815" ht="12.75" customHeight="1">
      <c r="A1815" s="4">
        <f t="shared" si="2"/>
        <v>1814</v>
      </c>
      <c r="B1815" s="4" t="s">
        <v>3992</v>
      </c>
      <c r="C1815" s="5" t="s">
        <v>3993</v>
      </c>
      <c r="D1815" s="4"/>
      <c r="E1815" s="4"/>
      <c r="F1815" s="4" t="s">
        <v>22</v>
      </c>
      <c r="G1815" s="6">
        <v>0.49</v>
      </c>
      <c r="H1815" s="7" t="s">
        <v>1606</v>
      </c>
      <c r="I1815" s="4" t="s">
        <v>1475</v>
      </c>
      <c r="J1815" s="4" t="s">
        <v>3983</v>
      </c>
      <c r="K1815" s="8"/>
      <c r="L1815" s="8" t="s">
        <v>33</v>
      </c>
      <c r="M1815" s="9">
        <f t="shared" si="1"/>
        <v>17</v>
      </c>
    </row>
    <row r="1816" ht="12.75" customHeight="1">
      <c r="A1816" s="4">
        <f t="shared" si="2"/>
        <v>1815</v>
      </c>
      <c r="B1816" s="4" t="s">
        <v>3994</v>
      </c>
      <c r="C1816" s="5" t="s">
        <v>3995</v>
      </c>
      <c r="D1816" s="4"/>
      <c r="E1816" s="4"/>
      <c r="F1816" s="4" t="s">
        <v>22</v>
      </c>
      <c r="G1816" s="6">
        <v>0.51</v>
      </c>
      <c r="H1816" s="7" t="s">
        <v>1606</v>
      </c>
      <c r="I1816" s="4" t="s">
        <v>1475</v>
      </c>
      <c r="J1816" s="4" t="s">
        <v>3983</v>
      </c>
      <c r="K1816" s="8"/>
      <c r="L1816" s="8" t="s">
        <v>33</v>
      </c>
      <c r="M1816" s="9">
        <f t="shared" si="1"/>
        <v>17</v>
      </c>
    </row>
    <row r="1817" ht="12.75" customHeight="1">
      <c r="A1817" s="4">
        <f t="shared" si="2"/>
        <v>1816</v>
      </c>
      <c r="B1817" s="4" t="s">
        <v>3996</v>
      </c>
      <c r="C1817" s="5" t="s">
        <v>3997</v>
      </c>
      <c r="D1817" s="4"/>
      <c r="E1817" s="4"/>
      <c r="F1817" s="4" t="s">
        <v>22</v>
      </c>
      <c r="G1817" s="6">
        <v>0.68</v>
      </c>
      <c r="H1817" s="7" t="s">
        <v>1606</v>
      </c>
      <c r="I1817" s="4" t="s">
        <v>1475</v>
      </c>
      <c r="J1817" s="4" t="s">
        <v>3983</v>
      </c>
      <c r="K1817" s="8"/>
      <c r="L1817" s="8" t="s">
        <v>33</v>
      </c>
      <c r="M1817" s="9">
        <f t="shared" si="1"/>
        <v>17</v>
      </c>
    </row>
    <row r="1818" ht="12.75" customHeight="1">
      <c r="A1818" s="4">
        <f t="shared" si="2"/>
        <v>1817</v>
      </c>
      <c r="B1818" s="4" t="s">
        <v>3998</v>
      </c>
      <c r="C1818" s="5" t="s">
        <v>3999</v>
      </c>
      <c r="D1818" s="4"/>
      <c r="E1818" s="4"/>
      <c r="F1818" s="4" t="s">
        <v>22</v>
      </c>
      <c r="G1818" s="6">
        <v>0.24</v>
      </c>
      <c r="H1818" s="7" t="s">
        <v>1606</v>
      </c>
      <c r="I1818" s="4" t="s">
        <v>1475</v>
      </c>
      <c r="J1818" s="4" t="s">
        <v>3983</v>
      </c>
      <c r="K1818" s="8"/>
      <c r="L1818" s="8" t="s">
        <v>33</v>
      </c>
      <c r="M1818" s="9">
        <f t="shared" si="1"/>
        <v>32</v>
      </c>
    </row>
    <row r="1819" ht="12.75" customHeight="1">
      <c r="A1819" s="4">
        <f t="shared" si="2"/>
        <v>1818</v>
      </c>
      <c r="B1819" s="4" t="s">
        <v>4000</v>
      </c>
      <c r="C1819" s="5" t="s">
        <v>4001</v>
      </c>
      <c r="D1819" s="4"/>
      <c r="E1819" s="4"/>
      <c r="F1819" s="4" t="s">
        <v>22</v>
      </c>
      <c r="G1819" s="6">
        <v>0.65</v>
      </c>
      <c r="H1819" s="7" t="s">
        <v>1606</v>
      </c>
      <c r="I1819" s="4" t="s">
        <v>1475</v>
      </c>
      <c r="J1819" s="4" t="s">
        <v>3983</v>
      </c>
      <c r="K1819" s="8"/>
      <c r="L1819" s="8" t="s">
        <v>33</v>
      </c>
      <c r="M1819" s="9">
        <f t="shared" si="1"/>
        <v>17</v>
      </c>
    </row>
    <row r="1820" ht="12.75" customHeight="1">
      <c r="A1820" s="4">
        <f t="shared" si="2"/>
        <v>1819</v>
      </c>
      <c r="B1820" s="4" t="s">
        <v>4002</v>
      </c>
      <c r="C1820" s="5" t="s">
        <v>4003</v>
      </c>
      <c r="D1820" s="4"/>
      <c r="E1820" s="4"/>
      <c r="F1820" s="4" t="s">
        <v>22</v>
      </c>
      <c r="G1820" s="6">
        <v>0.65</v>
      </c>
      <c r="H1820" s="7" t="s">
        <v>1606</v>
      </c>
      <c r="I1820" s="4" t="s">
        <v>1475</v>
      </c>
      <c r="J1820" s="4" t="s">
        <v>3983</v>
      </c>
      <c r="K1820" s="8"/>
      <c r="L1820" s="8" t="s">
        <v>33</v>
      </c>
      <c r="M1820" s="9">
        <f t="shared" si="1"/>
        <v>17</v>
      </c>
    </row>
    <row r="1821" ht="12.75" customHeight="1">
      <c r="A1821" s="4">
        <f t="shared" si="2"/>
        <v>1820</v>
      </c>
      <c r="B1821" s="4" t="s">
        <v>4004</v>
      </c>
      <c r="C1821" s="5" t="s">
        <v>4005</v>
      </c>
      <c r="D1821" s="4"/>
      <c r="E1821" s="4"/>
      <c r="F1821" s="4" t="s">
        <v>22</v>
      </c>
      <c r="G1821" s="6">
        <v>0.81</v>
      </c>
      <c r="H1821" s="7" t="s">
        <v>1606</v>
      </c>
      <c r="I1821" s="4" t="s">
        <v>1475</v>
      </c>
      <c r="J1821" s="4" t="s">
        <v>3983</v>
      </c>
      <c r="K1821" s="8"/>
      <c r="L1821" s="8" t="s">
        <v>33</v>
      </c>
      <c r="M1821" s="9">
        <f t="shared" si="1"/>
        <v>17</v>
      </c>
    </row>
    <row r="1822" ht="12.75" customHeight="1">
      <c r="A1822" s="4">
        <f t="shared" si="2"/>
        <v>1821</v>
      </c>
      <c r="B1822" s="4" t="s">
        <v>4006</v>
      </c>
      <c r="C1822" s="5" t="s">
        <v>4007</v>
      </c>
      <c r="D1822" s="4"/>
      <c r="E1822" s="4"/>
      <c r="F1822" s="4" t="s">
        <v>22</v>
      </c>
      <c r="G1822" s="6">
        <v>0.62</v>
      </c>
      <c r="H1822" s="7" t="s">
        <v>1606</v>
      </c>
      <c r="I1822" s="4" t="s">
        <v>1475</v>
      </c>
      <c r="J1822" s="4" t="s">
        <v>3983</v>
      </c>
      <c r="K1822" s="8"/>
      <c r="L1822" s="8" t="s">
        <v>33</v>
      </c>
      <c r="M1822" s="9">
        <f t="shared" si="1"/>
        <v>17</v>
      </c>
    </row>
    <row r="1823" ht="12.75" customHeight="1">
      <c r="A1823" s="4">
        <f t="shared" si="2"/>
        <v>1822</v>
      </c>
      <c r="B1823" s="4" t="s">
        <v>4008</v>
      </c>
      <c r="C1823" s="5" t="s">
        <v>4009</v>
      </c>
      <c r="D1823" s="4"/>
      <c r="E1823" s="4"/>
      <c r="F1823" s="4" t="s">
        <v>22</v>
      </c>
      <c r="G1823" s="6">
        <v>0.59</v>
      </c>
      <c r="H1823" s="7" t="s">
        <v>1606</v>
      </c>
      <c r="I1823" s="4" t="s">
        <v>1475</v>
      </c>
      <c r="J1823" s="4" t="s">
        <v>3983</v>
      </c>
      <c r="K1823" s="8"/>
      <c r="L1823" s="8" t="s">
        <v>33</v>
      </c>
      <c r="M1823" s="9">
        <f t="shared" si="1"/>
        <v>17</v>
      </c>
    </row>
    <row r="1824" ht="12.75" customHeight="1">
      <c r="A1824" s="4">
        <f t="shared" si="2"/>
        <v>1823</v>
      </c>
      <c r="B1824" s="4" t="s">
        <v>4010</v>
      </c>
      <c r="C1824" s="5" t="s">
        <v>4011</v>
      </c>
      <c r="D1824" s="4"/>
      <c r="E1824" s="4"/>
      <c r="F1824" s="4" t="s">
        <v>22</v>
      </c>
      <c r="G1824" s="6">
        <v>0.59</v>
      </c>
      <c r="H1824" s="7" t="s">
        <v>1606</v>
      </c>
      <c r="I1824" s="4" t="s">
        <v>1475</v>
      </c>
      <c r="J1824" s="4" t="s">
        <v>3983</v>
      </c>
      <c r="K1824" s="8"/>
      <c r="L1824" s="8" t="s">
        <v>33</v>
      </c>
      <c r="M1824" s="9">
        <f t="shared" si="1"/>
        <v>17</v>
      </c>
    </row>
    <row r="1825" ht="12.75" customHeight="1">
      <c r="A1825" s="4">
        <f t="shared" si="2"/>
        <v>1824</v>
      </c>
      <c r="B1825" s="4" t="s">
        <v>4012</v>
      </c>
      <c r="C1825" s="5" t="s">
        <v>4013</v>
      </c>
      <c r="D1825" s="4"/>
      <c r="E1825" s="4"/>
      <c r="F1825" s="4" t="s">
        <v>22</v>
      </c>
      <c r="G1825" s="6">
        <v>0.68</v>
      </c>
      <c r="H1825" s="7" t="s">
        <v>1606</v>
      </c>
      <c r="I1825" s="4" t="s">
        <v>1475</v>
      </c>
      <c r="J1825" s="4" t="s">
        <v>3983</v>
      </c>
      <c r="K1825" s="8"/>
      <c r="L1825" s="8" t="s">
        <v>33</v>
      </c>
      <c r="M1825" s="9">
        <f t="shared" si="1"/>
        <v>17</v>
      </c>
    </row>
    <row r="1826" ht="12.75" customHeight="1">
      <c r="A1826" s="4">
        <f t="shared" si="2"/>
        <v>1825</v>
      </c>
      <c r="B1826" s="4" t="s">
        <v>4014</v>
      </c>
      <c r="C1826" s="5" t="s">
        <v>4015</v>
      </c>
      <c r="D1826" s="4"/>
      <c r="E1826" s="4"/>
      <c r="F1826" s="4" t="s">
        <v>22</v>
      </c>
      <c r="G1826" s="6">
        <v>0.68</v>
      </c>
      <c r="H1826" s="7" t="s">
        <v>1606</v>
      </c>
      <c r="I1826" s="4" t="s">
        <v>1475</v>
      </c>
      <c r="J1826" s="4" t="s">
        <v>3983</v>
      </c>
      <c r="K1826" s="8"/>
      <c r="L1826" s="8" t="s">
        <v>33</v>
      </c>
      <c r="M1826" s="9">
        <f t="shared" si="1"/>
        <v>17</v>
      </c>
    </row>
    <row r="1827" ht="12.75" customHeight="1">
      <c r="A1827" s="4">
        <f t="shared" si="2"/>
        <v>1826</v>
      </c>
      <c r="B1827" s="4" t="s">
        <v>4016</v>
      </c>
      <c r="C1827" s="5" t="s">
        <v>4017</v>
      </c>
      <c r="D1827" s="4"/>
      <c r="E1827" s="4"/>
      <c r="F1827" s="4" t="s">
        <v>22</v>
      </c>
      <c r="G1827" s="6">
        <v>0.84</v>
      </c>
      <c r="H1827" s="7" t="s">
        <v>1606</v>
      </c>
      <c r="I1827" s="4" t="s">
        <v>1475</v>
      </c>
      <c r="J1827" s="4" t="s">
        <v>3983</v>
      </c>
      <c r="K1827" s="8"/>
      <c r="L1827" s="8" t="s">
        <v>33</v>
      </c>
      <c r="M1827" s="9">
        <f t="shared" si="1"/>
        <v>19</v>
      </c>
    </row>
    <row r="1828" ht="12.75" customHeight="1">
      <c r="A1828" s="4">
        <f t="shared" si="2"/>
        <v>1827</v>
      </c>
      <c r="B1828" s="4" t="s">
        <v>4018</v>
      </c>
      <c r="C1828" s="5" t="s">
        <v>4019</v>
      </c>
      <c r="D1828" s="4"/>
      <c r="E1828" s="4"/>
      <c r="F1828" s="4" t="s">
        <v>22</v>
      </c>
      <c r="G1828" s="6">
        <v>0.84</v>
      </c>
      <c r="H1828" s="7" t="s">
        <v>1606</v>
      </c>
      <c r="I1828" s="4" t="s">
        <v>1475</v>
      </c>
      <c r="J1828" s="4" t="s">
        <v>3983</v>
      </c>
      <c r="K1828" s="8"/>
      <c r="L1828" s="8" t="s">
        <v>33</v>
      </c>
      <c r="M1828" s="9">
        <f t="shared" si="1"/>
        <v>19</v>
      </c>
    </row>
    <row r="1829" ht="12.75" customHeight="1">
      <c r="A1829" s="4">
        <f t="shared" si="2"/>
        <v>1828</v>
      </c>
      <c r="B1829" s="4" t="s">
        <v>4020</v>
      </c>
      <c r="C1829" s="5" t="s">
        <v>4021</v>
      </c>
      <c r="D1829" s="4"/>
      <c r="E1829" s="4"/>
      <c r="F1829" s="4" t="s">
        <v>22</v>
      </c>
      <c r="G1829" s="6">
        <v>0.84</v>
      </c>
      <c r="H1829" s="7" t="s">
        <v>1606</v>
      </c>
      <c r="I1829" s="4" t="s">
        <v>1475</v>
      </c>
      <c r="J1829" s="4" t="s">
        <v>3983</v>
      </c>
      <c r="K1829" s="8"/>
      <c r="L1829" s="8" t="s">
        <v>33</v>
      </c>
      <c r="M1829" s="9">
        <f t="shared" si="1"/>
        <v>19</v>
      </c>
    </row>
    <row r="1830" ht="12.75" customHeight="1">
      <c r="A1830" s="4">
        <f t="shared" si="2"/>
        <v>1829</v>
      </c>
      <c r="B1830" s="4" t="s">
        <v>4022</v>
      </c>
      <c r="C1830" s="5" t="s">
        <v>4023</v>
      </c>
      <c r="D1830" s="4"/>
      <c r="E1830" s="4"/>
      <c r="F1830" s="4" t="s">
        <v>22</v>
      </c>
      <c r="G1830" s="6">
        <v>0.84</v>
      </c>
      <c r="H1830" s="7" t="s">
        <v>1606</v>
      </c>
      <c r="I1830" s="4" t="s">
        <v>1475</v>
      </c>
      <c r="J1830" s="4" t="s">
        <v>3983</v>
      </c>
      <c r="K1830" s="8"/>
      <c r="L1830" s="8" t="s">
        <v>33</v>
      </c>
      <c r="M1830" s="9">
        <f t="shared" si="1"/>
        <v>19</v>
      </c>
    </row>
    <row r="1831" ht="12.75" customHeight="1">
      <c r="A1831" s="4">
        <f t="shared" si="2"/>
        <v>1830</v>
      </c>
      <c r="B1831" s="4" t="s">
        <v>4024</v>
      </c>
      <c r="C1831" s="5" t="s">
        <v>4025</v>
      </c>
      <c r="D1831" s="4"/>
      <c r="E1831" s="4"/>
      <c r="F1831" s="4" t="s">
        <v>22</v>
      </c>
      <c r="G1831" s="6">
        <v>0.84</v>
      </c>
      <c r="H1831" s="7" t="s">
        <v>1606</v>
      </c>
      <c r="I1831" s="4" t="s">
        <v>1475</v>
      </c>
      <c r="J1831" s="4" t="s">
        <v>3983</v>
      </c>
      <c r="K1831" s="8"/>
      <c r="L1831" s="8" t="s">
        <v>33</v>
      </c>
      <c r="M1831" s="9">
        <f t="shared" si="1"/>
        <v>18</v>
      </c>
    </row>
    <row r="1832" ht="12.75" customHeight="1">
      <c r="A1832" s="4">
        <f t="shared" si="2"/>
        <v>1831</v>
      </c>
      <c r="B1832" s="4" t="s">
        <v>4026</v>
      </c>
      <c r="C1832" s="5" t="s">
        <v>4027</v>
      </c>
      <c r="D1832" s="4"/>
      <c r="E1832" s="4"/>
      <c r="F1832" s="4" t="s">
        <v>22</v>
      </c>
      <c r="G1832" s="6">
        <v>0.84</v>
      </c>
      <c r="H1832" s="7" t="s">
        <v>1606</v>
      </c>
      <c r="I1832" s="4" t="s">
        <v>1475</v>
      </c>
      <c r="J1832" s="4" t="s">
        <v>3983</v>
      </c>
      <c r="K1832" s="8"/>
      <c r="L1832" s="8" t="s">
        <v>33</v>
      </c>
      <c r="M1832" s="9">
        <f t="shared" si="1"/>
        <v>18</v>
      </c>
    </row>
    <row r="1833" ht="12.75" customHeight="1">
      <c r="A1833" s="4">
        <f t="shared" si="2"/>
        <v>1832</v>
      </c>
      <c r="B1833" s="4" t="s">
        <v>4028</v>
      </c>
      <c r="C1833" s="5" t="s">
        <v>4029</v>
      </c>
      <c r="D1833" s="4"/>
      <c r="E1833" s="4"/>
      <c r="F1833" s="4" t="s">
        <v>22</v>
      </c>
      <c r="G1833" s="6">
        <v>0.84</v>
      </c>
      <c r="H1833" s="7" t="s">
        <v>1606</v>
      </c>
      <c r="I1833" s="4" t="s">
        <v>1475</v>
      </c>
      <c r="J1833" s="4" t="s">
        <v>3983</v>
      </c>
      <c r="K1833" s="8"/>
      <c r="L1833" s="8" t="s">
        <v>33</v>
      </c>
      <c r="M1833" s="9">
        <f t="shared" si="1"/>
        <v>18</v>
      </c>
    </row>
    <row r="1834" ht="12.75" customHeight="1">
      <c r="A1834" s="4">
        <f t="shared" si="2"/>
        <v>1833</v>
      </c>
      <c r="B1834" s="4" t="s">
        <v>4030</v>
      </c>
      <c r="C1834" s="5" t="s">
        <v>4031</v>
      </c>
      <c r="D1834" s="4"/>
      <c r="E1834" s="4"/>
      <c r="F1834" s="4" t="s">
        <v>22</v>
      </c>
      <c r="G1834" s="6">
        <v>0.84</v>
      </c>
      <c r="H1834" s="7" t="s">
        <v>1606</v>
      </c>
      <c r="I1834" s="4" t="s">
        <v>1475</v>
      </c>
      <c r="J1834" s="4" t="s">
        <v>3983</v>
      </c>
      <c r="K1834" s="8"/>
      <c r="L1834" s="8" t="s">
        <v>33</v>
      </c>
      <c r="M1834" s="9">
        <f t="shared" si="1"/>
        <v>18</v>
      </c>
    </row>
    <row r="1835" ht="12.75" customHeight="1">
      <c r="A1835" s="4">
        <f t="shared" si="2"/>
        <v>1834</v>
      </c>
      <c r="B1835" s="4" t="s">
        <v>4032</v>
      </c>
      <c r="C1835" s="5" t="s">
        <v>4033</v>
      </c>
      <c r="D1835" s="4"/>
      <c r="E1835" s="4"/>
      <c r="F1835" s="4" t="s">
        <v>22</v>
      </c>
      <c r="G1835" s="6">
        <v>0.14</v>
      </c>
      <c r="H1835" s="7" t="s">
        <v>1606</v>
      </c>
      <c r="I1835" s="4" t="s">
        <v>1475</v>
      </c>
      <c r="J1835" s="4" t="s">
        <v>3983</v>
      </c>
      <c r="K1835" s="8"/>
      <c r="L1835" s="8" t="s">
        <v>33</v>
      </c>
      <c r="M1835" s="9">
        <f t="shared" si="1"/>
        <v>22</v>
      </c>
    </row>
    <row r="1836" ht="12.75" customHeight="1">
      <c r="A1836" s="4">
        <f t="shared" si="2"/>
        <v>1835</v>
      </c>
      <c r="B1836" s="4" t="s">
        <v>4034</v>
      </c>
      <c r="C1836" s="5" t="s">
        <v>4035</v>
      </c>
      <c r="D1836" s="4"/>
      <c r="E1836" s="4"/>
      <c r="F1836" s="4" t="s">
        <v>22</v>
      </c>
      <c r="G1836" s="6">
        <v>0.57</v>
      </c>
      <c r="H1836" s="7" t="s">
        <v>1606</v>
      </c>
      <c r="I1836" s="4" t="s">
        <v>1475</v>
      </c>
      <c r="J1836" s="4" t="s">
        <v>3983</v>
      </c>
      <c r="K1836" s="8"/>
      <c r="L1836" s="8" t="s">
        <v>33</v>
      </c>
      <c r="M1836" s="9">
        <f t="shared" si="1"/>
        <v>21</v>
      </c>
    </row>
    <row r="1837" ht="12.75" customHeight="1">
      <c r="A1837" s="4">
        <f t="shared" si="2"/>
        <v>1836</v>
      </c>
      <c r="B1837" s="4" t="s">
        <v>4036</v>
      </c>
      <c r="C1837" s="5" t="s">
        <v>4037</v>
      </c>
      <c r="D1837" s="4"/>
      <c r="E1837" s="4"/>
      <c r="F1837" s="4" t="s">
        <v>22</v>
      </c>
      <c r="G1837" s="6">
        <v>0.59</v>
      </c>
      <c r="H1837" s="7" t="s">
        <v>1606</v>
      </c>
      <c r="I1837" s="4" t="s">
        <v>1475</v>
      </c>
      <c r="J1837" s="4" t="s">
        <v>3983</v>
      </c>
      <c r="K1837" s="8"/>
      <c r="L1837" s="8" t="s">
        <v>33</v>
      </c>
      <c r="M1837" s="9">
        <f t="shared" si="1"/>
        <v>21</v>
      </c>
    </row>
    <row r="1838" ht="12.75" customHeight="1">
      <c r="A1838" s="4">
        <f t="shared" si="2"/>
        <v>1837</v>
      </c>
      <c r="B1838" s="4" t="s">
        <v>4038</v>
      </c>
      <c r="C1838" s="5" t="s">
        <v>4039</v>
      </c>
      <c r="D1838" s="4"/>
      <c r="E1838" s="4"/>
      <c r="F1838" s="4" t="s">
        <v>22</v>
      </c>
      <c r="G1838" s="6">
        <v>0.78</v>
      </c>
      <c r="H1838" s="7" t="s">
        <v>1606</v>
      </c>
      <c r="I1838" s="4" t="s">
        <v>1475</v>
      </c>
      <c r="J1838" s="4" t="s">
        <v>3983</v>
      </c>
      <c r="K1838" s="8"/>
      <c r="L1838" s="8" t="s">
        <v>33</v>
      </c>
      <c r="M1838" s="9">
        <f t="shared" si="1"/>
        <v>20</v>
      </c>
    </row>
    <row r="1839" ht="12.75" customHeight="1">
      <c r="A1839" s="4">
        <f t="shared" si="2"/>
        <v>1838</v>
      </c>
      <c r="B1839" s="4" t="s">
        <v>4040</v>
      </c>
      <c r="C1839" s="5" t="s">
        <v>4041</v>
      </c>
      <c r="D1839" s="4"/>
      <c r="E1839" s="4"/>
      <c r="F1839" s="4" t="s">
        <v>22</v>
      </c>
      <c r="G1839" s="6">
        <v>0.38</v>
      </c>
      <c r="H1839" s="7" t="s">
        <v>1606</v>
      </c>
      <c r="I1839" s="4" t="s">
        <v>1475</v>
      </c>
      <c r="J1839" s="4" t="s">
        <v>3983</v>
      </c>
      <c r="K1839" s="8"/>
      <c r="L1839" s="8" t="s">
        <v>33</v>
      </c>
      <c r="M1839" s="9">
        <f t="shared" si="1"/>
        <v>20</v>
      </c>
    </row>
    <row r="1840" ht="12.75" customHeight="1">
      <c r="A1840" s="4">
        <f t="shared" si="2"/>
        <v>1839</v>
      </c>
      <c r="B1840" s="4" t="s">
        <v>4042</v>
      </c>
      <c r="C1840" s="5" t="s">
        <v>4043</v>
      </c>
      <c r="D1840" s="4"/>
      <c r="E1840" s="4"/>
      <c r="F1840" s="4" t="s">
        <v>22</v>
      </c>
      <c r="G1840" s="6">
        <v>0.85</v>
      </c>
      <c r="H1840" s="7" t="s">
        <v>1606</v>
      </c>
      <c r="I1840" s="4" t="s">
        <v>1475</v>
      </c>
      <c r="J1840" s="4" t="s">
        <v>3983</v>
      </c>
      <c r="K1840" s="8"/>
      <c r="L1840" s="8" t="s">
        <v>33</v>
      </c>
      <c r="M1840" s="9">
        <f t="shared" si="1"/>
        <v>20</v>
      </c>
    </row>
    <row r="1841" ht="12.75" customHeight="1">
      <c r="A1841" s="4">
        <f t="shared" si="2"/>
        <v>1840</v>
      </c>
      <c r="B1841" s="4" t="s">
        <v>4044</v>
      </c>
      <c r="C1841" s="5" t="s">
        <v>4045</v>
      </c>
      <c r="D1841" s="4"/>
      <c r="E1841" s="4"/>
      <c r="F1841" s="4" t="s">
        <v>22</v>
      </c>
      <c r="G1841" s="6">
        <v>11.43</v>
      </c>
      <c r="H1841" s="7" t="s">
        <v>1606</v>
      </c>
      <c r="I1841" s="4" t="s">
        <v>1794</v>
      </c>
      <c r="J1841" s="4" t="s">
        <v>165</v>
      </c>
      <c r="K1841" s="8"/>
      <c r="L1841" s="8" t="s">
        <v>4046</v>
      </c>
      <c r="M1841" s="9">
        <f t="shared" si="1"/>
        <v>15</v>
      </c>
    </row>
    <row r="1842" ht="12.75" customHeight="1">
      <c r="A1842" s="4">
        <f t="shared" si="2"/>
        <v>1841</v>
      </c>
      <c r="B1842" s="4" t="s">
        <v>4047</v>
      </c>
      <c r="C1842" s="5" t="s">
        <v>4048</v>
      </c>
      <c r="D1842" s="4"/>
      <c r="E1842" s="4"/>
      <c r="F1842" s="4" t="s">
        <v>22</v>
      </c>
      <c r="G1842" s="6">
        <v>4.65</v>
      </c>
      <c r="H1842" s="7" t="s">
        <v>1606</v>
      </c>
      <c r="I1842" s="4" t="s">
        <v>1475</v>
      </c>
      <c r="J1842" s="4" t="s">
        <v>1476</v>
      </c>
      <c r="K1842" s="8"/>
      <c r="L1842" s="8" t="s">
        <v>4049</v>
      </c>
      <c r="M1842" s="9">
        <f t="shared" si="1"/>
        <v>35</v>
      </c>
    </row>
    <row r="1843" ht="12.75" customHeight="1">
      <c r="A1843" s="4">
        <f t="shared" si="2"/>
        <v>1842</v>
      </c>
      <c r="B1843" s="4" t="s">
        <v>4050</v>
      </c>
      <c r="C1843" s="5" t="s">
        <v>4051</v>
      </c>
      <c r="D1843" s="4"/>
      <c r="E1843" s="4"/>
      <c r="F1843" s="4" t="s">
        <v>22</v>
      </c>
      <c r="G1843" s="6">
        <v>3.76</v>
      </c>
      <c r="H1843" s="7" t="s">
        <v>1606</v>
      </c>
      <c r="I1843" s="4" t="s">
        <v>1475</v>
      </c>
      <c r="J1843" s="4" t="s">
        <v>1476</v>
      </c>
      <c r="K1843" s="8"/>
      <c r="L1843" s="8" t="s">
        <v>3309</v>
      </c>
      <c r="M1843" s="9">
        <f t="shared" si="1"/>
        <v>15</v>
      </c>
    </row>
    <row r="1844" ht="12.75" customHeight="1">
      <c r="A1844" s="4">
        <f t="shared" si="2"/>
        <v>1843</v>
      </c>
      <c r="B1844" s="4" t="s">
        <v>4052</v>
      </c>
      <c r="C1844" s="5" t="s">
        <v>4053</v>
      </c>
      <c r="D1844" s="4"/>
      <c r="E1844" s="4"/>
      <c r="F1844" s="4" t="s">
        <v>22</v>
      </c>
      <c r="G1844" s="6">
        <v>6.76</v>
      </c>
      <c r="H1844" s="7" t="s">
        <v>1606</v>
      </c>
      <c r="I1844" s="4" t="s">
        <v>1688</v>
      </c>
      <c r="J1844" s="4" t="s">
        <v>1688</v>
      </c>
      <c r="K1844" s="8"/>
      <c r="L1844" s="8" t="s">
        <v>3656</v>
      </c>
      <c r="M1844" s="9">
        <f t="shared" si="1"/>
        <v>33</v>
      </c>
    </row>
    <row r="1845" ht="12.75" customHeight="1">
      <c r="A1845" s="4">
        <f t="shared" si="2"/>
        <v>1844</v>
      </c>
      <c r="B1845" s="4" t="s">
        <v>4054</v>
      </c>
      <c r="C1845" s="5" t="s">
        <v>4055</v>
      </c>
      <c r="D1845" s="4"/>
      <c r="E1845" s="4"/>
      <c r="F1845" s="4" t="s">
        <v>22</v>
      </c>
      <c r="G1845" s="6">
        <v>17.57</v>
      </c>
      <c r="H1845" s="7" t="s">
        <v>1606</v>
      </c>
      <c r="I1845" s="4" t="s">
        <v>2423</v>
      </c>
      <c r="J1845" s="4" t="s">
        <v>2424</v>
      </c>
      <c r="K1845" s="8"/>
      <c r="L1845" s="8" t="s">
        <v>507</v>
      </c>
      <c r="M1845" s="9">
        <f t="shared" si="1"/>
        <v>27</v>
      </c>
    </row>
    <row r="1846" ht="12.75" customHeight="1">
      <c r="A1846" s="4">
        <f t="shared" si="2"/>
        <v>1845</v>
      </c>
      <c r="B1846" s="4" t="s">
        <v>4056</v>
      </c>
      <c r="C1846" s="5" t="s">
        <v>4057</v>
      </c>
      <c r="D1846" s="4"/>
      <c r="E1846" s="4"/>
      <c r="F1846" s="4" t="s">
        <v>22</v>
      </c>
      <c r="G1846" s="6">
        <v>9.55</v>
      </c>
      <c r="H1846" s="7" t="s">
        <v>1606</v>
      </c>
      <c r="I1846" s="4" t="s">
        <v>17</v>
      </c>
      <c r="J1846" s="4" t="s">
        <v>1580</v>
      </c>
      <c r="K1846" s="8"/>
      <c r="L1846" s="8" t="s">
        <v>507</v>
      </c>
      <c r="M1846" s="9">
        <f t="shared" si="1"/>
        <v>30</v>
      </c>
    </row>
    <row r="1847" ht="12.75" customHeight="1">
      <c r="A1847" s="4">
        <f t="shared" si="2"/>
        <v>1846</v>
      </c>
      <c r="B1847" s="4" t="s">
        <v>4058</v>
      </c>
      <c r="C1847" s="5" t="s">
        <v>4059</v>
      </c>
      <c r="D1847" s="4"/>
      <c r="E1847" s="4"/>
      <c r="F1847" s="4" t="s">
        <v>22</v>
      </c>
      <c r="G1847" s="6">
        <v>17.57</v>
      </c>
      <c r="H1847" s="7" t="s">
        <v>1606</v>
      </c>
      <c r="I1847" s="4" t="s">
        <v>17</v>
      </c>
      <c r="J1847" s="4" t="s">
        <v>1580</v>
      </c>
      <c r="K1847" s="8"/>
      <c r="L1847" s="8" t="s">
        <v>507</v>
      </c>
      <c r="M1847" s="9">
        <f t="shared" si="1"/>
        <v>34</v>
      </c>
    </row>
    <row r="1848" ht="12.75" customHeight="1">
      <c r="A1848" s="4">
        <f t="shared" si="2"/>
        <v>1847</v>
      </c>
      <c r="B1848" s="4" t="s">
        <v>4060</v>
      </c>
      <c r="C1848" s="5" t="s">
        <v>4061</v>
      </c>
      <c r="D1848" s="4"/>
      <c r="E1848" s="4"/>
      <c r="F1848" s="4" t="s">
        <v>3522</v>
      </c>
      <c r="G1848" s="6">
        <v>39.19</v>
      </c>
      <c r="H1848" s="7" t="s">
        <v>1606</v>
      </c>
      <c r="I1848" s="4" t="s">
        <v>2044</v>
      </c>
      <c r="J1848" s="4" t="s">
        <v>3655</v>
      </c>
      <c r="K1848" s="8"/>
      <c r="L1848" s="8" t="s">
        <v>4062</v>
      </c>
      <c r="M1848" s="9">
        <f t="shared" si="1"/>
        <v>79</v>
      </c>
    </row>
    <row r="1849" ht="12.75" customHeight="1">
      <c r="A1849" s="4">
        <f t="shared" si="2"/>
        <v>1848</v>
      </c>
      <c r="B1849" s="4" t="s">
        <v>4063</v>
      </c>
      <c r="C1849" s="5" t="s">
        <v>4064</v>
      </c>
      <c r="D1849" s="4"/>
      <c r="E1849" s="4"/>
      <c r="F1849" s="4" t="s">
        <v>22</v>
      </c>
      <c r="G1849" s="6">
        <v>19.78</v>
      </c>
      <c r="H1849" s="7" t="s">
        <v>1606</v>
      </c>
      <c r="I1849" s="4" t="s">
        <v>2423</v>
      </c>
      <c r="J1849" s="4" t="s">
        <v>4065</v>
      </c>
      <c r="K1849" s="8"/>
      <c r="L1849" s="8" t="s">
        <v>507</v>
      </c>
      <c r="M1849" s="9">
        <f t="shared" si="1"/>
        <v>34</v>
      </c>
    </row>
    <row r="1850" ht="12.75" customHeight="1">
      <c r="A1850" s="4">
        <f t="shared" si="2"/>
        <v>1849</v>
      </c>
      <c r="B1850" s="4" t="s">
        <v>4066</v>
      </c>
      <c r="C1850" s="5" t="s">
        <v>4067</v>
      </c>
      <c r="D1850" s="4"/>
      <c r="E1850" s="4"/>
      <c r="F1850" s="4" t="s">
        <v>22</v>
      </c>
      <c r="G1850" s="6">
        <v>0.77</v>
      </c>
      <c r="H1850" s="7" t="s">
        <v>1606</v>
      </c>
      <c r="I1850" s="4" t="s">
        <v>1773</v>
      </c>
      <c r="J1850" s="4" t="s">
        <v>1774</v>
      </c>
      <c r="K1850" s="8"/>
      <c r="L1850" s="8" t="s">
        <v>33</v>
      </c>
      <c r="M1850" s="9">
        <f t="shared" si="1"/>
        <v>48</v>
      </c>
    </row>
    <row r="1851" ht="12.75" customHeight="1">
      <c r="A1851" s="4">
        <f t="shared" si="2"/>
        <v>1850</v>
      </c>
      <c r="B1851" s="4" t="s">
        <v>4068</v>
      </c>
      <c r="C1851" s="5" t="s">
        <v>4069</v>
      </c>
      <c r="D1851" s="4"/>
      <c r="E1851" s="4"/>
      <c r="F1851" s="4" t="s">
        <v>22</v>
      </c>
      <c r="G1851" s="6">
        <v>0.35</v>
      </c>
      <c r="H1851" s="7" t="s">
        <v>1606</v>
      </c>
      <c r="I1851" s="4" t="s">
        <v>1794</v>
      </c>
      <c r="J1851" s="4" t="s">
        <v>165</v>
      </c>
      <c r="K1851" s="8"/>
      <c r="L1851" s="8" t="s">
        <v>33</v>
      </c>
      <c r="M1851" s="9">
        <f t="shared" si="1"/>
        <v>42</v>
      </c>
    </row>
    <row r="1852" ht="12.75" customHeight="1">
      <c r="A1852" s="4">
        <f t="shared" si="2"/>
        <v>1851</v>
      </c>
      <c r="B1852" s="4" t="s">
        <v>4070</v>
      </c>
      <c r="C1852" s="5" t="s">
        <v>4071</v>
      </c>
      <c r="D1852" s="4"/>
      <c r="E1852" s="4"/>
      <c r="F1852" s="4" t="s">
        <v>22</v>
      </c>
      <c r="G1852" s="6">
        <v>0.35</v>
      </c>
      <c r="H1852" s="7" t="s">
        <v>1606</v>
      </c>
      <c r="I1852" s="4" t="s">
        <v>1794</v>
      </c>
      <c r="J1852" s="4" t="s">
        <v>165</v>
      </c>
      <c r="K1852" s="8"/>
      <c r="L1852" s="8" t="s">
        <v>33</v>
      </c>
      <c r="M1852" s="9">
        <f t="shared" si="1"/>
        <v>42</v>
      </c>
    </row>
    <row r="1853" ht="12.75" customHeight="1">
      <c r="A1853" s="4">
        <f t="shared" si="2"/>
        <v>1852</v>
      </c>
      <c r="B1853" s="4" t="s">
        <v>4072</v>
      </c>
      <c r="C1853" s="5" t="s">
        <v>4073</v>
      </c>
      <c r="D1853" s="4"/>
      <c r="E1853" s="4"/>
      <c r="F1853" s="4" t="s">
        <v>22</v>
      </c>
      <c r="G1853" s="21">
        <v>0.35</v>
      </c>
      <c r="H1853" s="7" t="s">
        <v>1606</v>
      </c>
      <c r="I1853" s="4" t="s">
        <v>1794</v>
      </c>
      <c r="J1853" s="4" t="s">
        <v>165</v>
      </c>
      <c r="K1853" s="8"/>
      <c r="L1853" s="8" t="s">
        <v>33</v>
      </c>
      <c r="M1853" s="9">
        <f t="shared" si="1"/>
        <v>42</v>
      </c>
    </row>
    <row r="1854" ht="12.75" customHeight="1">
      <c r="A1854" s="4">
        <f t="shared" si="2"/>
        <v>1853</v>
      </c>
      <c r="B1854" s="4" t="s">
        <v>4074</v>
      </c>
      <c r="C1854" s="5" t="s">
        <v>4075</v>
      </c>
      <c r="D1854" s="4"/>
      <c r="E1854" s="4"/>
      <c r="F1854" s="4" t="s">
        <v>22</v>
      </c>
      <c r="G1854" s="21">
        <v>0.35</v>
      </c>
      <c r="H1854" s="7" t="s">
        <v>1606</v>
      </c>
      <c r="I1854" s="4" t="s">
        <v>1794</v>
      </c>
      <c r="J1854" s="4" t="s">
        <v>165</v>
      </c>
      <c r="K1854" s="8"/>
      <c r="L1854" s="8" t="s">
        <v>33</v>
      </c>
      <c r="M1854" s="9">
        <f t="shared" si="1"/>
        <v>42</v>
      </c>
    </row>
    <row r="1855" ht="12.75" customHeight="1">
      <c r="A1855" s="4">
        <f t="shared" si="2"/>
        <v>1854</v>
      </c>
      <c r="B1855" s="4" t="s">
        <v>4076</v>
      </c>
      <c r="C1855" s="5" t="s">
        <v>4077</v>
      </c>
      <c r="D1855" s="4"/>
      <c r="E1855" s="4"/>
      <c r="F1855" s="4" t="s">
        <v>22</v>
      </c>
      <c r="G1855" s="21">
        <v>0.35</v>
      </c>
      <c r="H1855" s="7" t="s">
        <v>1606</v>
      </c>
      <c r="I1855" s="4" t="s">
        <v>1794</v>
      </c>
      <c r="J1855" s="4" t="s">
        <v>165</v>
      </c>
      <c r="K1855" s="8"/>
      <c r="L1855" s="8" t="s">
        <v>33</v>
      </c>
      <c r="M1855" s="9">
        <f t="shared" si="1"/>
        <v>42</v>
      </c>
    </row>
    <row r="1856" ht="12.75" customHeight="1">
      <c r="A1856" s="4">
        <f t="shared" si="2"/>
        <v>1855</v>
      </c>
      <c r="B1856" s="4" t="s">
        <v>4078</v>
      </c>
      <c r="C1856" s="5" t="s">
        <v>4079</v>
      </c>
      <c r="D1856" s="4"/>
      <c r="E1856" s="4"/>
      <c r="F1856" s="4" t="s">
        <v>22</v>
      </c>
      <c r="G1856" s="21">
        <v>0.27</v>
      </c>
      <c r="H1856" s="7" t="s">
        <v>1606</v>
      </c>
      <c r="I1856" s="4" t="s">
        <v>1794</v>
      </c>
      <c r="J1856" s="4" t="s">
        <v>165</v>
      </c>
      <c r="K1856" s="8"/>
      <c r="L1856" s="8" t="s">
        <v>33</v>
      </c>
      <c r="M1856" s="9">
        <f t="shared" si="1"/>
        <v>50</v>
      </c>
    </row>
    <row r="1857" ht="12.75" customHeight="1">
      <c r="A1857" s="4">
        <f t="shared" si="2"/>
        <v>1856</v>
      </c>
      <c r="B1857" s="4" t="s">
        <v>4080</v>
      </c>
      <c r="C1857" s="5" t="s">
        <v>4081</v>
      </c>
      <c r="D1857" s="4"/>
      <c r="E1857" s="4"/>
      <c r="F1857" s="4" t="s">
        <v>22</v>
      </c>
      <c r="G1857" s="6">
        <v>0.27</v>
      </c>
      <c r="H1857" s="7" t="s">
        <v>1606</v>
      </c>
      <c r="I1857" s="4" t="s">
        <v>1794</v>
      </c>
      <c r="J1857" s="4" t="s">
        <v>165</v>
      </c>
      <c r="K1857" s="8"/>
      <c r="L1857" s="8" t="s">
        <v>33</v>
      </c>
      <c r="M1857" s="9">
        <f t="shared" si="1"/>
        <v>48</v>
      </c>
    </row>
    <row r="1858" ht="12.75" customHeight="1">
      <c r="A1858" s="4">
        <f t="shared" si="2"/>
        <v>1857</v>
      </c>
      <c r="B1858" s="4" t="s">
        <v>4082</v>
      </c>
      <c r="C1858" s="5" t="s">
        <v>4083</v>
      </c>
      <c r="D1858" s="4"/>
      <c r="E1858" s="4"/>
      <c r="F1858" s="4" t="s">
        <v>22</v>
      </c>
      <c r="G1858" s="21">
        <v>3.22</v>
      </c>
      <c r="H1858" s="7" t="s">
        <v>1606</v>
      </c>
      <c r="I1858" s="4" t="s">
        <v>1475</v>
      </c>
      <c r="J1858" s="4" t="s">
        <v>1476</v>
      </c>
      <c r="K1858" s="8"/>
      <c r="L1858" s="8" t="s">
        <v>33</v>
      </c>
      <c r="M1858" s="9">
        <f t="shared" si="1"/>
        <v>28</v>
      </c>
    </row>
    <row r="1859" ht="12.75" customHeight="1">
      <c r="A1859" s="4">
        <f t="shared" si="2"/>
        <v>1858</v>
      </c>
      <c r="B1859" s="4" t="s">
        <v>4084</v>
      </c>
      <c r="C1859" s="5" t="s">
        <v>4085</v>
      </c>
      <c r="D1859" s="4"/>
      <c r="E1859" s="4"/>
      <c r="F1859" s="4" t="s">
        <v>22</v>
      </c>
      <c r="G1859" s="6">
        <v>6.7</v>
      </c>
      <c r="H1859" s="7" t="s">
        <v>1606</v>
      </c>
      <c r="I1859" s="4" t="s">
        <v>2011</v>
      </c>
      <c r="J1859" s="4" t="s">
        <v>4086</v>
      </c>
      <c r="K1859" s="8"/>
      <c r="L1859" s="8" t="s">
        <v>33</v>
      </c>
      <c r="M1859" s="9">
        <f t="shared" si="1"/>
        <v>23</v>
      </c>
    </row>
    <row r="1860" ht="12.75" customHeight="1">
      <c r="A1860" s="4">
        <f t="shared" si="2"/>
        <v>1859</v>
      </c>
      <c r="B1860" s="4" t="s">
        <v>4087</v>
      </c>
      <c r="C1860" s="5" t="s">
        <v>4088</v>
      </c>
      <c r="D1860" s="4"/>
      <c r="E1860" s="4"/>
      <c r="F1860" s="4" t="s">
        <v>22</v>
      </c>
      <c r="G1860" s="6">
        <v>8.61</v>
      </c>
      <c r="H1860" s="7" t="s">
        <v>1606</v>
      </c>
      <c r="I1860" s="4" t="s">
        <v>2011</v>
      </c>
      <c r="J1860" s="4" t="s">
        <v>4086</v>
      </c>
      <c r="K1860" s="8"/>
      <c r="L1860" s="8" t="s">
        <v>33</v>
      </c>
      <c r="M1860" s="9">
        <f t="shared" si="1"/>
        <v>23</v>
      </c>
    </row>
    <row r="1861" ht="12.75" customHeight="1">
      <c r="A1861" s="4">
        <f t="shared" si="2"/>
        <v>1860</v>
      </c>
      <c r="B1861" s="4" t="s">
        <v>4089</v>
      </c>
      <c r="C1861" s="5" t="s">
        <v>4090</v>
      </c>
      <c r="D1861" s="4"/>
      <c r="E1861" s="4"/>
      <c r="F1861" s="4" t="s">
        <v>22</v>
      </c>
      <c r="G1861" s="6">
        <v>16.52</v>
      </c>
      <c r="H1861" s="7" t="s">
        <v>1606</v>
      </c>
      <c r="I1861" s="4" t="s">
        <v>2011</v>
      </c>
      <c r="J1861" s="4" t="s">
        <v>4086</v>
      </c>
      <c r="K1861" s="8"/>
      <c r="L1861" s="8" t="s">
        <v>33</v>
      </c>
      <c r="M1861" s="9">
        <f t="shared" si="1"/>
        <v>23</v>
      </c>
    </row>
    <row r="1862" ht="12.75" customHeight="1">
      <c r="A1862" s="4">
        <f t="shared" si="2"/>
        <v>1861</v>
      </c>
      <c r="B1862" s="4" t="s">
        <v>4091</v>
      </c>
      <c r="C1862" s="5" t="s">
        <v>4092</v>
      </c>
      <c r="D1862" s="4"/>
      <c r="E1862" s="4"/>
      <c r="F1862" s="4" t="s">
        <v>22</v>
      </c>
      <c r="G1862" s="6">
        <v>21.62</v>
      </c>
      <c r="H1862" s="7" t="s">
        <v>1606</v>
      </c>
      <c r="I1862" s="4" t="s">
        <v>2011</v>
      </c>
      <c r="J1862" s="4" t="s">
        <v>4086</v>
      </c>
      <c r="K1862" s="8"/>
      <c r="L1862" s="8" t="s">
        <v>33</v>
      </c>
      <c r="M1862" s="9">
        <f t="shared" si="1"/>
        <v>23</v>
      </c>
    </row>
    <row r="1863" ht="12.75" customHeight="1">
      <c r="A1863" s="4">
        <f t="shared" si="2"/>
        <v>1862</v>
      </c>
      <c r="B1863" s="4" t="s">
        <v>4093</v>
      </c>
      <c r="C1863" s="5" t="s">
        <v>4094</v>
      </c>
      <c r="D1863" s="4"/>
      <c r="E1863" s="4"/>
      <c r="F1863" s="4" t="s">
        <v>22</v>
      </c>
      <c r="G1863" s="6">
        <v>9.16</v>
      </c>
      <c r="H1863" s="7" t="s">
        <v>1606</v>
      </c>
      <c r="I1863" s="4" t="s">
        <v>2011</v>
      </c>
      <c r="J1863" s="4" t="s">
        <v>4086</v>
      </c>
      <c r="K1863" s="8"/>
      <c r="L1863" s="8" t="s">
        <v>33</v>
      </c>
      <c r="M1863" s="9">
        <f t="shared" si="1"/>
        <v>29</v>
      </c>
    </row>
    <row r="1864" ht="12.75" customHeight="1">
      <c r="A1864" s="4">
        <f t="shared" si="2"/>
        <v>1863</v>
      </c>
      <c r="B1864" s="4" t="s">
        <v>4095</v>
      </c>
      <c r="C1864" s="5" t="s">
        <v>4096</v>
      </c>
      <c r="D1864" s="4"/>
      <c r="E1864" s="4"/>
      <c r="F1864" s="4" t="s">
        <v>1791</v>
      </c>
      <c r="G1864" s="6">
        <v>18.89</v>
      </c>
      <c r="H1864" s="7" t="s">
        <v>1606</v>
      </c>
      <c r="I1864" s="4" t="s">
        <v>17</v>
      </c>
      <c r="J1864" s="4" t="s">
        <v>2830</v>
      </c>
      <c r="K1864" s="8"/>
      <c r="L1864" s="8" t="s">
        <v>33</v>
      </c>
      <c r="M1864" s="9">
        <f t="shared" si="1"/>
        <v>39</v>
      </c>
    </row>
    <row r="1865" ht="12.75" customHeight="1">
      <c r="A1865" s="4">
        <f t="shared" si="2"/>
        <v>1864</v>
      </c>
      <c r="B1865" s="4" t="s">
        <v>4097</v>
      </c>
      <c r="C1865" s="5" t="s">
        <v>4098</v>
      </c>
      <c r="D1865" s="4"/>
      <c r="E1865" s="4"/>
      <c r="F1865" s="4" t="s">
        <v>22</v>
      </c>
      <c r="G1865" s="6">
        <v>118.9</v>
      </c>
      <c r="H1865" s="7" t="s">
        <v>1606</v>
      </c>
      <c r="I1865" s="4" t="s">
        <v>2392</v>
      </c>
      <c r="J1865" s="4" t="s">
        <v>4099</v>
      </c>
      <c r="K1865" s="8"/>
      <c r="L1865" s="8" t="s">
        <v>33</v>
      </c>
      <c r="M1865" s="9">
        <f t="shared" si="1"/>
        <v>35</v>
      </c>
    </row>
    <row r="1866" ht="12.75" customHeight="1">
      <c r="A1866" s="4">
        <f t="shared" si="2"/>
        <v>1865</v>
      </c>
      <c r="B1866" s="4" t="s">
        <v>4100</v>
      </c>
      <c r="C1866" s="5" t="s">
        <v>4101</v>
      </c>
      <c r="D1866" s="4"/>
      <c r="E1866" s="4"/>
      <c r="F1866" s="4" t="s">
        <v>2391</v>
      </c>
      <c r="G1866" s="6">
        <v>0.93</v>
      </c>
      <c r="H1866" s="7" t="s">
        <v>1606</v>
      </c>
      <c r="I1866" s="4" t="s">
        <v>1574</v>
      </c>
      <c r="J1866" s="4" t="s">
        <v>2075</v>
      </c>
      <c r="K1866" s="8"/>
      <c r="L1866" s="8" t="s">
        <v>33</v>
      </c>
      <c r="M1866" s="9">
        <f t="shared" si="1"/>
        <v>33</v>
      </c>
    </row>
    <row r="1867" ht="12.75" customHeight="1">
      <c r="A1867" s="4">
        <f t="shared" si="2"/>
        <v>1866</v>
      </c>
      <c r="B1867" s="4" t="s">
        <v>4102</v>
      </c>
      <c r="C1867" s="5" t="s">
        <v>4103</v>
      </c>
      <c r="D1867" s="4"/>
      <c r="E1867" s="4"/>
      <c r="F1867" s="4" t="s">
        <v>2391</v>
      </c>
      <c r="G1867" s="6">
        <v>0.93</v>
      </c>
      <c r="H1867" s="7" t="s">
        <v>1606</v>
      </c>
      <c r="I1867" s="4" t="s">
        <v>1574</v>
      </c>
      <c r="J1867" s="4" t="s">
        <v>2075</v>
      </c>
      <c r="K1867" s="8"/>
      <c r="L1867" s="8" t="s">
        <v>33</v>
      </c>
      <c r="M1867" s="9">
        <f t="shared" si="1"/>
        <v>33</v>
      </c>
    </row>
    <row r="1868" ht="12.75" customHeight="1">
      <c r="A1868" s="4">
        <f t="shared" si="2"/>
        <v>1867</v>
      </c>
      <c r="B1868" s="4" t="s">
        <v>4104</v>
      </c>
      <c r="C1868" s="5" t="s">
        <v>4105</v>
      </c>
      <c r="D1868" s="4"/>
      <c r="E1868" s="4"/>
      <c r="F1868" s="4" t="s">
        <v>2391</v>
      </c>
      <c r="G1868" s="6">
        <v>0.93</v>
      </c>
      <c r="H1868" s="7" t="s">
        <v>1606</v>
      </c>
      <c r="I1868" s="4" t="s">
        <v>1574</v>
      </c>
      <c r="J1868" s="4" t="s">
        <v>2075</v>
      </c>
      <c r="K1868" s="8"/>
      <c r="L1868" s="8" t="s">
        <v>33</v>
      </c>
      <c r="M1868" s="9">
        <f t="shared" si="1"/>
        <v>32</v>
      </c>
    </row>
    <row r="1869" ht="12.75" customHeight="1">
      <c r="A1869" s="4">
        <f t="shared" si="2"/>
        <v>1868</v>
      </c>
      <c r="B1869" s="4" t="s">
        <v>4106</v>
      </c>
      <c r="C1869" s="5" t="s">
        <v>4107</v>
      </c>
      <c r="D1869" s="4"/>
      <c r="E1869" s="4"/>
      <c r="F1869" s="4" t="s">
        <v>2391</v>
      </c>
      <c r="G1869" s="6">
        <v>0.93</v>
      </c>
      <c r="H1869" s="7" t="s">
        <v>1606</v>
      </c>
      <c r="I1869" s="4" t="s">
        <v>1574</v>
      </c>
      <c r="J1869" s="4" t="s">
        <v>2075</v>
      </c>
      <c r="K1869" s="8"/>
      <c r="L1869" s="8" t="s">
        <v>33</v>
      </c>
      <c r="M1869" s="9">
        <f t="shared" si="1"/>
        <v>31</v>
      </c>
    </row>
    <row r="1870" ht="12.75" customHeight="1">
      <c r="A1870" s="4">
        <f t="shared" si="2"/>
        <v>1869</v>
      </c>
      <c r="B1870" s="4" t="s">
        <v>4108</v>
      </c>
      <c r="C1870" s="5" t="s">
        <v>4109</v>
      </c>
      <c r="D1870" s="4"/>
      <c r="E1870" s="4"/>
      <c r="F1870" s="4" t="s">
        <v>2391</v>
      </c>
      <c r="G1870" s="6">
        <v>0.27</v>
      </c>
      <c r="H1870" s="7" t="s">
        <v>1606</v>
      </c>
      <c r="I1870" s="4" t="s">
        <v>1574</v>
      </c>
      <c r="J1870" s="4" t="s">
        <v>2075</v>
      </c>
      <c r="K1870" s="8"/>
      <c r="L1870" s="8" t="s">
        <v>4110</v>
      </c>
      <c r="M1870" s="9">
        <f t="shared" si="1"/>
        <v>48</v>
      </c>
    </row>
    <row r="1871" ht="12.75" customHeight="1">
      <c r="A1871" s="4">
        <f t="shared" si="2"/>
        <v>1870</v>
      </c>
      <c r="B1871" s="4" t="s">
        <v>4111</v>
      </c>
      <c r="C1871" s="5" t="s">
        <v>4112</v>
      </c>
      <c r="D1871" s="4"/>
      <c r="E1871" s="4"/>
      <c r="F1871" s="4" t="s">
        <v>2391</v>
      </c>
      <c r="G1871" s="6">
        <v>0.27</v>
      </c>
      <c r="H1871" s="7" t="s">
        <v>1606</v>
      </c>
      <c r="I1871" s="4" t="s">
        <v>1574</v>
      </c>
      <c r="J1871" s="4" t="s">
        <v>2075</v>
      </c>
      <c r="K1871" s="8"/>
      <c r="L1871" s="8" t="s">
        <v>4110</v>
      </c>
      <c r="M1871" s="9">
        <f t="shared" si="1"/>
        <v>50</v>
      </c>
    </row>
    <row r="1872" ht="12.75" customHeight="1">
      <c r="A1872" s="4">
        <f t="shared" si="2"/>
        <v>1871</v>
      </c>
      <c r="B1872" s="4" t="s">
        <v>4113</v>
      </c>
      <c r="C1872" s="5" t="s">
        <v>4114</v>
      </c>
      <c r="D1872" s="4"/>
      <c r="E1872" s="4"/>
      <c r="F1872" s="4" t="s">
        <v>2391</v>
      </c>
      <c r="G1872" s="6">
        <v>0.27</v>
      </c>
      <c r="H1872" s="7" t="s">
        <v>1606</v>
      </c>
      <c r="I1872" s="4" t="s">
        <v>1574</v>
      </c>
      <c r="J1872" s="4" t="s">
        <v>2075</v>
      </c>
      <c r="K1872" s="8"/>
      <c r="L1872" s="8" t="s">
        <v>4110</v>
      </c>
      <c r="M1872" s="9">
        <f t="shared" si="1"/>
        <v>49</v>
      </c>
    </row>
    <row r="1873" ht="12.75" customHeight="1">
      <c r="A1873" s="4">
        <f t="shared" si="2"/>
        <v>1872</v>
      </c>
      <c r="B1873" s="4" t="s">
        <v>4115</v>
      </c>
      <c r="C1873" s="5" t="s">
        <v>4116</v>
      </c>
      <c r="D1873" s="4"/>
      <c r="E1873" s="4"/>
      <c r="F1873" s="4" t="s">
        <v>2391</v>
      </c>
      <c r="G1873" s="6">
        <v>0.27</v>
      </c>
      <c r="H1873" s="7" t="s">
        <v>1606</v>
      </c>
      <c r="I1873" s="4" t="s">
        <v>1574</v>
      </c>
      <c r="J1873" s="4" t="s">
        <v>2075</v>
      </c>
      <c r="K1873" s="8"/>
      <c r="L1873" s="8" t="s">
        <v>4110</v>
      </c>
      <c r="M1873" s="9">
        <f t="shared" si="1"/>
        <v>48</v>
      </c>
    </row>
    <row r="1874" ht="12.75" customHeight="1">
      <c r="A1874" s="4">
        <f t="shared" si="2"/>
        <v>1873</v>
      </c>
      <c r="B1874" s="4" t="s">
        <v>4117</v>
      </c>
      <c r="C1874" s="5" t="s">
        <v>4118</v>
      </c>
      <c r="D1874" s="4"/>
      <c r="E1874" s="4"/>
      <c r="F1874" s="4" t="s">
        <v>2391</v>
      </c>
      <c r="G1874" s="6">
        <v>0.27</v>
      </c>
      <c r="H1874" s="7" t="s">
        <v>1606</v>
      </c>
      <c r="I1874" s="4" t="s">
        <v>1574</v>
      </c>
      <c r="J1874" s="4" t="s">
        <v>2075</v>
      </c>
      <c r="K1874" s="8"/>
      <c r="L1874" s="8" t="s">
        <v>4110</v>
      </c>
      <c r="M1874" s="9">
        <f t="shared" si="1"/>
        <v>49</v>
      </c>
    </row>
    <row r="1875" ht="12.75" customHeight="1">
      <c r="A1875" s="4">
        <f t="shared" si="2"/>
        <v>1874</v>
      </c>
      <c r="B1875" s="4" t="s">
        <v>4119</v>
      </c>
      <c r="C1875" s="5" t="s">
        <v>4120</v>
      </c>
      <c r="D1875" s="4"/>
      <c r="E1875" s="4"/>
      <c r="F1875" s="4" t="s">
        <v>1791</v>
      </c>
      <c r="G1875" s="6">
        <v>41.89</v>
      </c>
      <c r="H1875" s="7" t="s">
        <v>1606</v>
      </c>
      <c r="I1875" s="4" t="s">
        <v>1574</v>
      </c>
      <c r="J1875" s="4" t="s">
        <v>2075</v>
      </c>
      <c r="K1875" s="8"/>
      <c r="L1875" s="8" t="s">
        <v>4110</v>
      </c>
      <c r="M1875" s="9">
        <f t="shared" si="1"/>
        <v>47</v>
      </c>
    </row>
    <row r="1876" ht="12.75" customHeight="1">
      <c r="A1876" s="4">
        <f t="shared" si="2"/>
        <v>1875</v>
      </c>
      <c r="B1876" s="4" t="s">
        <v>4121</v>
      </c>
      <c r="C1876" s="5" t="s">
        <v>4122</v>
      </c>
      <c r="D1876" s="4"/>
      <c r="E1876" s="4"/>
      <c r="F1876" s="4" t="s">
        <v>1791</v>
      </c>
      <c r="G1876" s="6">
        <v>41.89</v>
      </c>
      <c r="H1876" s="7" t="s">
        <v>1606</v>
      </c>
      <c r="I1876" s="4" t="s">
        <v>1574</v>
      </c>
      <c r="J1876" s="4" t="s">
        <v>2075</v>
      </c>
      <c r="K1876" s="8"/>
      <c r="L1876" s="8" t="s">
        <v>4110</v>
      </c>
      <c r="M1876" s="9">
        <f t="shared" si="1"/>
        <v>49</v>
      </c>
    </row>
    <row r="1877" ht="12.75" customHeight="1">
      <c r="A1877" s="4">
        <f t="shared" si="2"/>
        <v>1876</v>
      </c>
      <c r="B1877" s="4" t="s">
        <v>4123</v>
      </c>
      <c r="C1877" s="5" t="s">
        <v>4124</v>
      </c>
      <c r="D1877" s="4"/>
      <c r="E1877" s="4"/>
      <c r="F1877" s="4" t="s">
        <v>1791</v>
      </c>
      <c r="G1877" s="6">
        <v>41.89</v>
      </c>
      <c r="H1877" s="7" t="s">
        <v>1606</v>
      </c>
      <c r="I1877" s="4" t="s">
        <v>1574</v>
      </c>
      <c r="J1877" s="4" t="s">
        <v>2075</v>
      </c>
      <c r="K1877" s="8"/>
      <c r="L1877" s="8" t="s">
        <v>4110</v>
      </c>
      <c r="M1877" s="9">
        <f t="shared" si="1"/>
        <v>48</v>
      </c>
    </row>
    <row r="1878" ht="12.75" customHeight="1">
      <c r="A1878" s="4">
        <f t="shared" si="2"/>
        <v>1877</v>
      </c>
      <c r="B1878" s="4" t="s">
        <v>4125</v>
      </c>
      <c r="C1878" s="5" t="s">
        <v>4126</v>
      </c>
      <c r="D1878" s="4"/>
      <c r="E1878" s="4"/>
      <c r="F1878" s="4" t="s">
        <v>1791</v>
      </c>
      <c r="G1878" s="6">
        <v>41.89</v>
      </c>
      <c r="H1878" s="7" t="s">
        <v>1606</v>
      </c>
      <c r="I1878" s="4" t="s">
        <v>1574</v>
      </c>
      <c r="J1878" s="4" t="s">
        <v>2075</v>
      </c>
      <c r="K1878" s="8"/>
      <c r="L1878" s="8" t="s">
        <v>4110</v>
      </c>
      <c r="M1878" s="9">
        <f t="shared" si="1"/>
        <v>47</v>
      </c>
    </row>
    <row r="1879" ht="12.75" customHeight="1">
      <c r="A1879" s="4">
        <f t="shared" si="2"/>
        <v>1878</v>
      </c>
      <c r="B1879" s="4" t="s">
        <v>4127</v>
      </c>
      <c r="C1879" s="5" t="s">
        <v>4128</v>
      </c>
      <c r="D1879" s="4"/>
      <c r="E1879" s="4"/>
      <c r="F1879" s="4" t="s">
        <v>1791</v>
      </c>
      <c r="G1879" s="6">
        <v>41.89</v>
      </c>
      <c r="H1879" s="7" t="s">
        <v>1606</v>
      </c>
      <c r="I1879" s="4" t="s">
        <v>1574</v>
      </c>
      <c r="J1879" s="4" t="s">
        <v>2075</v>
      </c>
      <c r="K1879" s="8"/>
      <c r="L1879" s="8" t="s">
        <v>4110</v>
      </c>
      <c r="M1879" s="9">
        <f t="shared" si="1"/>
        <v>48</v>
      </c>
    </row>
    <row r="1880" ht="12.75" customHeight="1">
      <c r="A1880" s="4">
        <f t="shared" si="2"/>
        <v>1879</v>
      </c>
      <c r="B1880" s="4" t="s">
        <v>4129</v>
      </c>
      <c r="C1880" s="5" t="s">
        <v>4130</v>
      </c>
      <c r="D1880" s="4"/>
      <c r="E1880" s="4"/>
      <c r="F1880" s="4" t="s">
        <v>1791</v>
      </c>
      <c r="G1880" s="6">
        <v>67.57</v>
      </c>
      <c r="H1880" s="7" t="s">
        <v>1606</v>
      </c>
      <c r="I1880" s="4" t="s">
        <v>1574</v>
      </c>
      <c r="J1880" s="4" t="s">
        <v>2075</v>
      </c>
      <c r="K1880" s="8"/>
      <c r="L1880" s="8" t="s">
        <v>4110</v>
      </c>
      <c r="M1880" s="9">
        <f t="shared" si="1"/>
        <v>47</v>
      </c>
    </row>
    <row r="1881" ht="12.75" customHeight="1">
      <c r="A1881" s="4">
        <f t="shared" si="2"/>
        <v>1880</v>
      </c>
      <c r="B1881" s="4" t="s">
        <v>4131</v>
      </c>
      <c r="C1881" s="5" t="s">
        <v>4132</v>
      </c>
      <c r="D1881" s="4"/>
      <c r="E1881" s="4"/>
      <c r="F1881" s="4" t="s">
        <v>1791</v>
      </c>
      <c r="G1881" s="6">
        <v>67.57</v>
      </c>
      <c r="H1881" s="7" t="s">
        <v>1606</v>
      </c>
      <c r="I1881" s="4" t="s">
        <v>1574</v>
      </c>
      <c r="J1881" s="4" t="s">
        <v>2075</v>
      </c>
      <c r="K1881" s="8"/>
      <c r="L1881" s="8" t="s">
        <v>4110</v>
      </c>
      <c r="M1881" s="9">
        <f t="shared" si="1"/>
        <v>49</v>
      </c>
    </row>
    <row r="1882" ht="12.75" customHeight="1">
      <c r="A1882" s="4">
        <f t="shared" si="2"/>
        <v>1881</v>
      </c>
      <c r="B1882" s="4" t="s">
        <v>4133</v>
      </c>
      <c r="C1882" s="5" t="s">
        <v>4134</v>
      </c>
      <c r="D1882" s="4"/>
      <c r="E1882" s="4"/>
      <c r="F1882" s="4" t="s">
        <v>1791</v>
      </c>
      <c r="G1882" s="6">
        <v>67.57</v>
      </c>
      <c r="H1882" s="7" t="s">
        <v>1606</v>
      </c>
      <c r="I1882" s="4" t="s">
        <v>1574</v>
      </c>
      <c r="J1882" s="4" t="s">
        <v>2075</v>
      </c>
      <c r="K1882" s="8"/>
      <c r="L1882" s="8" t="s">
        <v>4110</v>
      </c>
      <c r="M1882" s="9">
        <f t="shared" si="1"/>
        <v>48</v>
      </c>
    </row>
    <row r="1883" ht="12.75" customHeight="1">
      <c r="A1883" s="4">
        <f t="shared" si="2"/>
        <v>1882</v>
      </c>
      <c r="B1883" s="4" t="s">
        <v>4135</v>
      </c>
      <c r="C1883" s="5" t="s">
        <v>4136</v>
      </c>
      <c r="D1883" s="4"/>
      <c r="E1883" s="4"/>
      <c r="F1883" s="4" t="s">
        <v>1791</v>
      </c>
      <c r="G1883" s="6">
        <v>67.57</v>
      </c>
      <c r="H1883" s="7" t="s">
        <v>1606</v>
      </c>
      <c r="I1883" s="4" t="s">
        <v>1574</v>
      </c>
      <c r="J1883" s="4" t="s">
        <v>2075</v>
      </c>
      <c r="K1883" s="8"/>
      <c r="L1883" s="8" t="s">
        <v>4110</v>
      </c>
      <c r="M1883" s="9">
        <f t="shared" si="1"/>
        <v>47</v>
      </c>
    </row>
    <row r="1884" ht="12.75" customHeight="1">
      <c r="A1884" s="4">
        <f t="shared" si="2"/>
        <v>1883</v>
      </c>
      <c r="B1884" s="4" t="s">
        <v>4137</v>
      </c>
      <c r="C1884" s="5" t="s">
        <v>4138</v>
      </c>
      <c r="D1884" s="4"/>
      <c r="E1884" s="4"/>
      <c r="F1884" s="4" t="s">
        <v>1791</v>
      </c>
      <c r="G1884" s="6">
        <v>67.57</v>
      </c>
      <c r="H1884" s="7" t="s">
        <v>1606</v>
      </c>
      <c r="I1884" s="4" t="s">
        <v>1574</v>
      </c>
      <c r="J1884" s="4" t="s">
        <v>2075</v>
      </c>
      <c r="K1884" s="8"/>
      <c r="L1884" s="8" t="s">
        <v>4110</v>
      </c>
      <c r="M1884" s="9">
        <f t="shared" si="1"/>
        <v>48</v>
      </c>
    </row>
    <row r="1885" ht="12.75" customHeight="1">
      <c r="A1885" s="4">
        <f t="shared" si="2"/>
        <v>1884</v>
      </c>
      <c r="B1885" s="4" t="s">
        <v>4139</v>
      </c>
      <c r="C1885" s="5" t="s">
        <v>4140</v>
      </c>
      <c r="D1885" s="4"/>
      <c r="E1885" s="4"/>
      <c r="F1885" s="4" t="s">
        <v>1791</v>
      </c>
      <c r="G1885" s="6">
        <v>45.95</v>
      </c>
      <c r="H1885" s="7" t="s">
        <v>1606</v>
      </c>
      <c r="I1885" s="4" t="s">
        <v>1574</v>
      </c>
      <c r="J1885" s="4" t="s">
        <v>2075</v>
      </c>
      <c r="K1885" s="8"/>
      <c r="L1885" s="8" t="s">
        <v>4110</v>
      </c>
      <c r="M1885" s="9">
        <f t="shared" si="1"/>
        <v>47</v>
      </c>
    </row>
    <row r="1886" ht="12.75" customHeight="1">
      <c r="A1886" s="4">
        <f t="shared" si="2"/>
        <v>1885</v>
      </c>
      <c r="B1886" s="4" t="s">
        <v>4141</v>
      </c>
      <c r="C1886" s="5" t="s">
        <v>4142</v>
      </c>
      <c r="D1886" s="4"/>
      <c r="E1886" s="4"/>
      <c r="F1886" s="4" t="s">
        <v>1791</v>
      </c>
      <c r="G1886" s="6">
        <v>45.95</v>
      </c>
      <c r="H1886" s="7" t="s">
        <v>1606</v>
      </c>
      <c r="I1886" s="4" t="s">
        <v>1574</v>
      </c>
      <c r="J1886" s="4" t="s">
        <v>2075</v>
      </c>
      <c r="K1886" s="8"/>
      <c r="L1886" s="8" t="s">
        <v>4110</v>
      </c>
      <c r="M1886" s="9">
        <f t="shared" si="1"/>
        <v>49</v>
      </c>
    </row>
    <row r="1887" ht="12.75" customHeight="1">
      <c r="A1887" s="4">
        <f t="shared" si="2"/>
        <v>1886</v>
      </c>
      <c r="B1887" s="4" t="s">
        <v>4143</v>
      </c>
      <c r="C1887" s="5" t="s">
        <v>4144</v>
      </c>
      <c r="D1887" s="4"/>
      <c r="E1887" s="4"/>
      <c r="F1887" s="4" t="s">
        <v>1791</v>
      </c>
      <c r="G1887" s="6">
        <v>45.95</v>
      </c>
      <c r="H1887" s="7" t="s">
        <v>1606</v>
      </c>
      <c r="I1887" s="4" t="s">
        <v>1574</v>
      </c>
      <c r="J1887" s="4" t="s">
        <v>2075</v>
      </c>
      <c r="K1887" s="8"/>
      <c r="L1887" s="8" t="s">
        <v>4110</v>
      </c>
      <c r="M1887" s="9">
        <f t="shared" si="1"/>
        <v>48</v>
      </c>
    </row>
    <row r="1888" ht="12.75" customHeight="1">
      <c r="A1888" s="4">
        <f t="shared" si="2"/>
        <v>1887</v>
      </c>
      <c r="B1888" s="4" t="s">
        <v>4145</v>
      </c>
      <c r="C1888" s="5" t="s">
        <v>4146</v>
      </c>
      <c r="D1888" s="4"/>
      <c r="E1888" s="4"/>
      <c r="F1888" s="4" t="s">
        <v>1791</v>
      </c>
      <c r="G1888" s="6">
        <v>45.95</v>
      </c>
      <c r="H1888" s="7" t="s">
        <v>1606</v>
      </c>
      <c r="I1888" s="4" t="s">
        <v>1574</v>
      </c>
      <c r="J1888" s="4" t="s">
        <v>2075</v>
      </c>
      <c r="K1888" s="8"/>
      <c r="L1888" s="8" t="s">
        <v>4110</v>
      </c>
      <c r="M1888" s="9">
        <f t="shared" si="1"/>
        <v>47</v>
      </c>
    </row>
    <row r="1889" ht="12.75" customHeight="1">
      <c r="A1889" s="4">
        <f t="shared" si="2"/>
        <v>1888</v>
      </c>
      <c r="B1889" s="4" t="s">
        <v>4147</v>
      </c>
      <c r="C1889" s="5" t="s">
        <v>4148</v>
      </c>
      <c r="D1889" s="4"/>
      <c r="E1889" s="4"/>
      <c r="F1889" s="4" t="s">
        <v>22</v>
      </c>
      <c r="G1889" s="21">
        <v>67.57</v>
      </c>
      <c r="H1889" s="7" t="s">
        <v>1606</v>
      </c>
      <c r="I1889" s="4" t="s">
        <v>1607</v>
      </c>
      <c r="J1889" s="4" t="s">
        <v>1607</v>
      </c>
      <c r="K1889" s="8"/>
      <c r="L1889" s="8" t="s">
        <v>33</v>
      </c>
      <c r="M1889" s="9">
        <f t="shared" si="1"/>
        <v>78</v>
      </c>
    </row>
    <row r="1890" ht="12.75" customHeight="1">
      <c r="A1890" s="4">
        <f t="shared" si="2"/>
        <v>1889</v>
      </c>
      <c r="B1890" s="4" t="s">
        <v>4149</v>
      </c>
      <c r="C1890" s="5" t="s">
        <v>4150</v>
      </c>
      <c r="D1890" s="4"/>
      <c r="E1890" s="4"/>
      <c r="F1890" s="4" t="s">
        <v>22</v>
      </c>
      <c r="G1890" s="6">
        <v>81.08</v>
      </c>
      <c r="H1890" s="7" t="s">
        <v>1606</v>
      </c>
      <c r="I1890" s="4" t="s">
        <v>1607</v>
      </c>
      <c r="J1890" s="4" t="s">
        <v>1607</v>
      </c>
      <c r="K1890" s="8"/>
      <c r="L1890" s="8" t="s">
        <v>33</v>
      </c>
      <c r="M1890" s="9">
        <f t="shared" si="1"/>
        <v>75</v>
      </c>
    </row>
    <row r="1891" ht="12.75" customHeight="1">
      <c r="A1891" s="4">
        <f t="shared" si="2"/>
        <v>1890</v>
      </c>
      <c r="B1891" s="4" t="s">
        <v>4151</v>
      </c>
      <c r="C1891" s="5" t="s">
        <v>4152</v>
      </c>
      <c r="D1891" s="4"/>
      <c r="E1891" s="4"/>
      <c r="F1891" s="4" t="s">
        <v>22</v>
      </c>
      <c r="G1891" s="21">
        <v>70.27</v>
      </c>
      <c r="H1891" s="7" t="s">
        <v>1606</v>
      </c>
      <c r="I1891" s="4" t="s">
        <v>1607</v>
      </c>
      <c r="J1891" s="4" t="s">
        <v>165</v>
      </c>
      <c r="K1891" s="8"/>
      <c r="L1891" s="8" t="s">
        <v>4046</v>
      </c>
      <c r="M1891" s="9">
        <f t="shared" si="1"/>
        <v>44</v>
      </c>
    </row>
    <row r="1892" ht="12.75" customHeight="1">
      <c r="A1892" s="4">
        <f t="shared" si="2"/>
        <v>1891</v>
      </c>
      <c r="B1892" s="4" t="s">
        <v>4153</v>
      </c>
      <c r="C1892" s="5" t="s">
        <v>4154</v>
      </c>
      <c r="D1892" s="4"/>
      <c r="E1892" s="4"/>
      <c r="F1892" s="4" t="s">
        <v>2391</v>
      </c>
      <c r="G1892" s="6">
        <v>3.54</v>
      </c>
      <c r="H1892" s="7" t="s">
        <v>1606</v>
      </c>
      <c r="I1892" s="4" t="s">
        <v>1607</v>
      </c>
      <c r="J1892" s="4" t="s">
        <v>1607</v>
      </c>
      <c r="K1892" s="8"/>
      <c r="L1892" s="8" t="s">
        <v>4155</v>
      </c>
      <c r="M1892" s="9">
        <f t="shared" si="1"/>
        <v>75</v>
      </c>
    </row>
    <row r="1893" ht="12.75" customHeight="1">
      <c r="A1893" s="4">
        <f t="shared" si="2"/>
        <v>1892</v>
      </c>
      <c r="B1893" s="4" t="s">
        <v>4156</v>
      </c>
      <c r="C1893" s="5" t="s">
        <v>4157</v>
      </c>
      <c r="D1893" s="4"/>
      <c r="E1893" s="4"/>
      <c r="F1893" s="4" t="s">
        <v>2391</v>
      </c>
      <c r="G1893" s="6">
        <v>0.27</v>
      </c>
      <c r="H1893" s="7" t="s">
        <v>1606</v>
      </c>
      <c r="I1893" s="4" t="s">
        <v>1607</v>
      </c>
      <c r="J1893" s="4" t="s">
        <v>1607</v>
      </c>
      <c r="K1893" s="8"/>
      <c r="L1893" s="8" t="s">
        <v>33</v>
      </c>
      <c r="M1893" s="9">
        <f t="shared" si="1"/>
        <v>39</v>
      </c>
    </row>
    <row r="1894" ht="12.75" customHeight="1">
      <c r="A1894" s="4">
        <f t="shared" si="2"/>
        <v>1893</v>
      </c>
      <c r="B1894" s="4" t="s">
        <v>4158</v>
      </c>
      <c r="C1894" s="5" t="s">
        <v>4159</v>
      </c>
      <c r="D1894" s="4"/>
      <c r="E1894" s="4"/>
      <c r="F1894" s="4" t="s">
        <v>2391</v>
      </c>
      <c r="G1894" s="6">
        <v>0.27</v>
      </c>
      <c r="H1894" s="7" t="s">
        <v>1606</v>
      </c>
      <c r="I1894" s="4" t="s">
        <v>1607</v>
      </c>
      <c r="J1894" s="4" t="s">
        <v>1607</v>
      </c>
      <c r="K1894" s="8"/>
      <c r="L1894" s="8" t="s">
        <v>33</v>
      </c>
      <c r="M1894" s="9">
        <f t="shared" si="1"/>
        <v>38</v>
      </c>
    </row>
    <row r="1895" ht="12.75" customHeight="1">
      <c r="A1895" s="4">
        <f t="shared" si="2"/>
        <v>1894</v>
      </c>
      <c r="B1895" s="4" t="s">
        <v>4160</v>
      </c>
      <c r="C1895" s="5" t="s">
        <v>4161</v>
      </c>
      <c r="D1895" s="4"/>
      <c r="E1895" s="4"/>
      <c r="F1895" s="4" t="s">
        <v>22</v>
      </c>
      <c r="G1895" s="6">
        <v>50.32</v>
      </c>
      <c r="H1895" s="7" t="s">
        <v>1606</v>
      </c>
      <c r="I1895" s="4" t="s">
        <v>1794</v>
      </c>
      <c r="J1895" s="4" t="s">
        <v>165</v>
      </c>
      <c r="K1895" s="8"/>
      <c r="L1895" s="8" t="s">
        <v>4046</v>
      </c>
      <c r="M1895" s="9">
        <f t="shared" si="1"/>
        <v>44</v>
      </c>
    </row>
    <row r="1896" ht="12.75" customHeight="1">
      <c r="A1896" s="4">
        <f t="shared" si="2"/>
        <v>1895</v>
      </c>
      <c r="B1896" s="4" t="s">
        <v>4162</v>
      </c>
      <c r="C1896" s="5" t="s">
        <v>4163</v>
      </c>
      <c r="D1896" s="4"/>
      <c r="E1896" s="4"/>
      <c r="F1896" s="4" t="s">
        <v>22</v>
      </c>
      <c r="G1896" s="6">
        <v>4.92</v>
      </c>
      <c r="H1896" s="7" t="s">
        <v>1606</v>
      </c>
      <c r="I1896" s="4" t="s">
        <v>2085</v>
      </c>
      <c r="J1896" s="4" t="s">
        <v>4164</v>
      </c>
      <c r="K1896" s="8"/>
      <c r="L1896" s="8" t="s">
        <v>4046</v>
      </c>
      <c r="M1896" s="9">
        <f t="shared" si="1"/>
        <v>25</v>
      </c>
    </row>
    <row r="1897" ht="12.75" customHeight="1">
      <c r="A1897" s="4">
        <f t="shared" si="2"/>
        <v>1896</v>
      </c>
      <c r="B1897" s="4" t="s">
        <v>4165</v>
      </c>
      <c r="C1897" s="5" t="s">
        <v>4166</v>
      </c>
      <c r="D1897" s="4"/>
      <c r="E1897" s="4"/>
      <c r="F1897" s="4" t="s">
        <v>22</v>
      </c>
      <c r="G1897" s="6">
        <v>50.54</v>
      </c>
      <c r="H1897" s="7" t="s">
        <v>1606</v>
      </c>
      <c r="I1897" s="4" t="s">
        <v>1794</v>
      </c>
      <c r="J1897" s="4" t="s">
        <v>165</v>
      </c>
      <c r="K1897" s="8"/>
      <c r="L1897" s="8" t="s">
        <v>4046</v>
      </c>
      <c r="M1897" s="9">
        <f t="shared" si="1"/>
        <v>42</v>
      </c>
    </row>
    <row r="1898" ht="12.75" customHeight="1">
      <c r="A1898" s="4">
        <f t="shared" si="2"/>
        <v>1897</v>
      </c>
      <c r="B1898" s="4" t="s">
        <v>4167</v>
      </c>
      <c r="C1898" s="5" t="s">
        <v>4168</v>
      </c>
      <c r="D1898" s="4"/>
      <c r="E1898" s="4"/>
      <c r="F1898" s="4" t="s">
        <v>22</v>
      </c>
      <c r="G1898" s="6">
        <v>1.11</v>
      </c>
      <c r="H1898" s="7" t="s">
        <v>1606</v>
      </c>
      <c r="I1898" s="4" t="s">
        <v>17</v>
      </c>
      <c r="J1898" s="4" t="s">
        <v>4169</v>
      </c>
      <c r="K1898" s="8"/>
      <c r="L1898" s="8" t="s">
        <v>33</v>
      </c>
      <c r="M1898" s="9">
        <f t="shared" si="1"/>
        <v>23</v>
      </c>
    </row>
    <row r="1899" ht="12.75" customHeight="1">
      <c r="A1899" s="4">
        <f t="shared" si="2"/>
        <v>1898</v>
      </c>
      <c r="B1899" s="4" t="s">
        <v>4170</v>
      </c>
      <c r="C1899" s="5" t="s">
        <v>4171</v>
      </c>
      <c r="D1899" s="4"/>
      <c r="E1899" s="4"/>
      <c r="F1899" s="4" t="s">
        <v>22</v>
      </c>
      <c r="G1899" s="6">
        <v>23.78</v>
      </c>
      <c r="H1899" s="7" t="s">
        <v>1606</v>
      </c>
      <c r="I1899" s="4" t="s">
        <v>1574</v>
      </c>
      <c r="J1899" s="4" t="s">
        <v>1580</v>
      </c>
      <c r="K1899" s="8"/>
      <c r="L1899" s="8" t="s">
        <v>33</v>
      </c>
      <c r="M1899" s="9">
        <f t="shared" si="1"/>
        <v>18</v>
      </c>
    </row>
    <row r="1900" ht="12.75" customHeight="1">
      <c r="A1900" s="4">
        <f t="shared" si="2"/>
        <v>1899</v>
      </c>
      <c r="B1900" s="4" t="s">
        <v>4172</v>
      </c>
      <c r="C1900" s="5" t="s">
        <v>4173</v>
      </c>
      <c r="D1900" s="4"/>
      <c r="E1900" s="4"/>
      <c r="F1900" s="4" t="s">
        <v>22</v>
      </c>
      <c r="G1900" s="6">
        <v>54.05</v>
      </c>
      <c r="H1900" s="7" t="s">
        <v>1606</v>
      </c>
      <c r="I1900" s="4" t="s">
        <v>17</v>
      </c>
      <c r="J1900" s="4" t="s">
        <v>2434</v>
      </c>
      <c r="K1900" s="8"/>
      <c r="L1900" s="8" t="s">
        <v>4174</v>
      </c>
      <c r="M1900" s="9">
        <f t="shared" si="1"/>
        <v>46</v>
      </c>
    </row>
    <row r="1901" ht="12.75" customHeight="1">
      <c r="A1901" s="4">
        <f t="shared" si="2"/>
        <v>1900</v>
      </c>
      <c r="B1901" s="4" t="s">
        <v>4175</v>
      </c>
      <c r="C1901" s="5" t="s">
        <v>4176</v>
      </c>
      <c r="D1901" s="4"/>
      <c r="E1901" s="4"/>
      <c r="F1901" s="4" t="s">
        <v>22</v>
      </c>
      <c r="G1901" s="6">
        <v>213.63</v>
      </c>
      <c r="H1901" s="7" t="s">
        <v>1606</v>
      </c>
      <c r="I1901" s="4" t="s">
        <v>17</v>
      </c>
      <c r="J1901" s="4" t="s">
        <v>2434</v>
      </c>
      <c r="K1901" s="8"/>
      <c r="L1901" s="8" t="s">
        <v>4174</v>
      </c>
      <c r="M1901" s="9">
        <f t="shared" si="1"/>
        <v>47</v>
      </c>
    </row>
    <row r="1902" ht="12.75" customHeight="1">
      <c r="A1902" s="4">
        <f t="shared" si="2"/>
        <v>1901</v>
      </c>
      <c r="B1902" s="4" t="s">
        <v>4177</v>
      </c>
      <c r="C1902" s="5" t="s">
        <v>4178</v>
      </c>
      <c r="D1902" s="4"/>
      <c r="E1902" s="4"/>
      <c r="F1902" s="4" t="s">
        <v>22</v>
      </c>
      <c r="G1902" s="6">
        <v>63.38</v>
      </c>
      <c r="H1902" s="7" t="s">
        <v>1606</v>
      </c>
      <c r="I1902" s="4" t="s">
        <v>17</v>
      </c>
      <c r="J1902" s="4" t="s">
        <v>2434</v>
      </c>
      <c r="K1902" s="8"/>
      <c r="L1902" s="8" t="s">
        <v>4174</v>
      </c>
      <c r="M1902" s="9">
        <f t="shared" si="1"/>
        <v>47</v>
      </c>
    </row>
    <row r="1903" ht="12.75" customHeight="1">
      <c r="A1903" s="4">
        <f t="shared" si="2"/>
        <v>1902</v>
      </c>
      <c r="B1903" s="4" t="s">
        <v>4179</v>
      </c>
      <c r="C1903" s="5" t="s">
        <v>4180</v>
      </c>
      <c r="D1903" s="4"/>
      <c r="E1903" s="4"/>
      <c r="F1903" s="4" t="s">
        <v>22</v>
      </c>
      <c r="G1903" s="6">
        <v>78.14</v>
      </c>
      <c r="H1903" s="7" t="s">
        <v>1606</v>
      </c>
      <c r="I1903" s="4" t="s">
        <v>17</v>
      </c>
      <c r="J1903" s="4" t="s">
        <v>2434</v>
      </c>
      <c r="K1903" s="8"/>
      <c r="L1903" s="8" t="s">
        <v>4174</v>
      </c>
      <c r="M1903" s="9">
        <f t="shared" si="1"/>
        <v>47</v>
      </c>
    </row>
    <row r="1904" ht="12.75" customHeight="1">
      <c r="A1904" s="4">
        <f t="shared" si="2"/>
        <v>1903</v>
      </c>
      <c r="B1904" s="4" t="s">
        <v>4181</v>
      </c>
      <c r="C1904" s="5" t="s">
        <v>4182</v>
      </c>
      <c r="D1904" s="4"/>
      <c r="E1904" s="4"/>
      <c r="F1904" s="4" t="s">
        <v>22</v>
      </c>
      <c r="G1904" s="6">
        <v>74.34</v>
      </c>
      <c r="H1904" s="7" t="s">
        <v>1606</v>
      </c>
      <c r="I1904" s="4" t="s">
        <v>17</v>
      </c>
      <c r="J1904" s="4" t="s">
        <v>165</v>
      </c>
      <c r="K1904" s="8"/>
      <c r="L1904" s="8" t="s">
        <v>4183</v>
      </c>
      <c r="M1904" s="9">
        <f t="shared" si="1"/>
        <v>25</v>
      </c>
    </row>
    <row r="1905" ht="12.75" customHeight="1">
      <c r="A1905" s="4">
        <f t="shared" si="2"/>
        <v>1904</v>
      </c>
      <c r="B1905" s="4" t="s">
        <v>4184</v>
      </c>
      <c r="C1905" s="5" t="s">
        <v>4185</v>
      </c>
      <c r="D1905" s="4"/>
      <c r="E1905" s="4"/>
      <c r="F1905" s="4" t="s">
        <v>22</v>
      </c>
      <c r="G1905" s="6">
        <v>27.03</v>
      </c>
      <c r="H1905" s="7" t="s">
        <v>1606</v>
      </c>
      <c r="I1905" s="4" t="s">
        <v>17</v>
      </c>
      <c r="J1905" s="4" t="s">
        <v>165</v>
      </c>
      <c r="K1905" s="8"/>
      <c r="L1905" s="8" t="s">
        <v>4183</v>
      </c>
      <c r="M1905" s="9">
        <f t="shared" si="1"/>
        <v>30</v>
      </c>
    </row>
    <row r="1906" ht="12.75" customHeight="1">
      <c r="A1906" s="4">
        <f t="shared" si="2"/>
        <v>1905</v>
      </c>
      <c r="B1906" s="4" t="s">
        <v>4186</v>
      </c>
      <c r="C1906" s="5" t="s">
        <v>4187</v>
      </c>
      <c r="D1906" s="4"/>
      <c r="E1906" s="4"/>
      <c r="F1906" s="4" t="s">
        <v>22</v>
      </c>
      <c r="G1906" s="6">
        <v>1.22</v>
      </c>
      <c r="H1906" s="7" t="s">
        <v>1606</v>
      </c>
      <c r="I1906" s="4" t="s">
        <v>1794</v>
      </c>
      <c r="J1906" s="4" t="s">
        <v>165</v>
      </c>
      <c r="K1906" s="8"/>
      <c r="L1906" s="8" t="s">
        <v>33</v>
      </c>
      <c r="M1906" s="9">
        <f t="shared" si="1"/>
        <v>30</v>
      </c>
    </row>
    <row r="1907" ht="12.75" customHeight="1">
      <c r="A1907" s="4">
        <f t="shared" si="2"/>
        <v>1906</v>
      </c>
      <c r="B1907" s="4" t="s">
        <v>4188</v>
      </c>
      <c r="C1907" s="5" t="s">
        <v>4189</v>
      </c>
      <c r="D1907" s="4"/>
      <c r="E1907" s="4"/>
      <c r="F1907" s="4" t="s">
        <v>1791</v>
      </c>
      <c r="G1907" s="6">
        <v>36.49</v>
      </c>
      <c r="H1907" s="7" t="s">
        <v>1606</v>
      </c>
      <c r="I1907" s="4" t="s">
        <v>1574</v>
      </c>
      <c r="J1907" s="4" t="s">
        <v>2075</v>
      </c>
      <c r="K1907" s="8"/>
      <c r="L1907" s="8" t="s">
        <v>4190</v>
      </c>
      <c r="M1907" s="9">
        <f t="shared" si="1"/>
        <v>57</v>
      </c>
    </row>
    <row r="1908" ht="12.75" customHeight="1">
      <c r="A1908" s="4">
        <f t="shared" si="2"/>
        <v>1907</v>
      </c>
      <c r="B1908" s="4" t="s">
        <v>4191</v>
      </c>
      <c r="C1908" s="5" t="s">
        <v>4192</v>
      </c>
      <c r="D1908" s="4"/>
      <c r="E1908" s="4"/>
      <c r="F1908" s="4" t="s">
        <v>22</v>
      </c>
      <c r="G1908" s="6">
        <v>14.18</v>
      </c>
      <c r="H1908" s="7" t="s">
        <v>1606</v>
      </c>
      <c r="I1908" s="4" t="s">
        <v>1574</v>
      </c>
      <c r="J1908" s="4" t="s">
        <v>2082</v>
      </c>
      <c r="K1908" s="8"/>
      <c r="L1908" s="8" t="s">
        <v>2716</v>
      </c>
      <c r="M1908" s="9">
        <f t="shared" si="1"/>
        <v>57</v>
      </c>
    </row>
    <row r="1909" ht="12.75" customHeight="1">
      <c r="A1909" s="4">
        <f t="shared" si="2"/>
        <v>1908</v>
      </c>
      <c r="B1909" s="4" t="s">
        <v>4193</v>
      </c>
      <c r="C1909" s="5" t="s">
        <v>4194</v>
      </c>
      <c r="D1909" s="4"/>
      <c r="E1909" s="4"/>
      <c r="F1909" s="4" t="s">
        <v>22</v>
      </c>
      <c r="G1909" s="6">
        <v>9.46</v>
      </c>
      <c r="H1909" s="7" t="s">
        <v>1606</v>
      </c>
      <c r="I1909" s="4" t="s">
        <v>2044</v>
      </c>
      <c r="J1909" s="4" t="s">
        <v>2045</v>
      </c>
      <c r="K1909" s="8"/>
      <c r="L1909" s="8" t="s">
        <v>4195</v>
      </c>
      <c r="M1909" s="9">
        <f t="shared" si="1"/>
        <v>28</v>
      </c>
    </row>
    <row r="1910" ht="12.75" customHeight="1">
      <c r="A1910" s="4">
        <f t="shared" si="2"/>
        <v>1909</v>
      </c>
      <c r="B1910" s="4" t="s">
        <v>4196</v>
      </c>
      <c r="C1910" s="5" t="s">
        <v>4197</v>
      </c>
      <c r="D1910" s="4"/>
      <c r="E1910" s="4"/>
      <c r="F1910" s="4" t="s">
        <v>22</v>
      </c>
      <c r="G1910" s="6">
        <v>0.89</v>
      </c>
      <c r="H1910" s="7" t="s">
        <v>1606</v>
      </c>
      <c r="I1910" s="4" t="s">
        <v>2044</v>
      </c>
      <c r="J1910" s="4" t="s">
        <v>2045</v>
      </c>
      <c r="K1910" s="8"/>
      <c r="L1910" s="8" t="s">
        <v>4198</v>
      </c>
      <c r="M1910" s="9">
        <f t="shared" si="1"/>
        <v>19</v>
      </c>
    </row>
    <row r="1911" ht="12.75" customHeight="1">
      <c r="A1911" s="4">
        <f t="shared" si="2"/>
        <v>1910</v>
      </c>
      <c r="B1911" s="4" t="s">
        <v>4199</v>
      </c>
      <c r="C1911" s="5" t="s">
        <v>4200</v>
      </c>
      <c r="D1911" s="4"/>
      <c r="E1911" s="4"/>
      <c r="F1911" s="4" t="s">
        <v>22</v>
      </c>
      <c r="G1911" s="6">
        <v>3.92</v>
      </c>
      <c r="H1911" s="7" t="s">
        <v>1606</v>
      </c>
      <c r="I1911" s="4" t="s">
        <v>2044</v>
      </c>
      <c r="J1911" s="4" t="s">
        <v>2045</v>
      </c>
      <c r="K1911" s="8"/>
      <c r="L1911" s="8" t="s">
        <v>3356</v>
      </c>
      <c r="M1911" s="9">
        <f t="shared" si="1"/>
        <v>43</v>
      </c>
    </row>
    <row r="1912" ht="12.75" customHeight="1">
      <c r="A1912" s="4">
        <f t="shared" si="2"/>
        <v>1911</v>
      </c>
      <c r="B1912" s="4" t="s">
        <v>4201</v>
      </c>
      <c r="C1912" s="5" t="s">
        <v>4202</v>
      </c>
      <c r="D1912" s="4"/>
      <c r="E1912" s="4"/>
      <c r="F1912" s="4" t="s">
        <v>22</v>
      </c>
      <c r="G1912" s="6">
        <v>5.05</v>
      </c>
      <c r="H1912" s="7" t="s">
        <v>1606</v>
      </c>
      <c r="I1912" s="4" t="s">
        <v>1704</v>
      </c>
      <c r="J1912" s="4" t="s">
        <v>4203</v>
      </c>
      <c r="K1912" s="8"/>
      <c r="L1912" s="8" t="s">
        <v>3313</v>
      </c>
      <c r="M1912" s="9">
        <f t="shared" si="1"/>
        <v>27</v>
      </c>
    </row>
    <row r="1913" ht="12.75" customHeight="1">
      <c r="A1913" s="4">
        <f t="shared" si="2"/>
        <v>1912</v>
      </c>
      <c r="B1913" s="4" t="s">
        <v>4204</v>
      </c>
      <c r="C1913" s="5" t="s">
        <v>4205</v>
      </c>
      <c r="D1913" s="4"/>
      <c r="E1913" s="4"/>
      <c r="F1913" s="4" t="s">
        <v>22</v>
      </c>
      <c r="G1913" s="6">
        <v>2.57</v>
      </c>
      <c r="H1913" s="7" t="s">
        <v>1606</v>
      </c>
      <c r="I1913" s="4" t="s">
        <v>1704</v>
      </c>
      <c r="J1913" s="4" t="s">
        <v>4203</v>
      </c>
      <c r="K1913" s="8"/>
      <c r="L1913" s="8" t="s">
        <v>3313</v>
      </c>
      <c r="M1913" s="9">
        <f t="shared" si="1"/>
        <v>27</v>
      </c>
    </row>
    <row r="1914" ht="12.75" customHeight="1">
      <c r="A1914" s="4">
        <f t="shared" si="2"/>
        <v>1913</v>
      </c>
      <c r="B1914" s="4" t="s">
        <v>4206</v>
      </c>
      <c r="C1914" s="5" t="s">
        <v>4207</v>
      </c>
      <c r="D1914" s="4"/>
      <c r="E1914" s="4"/>
      <c r="F1914" s="4" t="s">
        <v>22</v>
      </c>
      <c r="G1914" s="6">
        <v>3.7</v>
      </c>
      <c r="H1914" s="7" t="s">
        <v>1606</v>
      </c>
      <c r="I1914" s="4" t="s">
        <v>1704</v>
      </c>
      <c r="J1914" s="4" t="s">
        <v>4203</v>
      </c>
      <c r="K1914" s="8"/>
      <c r="L1914" s="8" t="s">
        <v>3313</v>
      </c>
      <c r="M1914" s="9">
        <f t="shared" si="1"/>
        <v>27</v>
      </c>
    </row>
    <row r="1915" ht="12.75" customHeight="1">
      <c r="A1915" s="4">
        <f t="shared" si="2"/>
        <v>1914</v>
      </c>
      <c r="B1915" s="4" t="s">
        <v>4208</v>
      </c>
      <c r="C1915" s="5" t="s">
        <v>4209</v>
      </c>
      <c r="D1915" s="4"/>
      <c r="E1915" s="4"/>
      <c r="F1915" s="4" t="s">
        <v>22</v>
      </c>
      <c r="G1915" s="6">
        <v>0.62</v>
      </c>
      <c r="H1915" s="7" t="s">
        <v>1606</v>
      </c>
      <c r="I1915" s="4" t="s">
        <v>1704</v>
      </c>
      <c r="J1915" s="4" t="s">
        <v>4203</v>
      </c>
      <c r="K1915" s="8"/>
      <c r="L1915" s="8" t="s">
        <v>3313</v>
      </c>
      <c r="M1915" s="9">
        <f t="shared" si="1"/>
        <v>27</v>
      </c>
    </row>
    <row r="1916" ht="12.75" customHeight="1">
      <c r="A1916" s="4">
        <f t="shared" si="2"/>
        <v>1915</v>
      </c>
      <c r="B1916" s="4" t="s">
        <v>4210</v>
      </c>
      <c r="C1916" s="5" t="s">
        <v>4211</v>
      </c>
      <c r="D1916" s="4"/>
      <c r="E1916" s="4"/>
      <c r="F1916" s="4" t="s">
        <v>1772</v>
      </c>
      <c r="G1916" s="6">
        <v>3.51</v>
      </c>
      <c r="H1916" s="7" t="s">
        <v>1606</v>
      </c>
      <c r="I1916" s="4" t="s">
        <v>1773</v>
      </c>
      <c r="J1916" s="4" t="s">
        <v>1774</v>
      </c>
      <c r="K1916" s="8"/>
      <c r="L1916" s="8" t="s">
        <v>33</v>
      </c>
      <c r="M1916" s="9">
        <f t="shared" si="1"/>
        <v>62</v>
      </c>
      <c r="N1916" s="25"/>
    </row>
    <row r="1917" ht="12.75" customHeight="1">
      <c r="A1917" s="4">
        <f t="shared" si="2"/>
        <v>1916</v>
      </c>
      <c r="B1917" s="4" t="s">
        <v>4212</v>
      </c>
      <c r="C1917" s="5" t="s">
        <v>4213</v>
      </c>
      <c r="D1917" s="4"/>
      <c r="E1917" s="4"/>
      <c r="F1917" s="4" t="s">
        <v>2078</v>
      </c>
      <c r="G1917" s="6">
        <v>66.76</v>
      </c>
      <c r="H1917" s="7" t="s">
        <v>1606</v>
      </c>
      <c r="I1917" s="4" t="s">
        <v>1773</v>
      </c>
      <c r="J1917" s="4" t="s">
        <v>1774</v>
      </c>
      <c r="K1917" s="8"/>
      <c r="L1917" s="8" t="s">
        <v>3551</v>
      </c>
      <c r="M1917" s="9">
        <f t="shared" si="1"/>
        <v>61</v>
      </c>
    </row>
    <row r="1918" ht="12.75" customHeight="1">
      <c r="A1918" s="4">
        <f t="shared" si="2"/>
        <v>1917</v>
      </c>
      <c r="B1918" s="4" t="s">
        <v>4214</v>
      </c>
      <c r="C1918" s="5" t="s">
        <v>4215</v>
      </c>
      <c r="D1918" s="4"/>
      <c r="E1918" s="4"/>
      <c r="F1918" s="4" t="s">
        <v>2078</v>
      </c>
      <c r="G1918" s="6">
        <v>67.57</v>
      </c>
      <c r="H1918" s="7" t="s">
        <v>1606</v>
      </c>
      <c r="I1918" s="4" t="s">
        <v>1773</v>
      </c>
      <c r="J1918" s="4" t="s">
        <v>1774</v>
      </c>
      <c r="K1918" s="8"/>
      <c r="L1918" s="8" t="s">
        <v>3551</v>
      </c>
      <c r="M1918" s="9">
        <f t="shared" si="1"/>
        <v>61</v>
      </c>
    </row>
    <row r="1919" ht="12.75" customHeight="1">
      <c r="A1919" s="4">
        <f t="shared" si="2"/>
        <v>1918</v>
      </c>
      <c r="B1919" s="4" t="s">
        <v>4216</v>
      </c>
      <c r="C1919" s="5" t="s">
        <v>4217</v>
      </c>
      <c r="D1919" s="4"/>
      <c r="E1919" s="4"/>
      <c r="F1919" s="4" t="s">
        <v>2078</v>
      </c>
      <c r="G1919" s="6">
        <v>67.57</v>
      </c>
      <c r="H1919" s="7" t="s">
        <v>1606</v>
      </c>
      <c r="I1919" s="4" t="s">
        <v>1773</v>
      </c>
      <c r="J1919" s="4" t="s">
        <v>1774</v>
      </c>
      <c r="K1919" s="8"/>
      <c r="L1919" s="8" t="s">
        <v>3551</v>
      </c>
      <c r="M1919" s="9">
        <f t="shared" si="1"/>
        <v>61</v>
      </c>
    </row>
    <row r="1920" ht="12.75" customHeight="1">
      <c r="A1920" s="4">
        <f t="shared" si="2"/>
        <v>1919</v>
      </c>
      <c r="B1920" s="4" t="s">
        <v>4218</v>
      </c>
      <c r="C1920" s="5" t="s">
        <v>4219</v>
      </c>
      <c r="D1920" s="4"/>
      <c r="E1920" s="4"/>
      <c r="F1920" s="4" t="s">
        <v>2078</v>
      </c>
      <c r="G1920" s="6">
        <v>2.78</v>
      </c>
      <c r="H1920" s="7" t="s">
        <v>1606</v>
      </c>
      <c r="I1920" s="4" t="s">
        <v>1773</v>
      </c>
      <c r="J1920" s="4" t="s">
        <v>1774</v>
      </c>
      <c r="K1920" s="8"/>
      <c r="L1920" s="8" t="s">
        <v>3551</v>
      </c>
      <c r="M1920" s="9">
        <f t="shared" si="1"/>
        <v>34</v>
      </c>
    </row>
    <row r="1921" ht="12.75" customHeight="1">
      <c r="A1921" s="4">
        <f t="shared" si="2"/>
        <v>1920</v>
      </c>
      <c r="B1921" s="4" t="s">
        <v>4220</v>
      </c>
      <c r="C1921" s="5" t="s">
        <v>4221</v>
      </c>
      <c r="D1921" s="4"/>
      <c r="E1921" s="4"/>
      <c r="F1921" s="4" t="s">
        <v>2078</v>
      </c>
      <c r="G1921" s="6">
        <v>4.05</v>
      </c>
      <c r="H1921" s="7" t="s">
        <v>1606</v>
      </c>
      <c r="I1921" s="4" t="s">
        <v>1773</v>
      </c>
      <c r="J1921" s="4" t="s">
        <v>1774</v>
      </c>
      <c r="K1921" s="8"/>
      <c r="L1921" s="8" t="s">
        <v>3551</v>
      </c>
      <c r="M1921" s="9">
        <f t="shared" si="1"/>
        <v>38</v>
      </c>
    </row>
    <row r="1922" ht="12.75" customHeight="1">
      <c r="A1922" s="4">
        <f t="shared" si="2"/>
        <v>1921</v>
      </c>
      <c r="B1922" s="4" t="s">
        <v>4222</v>
      </c>
      <c r="C1922" s="5" t="s">
        <v>4223</v>
      </c>
      <c r="D1922" s="4"/>
      <c r="E1922" s="4"/>
      <c r="F1922" s="4" t="s">
        <v>22</v>
      </c>
      <c r="G1922" s="6">
        <v>15.18</v>
      </c>
      <c r="H1922" s="7" t="s">
        <v>1606</v>
      </c>
      <c r="I1922" s="4" t="s">
        <v>2646</v>
      </c>
      <c r="J1922" s="4" t="s">
        <v>2729</v>
      </c>
      <c r="K1922" s="8"/>
      <c r="L1922" s="8" t="s">
        <v>33</v>
      </c>
      <c r="M1922" s="9">
        <f t="shared" si="1"/>
        <v>41</v>
      </c>
    </row>
    <row r="1923" ht="12.75" customHeight="1">
      <c r="A1923" s="4">
        <f t="shared" si="2"/>
        <v>1922</v>
      </c>
      <c r="B1923" s="4" t="s">
        <v>4224</v>
      </c>
      <c r="C1923" s="5" t="s">
        <v>4225</v>
      </c>
      <c r="D1923" s="4"/>
      <c r="E1923" s="4"/>
      <c r="F1923" s="4" t="s">
        <v>22</v>
      </c>
      <c r="G1923" s="6">
        <v>82.09</v>
      </c>
      <c r="H1923" s="7" t="s">
        <v>1606</v>
      </c>
      <c r="I1923" s="4" t="s">
        <v>1794</v>
      </c>
      <c r="J1923" s="4" t="s">
        <v>4226</v>
      </c>
      <c r="K1923" s="8"/>
      <c r="L1923" s="8" t="s">
        <v>2716</v>
      </c>
      <c r="M1923" s="9">
        <f t="shared" si="1"/>
        <v>53</v>
      </c>
    </row>
    <row r="1924" ht="12.75" customHeight="1">
      <c r="A1924" s="4">
        <f t="shared" si="2"/>
        <v>1923</v>
      </c>
      <c r="B1924" s="4" t="s">
        <v>4227</v>
      </c>
      <c r="C1924" s="5" t="s">
        <v>4228</v>
      </c>
      <c r="D1924" s="4"/>
      <c r="E1924" s="4"/>
      <c r="F1924" s="4" t="s">
        <v>22</v>
      </c>
      <c r="G1924" s="6">
        <v>82.09</v>
      </c>
      <c r="H1924" s="7" t="s">
        <v>1606</v>
      </c>
      <c r="I1924" s="4" t="s">
        <v>1794</v>
      </c>
      <c r="J1924" s="4" t="s">
        <v>4226</v>
      </c>
      <c r="K1924" s="8"/>
      <c r="L1924" s="8" t="s">
        <v>2716</v>
      </c>
      <c r="M1924" s="9">
        <f t="shared" si="1"/>
        <v>53</v>
      </c>
    </row>
    <row r="1925" ht="12.75" customHeight="1">
      <c r="A1925" s="4">
        <f t="shared" si="2"/>
        <v>1924</v>
      </c>
      <c r="B1925" s="4" t="s">
        <v>4229</v>
      </c>
      <c r="C1925" s="5" t="s">
        <v>4230</v>
      </c>
      <c r="D1925" s="4"/>
      <c r="E1925" s="4"/>
      <c r="F1925" s="4" t="s">
        <v>22</v>
      </c>
      <c r="G1925" s="6">
        <v>71.22</v>
      </c>
      <c r="H1925" s="7" t="s">
        <v>1606</v>
      </c>
      <c r="I1925" s="4" t="s">
        <v>1794</v>
      </c>
      <c r="J1925" s="4" t="s">
        <v>4226</v>
      </c>
      <c r="K1925" s="8"/>
      <c r="L1925" s="8" t="s">
        <v>2716</v>
      </c>
      <c r="M1925" s="9">
        <f t="shared" si="1"/>
        <v>53</v>
      </c>
    </row>
    <row r="1926" ht="12.75" customHeight="1">
      <c r="A1926" s="4">
        <f t="shared" si="2"/>
        <v>1925</v>
      </c>
      <c r="B1926" s="4" t="s">
        <v>4231</v>
      </c>
      <c r="C1926" s="5" t="s">
        <v>4232</v>
      </c>
      <c r="D1926" s="4"/>
      <c r="E1926" s="4"/>
      <c r="F1926" s="4" t="s">
        <v>22</v>
      </c>
      <c r="G1926" s="6">
        <v>120.54</v>
      </c>
      <c r="H1926" s="7" t="s">
        <v>1606</v>
      </c>
      <c r="I1926" s="4" t="s">
        <v>1794</v>
      </c>
      <c r="J1926" s="4" t="s">
        <v>4226</v>
      </c>
      <c r="K1926" s="8"/>
      <c r="L1926" s="8" t="s">
        <v>2716</v>
      </c>
      <c r="M1926" s="9">
        <f t="shared" si="1"/>
        <v>53</v>
      </c>
    </row>
    <row r="1927" ht="12.75" customHeight="1">
      <c r="A1927" s="4">
        <f t="shared" si="2"/>
        <v>1926</v>
      </c>
      <c r="B1927" s="4" t="s">
        <v>4233</v>
      </c>
      <c r="C1927" s="5" t="s">
        <v>4234</v>
      </c>
      <c r="D1927" s="4"/>
      <c r="E1927" s="4"/>
      <c r="F1927" s="4" t="s">
        <v>22</v>
      </c>
      <c r="G1927" s="6">
        <v>71.22</v>
      </c>
      <c r="H1927" s="7" t="s">
        <v>1606</v>
      </c>
      <c r="I1927" s="4" t="s">
        <v>1794</v>
      </c>
      <c r="J1927" s="4" t="s">
        <v>4226</v>
      </c>
      <c r="K1927" s="8"/>
      <c r="L1927" s="8" t="s">
        <v>2716</v>
      </c>
      <c r="M1927" s="9">
        <f t="shared" si="1"/>
        <v>53</v>
      </c>
    </row>
    <row r="1928" ht="12.75" customHeight="1">
      <c r="A1928" s="4">
        <f t="shared" si="2"/>
        <v>1927</v>
      </c>
      <c r="B1928" s="4" t="s">
        <v>4235</v>
      </c>
      <c r="C1928" s="5" t="s">
        <v>4236</v>
      </c>
      <c r="D1928" s="4"/>
      <c r="E1928" s="4"/>
      <c r="F1928" s="4" t="s">
        <v>22</v>
      </c>
      <c r="G1928" s="6">
        <v>120.54</v>
      </c>
      <c r="H1928" s="7" t="s">
        <v>1606</v>
      </c>
      <c r="I1928" s="4" t="s">
        <v>1794</v>
      </c>
      <c r="J1928" s="4" t="s">
        <v>4226</v>
      </c>
      <c r="K1928" s="8"/>
      <c r="L1928" s="8" t="s">
        <v>2716</v>
      </c>
      <c r="M1928" s="9">
        <f t="shared" si="1"/>
        <v>53</v>
      </c>
    </row>
    <row r="1929" ht="12.75" customHeight="1">
      <c r="A1929" s="4">
        <f t="shared" si="2"/>
        <v>1928</v>
      </c>
      <c r="B1929" s="4" t="s">
        <v>4237</v>
      </c>
      <c r="C1929" s="5" t="s">
        <v>4238</v>
      </c>
      <c r="D1929" s="4"/>
      <c r="E1929" s="4"/>
      <c r="F1929" s="4" t="s">
        <v>22</v>
      </c>
      <c r="G1929" s="6">
        <v>71.22</v>
      </c>
      <c r="H1929" s="7" t="s">
        <v>1606</v>
      </c>
      <c r="I1929" s="4" t="s">
        <v>1794</v>
      </c>
      <c r="J1929" s="4" t="s">
        <v>4226</v>
      </c>
      <c r="K1929" s="8"/>
      <c r="L1929" s="8" t="s">
        <v>2716</v>
      </c>
      <c r="M1929" s="9">
        <f t="shared" si="1"/>
        <v>53</v>
      </c>
    </row>
    <row r="1930" ht="12.75" customHeight="1">
      <c r="A1930" s="4">
        <f t="shared" si="2"/>
        <v>1929</v>
      </c>
      <c r="B1930" s="4" t="s">
        <v>4239</v>
      </c>
      <c r="C1930" s="5" t="s">
        <v>4240</v>
      </c>
      <c r="D1930" s="4"/>
      <c r="E1930" s="4"/>
      <c r="F1930" s="4" t="s">
        <v>22</v>
      </c>
      <c r="G1930" s="21">
        <v>71.22</v>
      </c>
      <c r="H1930" s="7" t="s">
        <v>1606</v>
      </c>
      <c r="I1930" s="4" t="s">
        <v>1794</v>
      </c>
      <c r="J1930" s="4" t="s">
        <v>4226</v>
      </c>
      <c r="K1930" s="8"/>
      <c r="L1930" s="8" t="s">
        <v>2716</v>
      </c>
      <c r="M1930" s="9">
        <f t="shared" si="1"/>
        <v>53</v>
      </c>
    </row>
    <row r="1931" ht="12.75" customHeight="1">
      <c r="A1931" s="4">
        <f t="shared" si="2"/>
        <v>1930</v>
      </c>
      <c r="B1931" s="4" t="s">
        <v>4241</v>
      </c>
      <c r="C1931" s="5" t="s">
        <v>4242</v>
      </c>
      <c r="D1931" s="4"/>
      <c r="E1931" s="4"/>
      <c r="F1931" s="4" t="s">
        <v>22</v>
      </c>
      <c r="G1931" s="21">
        <v>120.54</v>
      </c>
      <c r="H1931" s="7" t="s">
        <v>1606</v>
      </c>
      <c r="I1931" s="4" t="s">
        <v>1794</v>
      </c>
      <c r="J1931" s="4" t="s">
        <v>4226</v>
      </c>
      <c r="K1931" s="8"/>
      <c r="L1931" s="8" t="s">
        <v>2716</v>
      </c>
      <c r="M1931" s="9">
        <f t="shared" si="1"/>
        <v>53</v>
      </c>
    </row>
    <row r="1932" ht="12.75" customHeight="1">
      <c r="A1932" s="4">
        <f t="shared" si="2"/>
        <v>1931</v>
      </c>
      <c r="B1932" s="4" t="s">
        <v>4243</v>
      </c>
      <c r="C1932" s="5" t="s">
        <v>4244</v>
      </c>
      <c r="D1932" s="4"/>
      <c r="E1932" s="4"/>
      <c r="F1932" s="4" t="s">
        <v>22</v>
      </c>
      <c r="G1932" s="6">
        <v>44.19</v>
      </c>
      <c r="H1932" s="7" t="s">
        <v>1606</v>
      </c>
      <c r="I1932" s="4" t="s">
        <v>1794</v>
      </c>
      <c r="J1932" s="4" t="s">
        <v>4226</v>
      </c>
      <c r="K1932" s="8"/>
      <c r="L1932" s="8" t="s">
        <v>2716</v>
      </c>
      <c r="M1932" s="9">
        <f t="shared" si="1"/>
        <v>53</v>
      </c>
    </row>
    <row r="1933" ht="12.75" customHeight="1">
      <c r="A1933" s="4">
        <f t="shared" si="2"/>
        <v>1932</v>
      </c>
      <c r="B1933" s="4" t="s">
        <v>4245</v>
      </c>
      <c r="C1933" s="5" t="s">
        <v>4246</v>
      </c>
      <c r="D1933" s="4"/>
      <c r="E1933" s="4"/>
      <c r="F1933" s="4" t="s">
        <v>22</v>
      </c>
      <c r="G1933" s="6">
        <v>12.16</v>
      </c>
      <c r="H1933" s="7" t="s">
        <v>1606</v>
      </c>
      <c r="I1933" s="4" t="s">
        <v>709</v>
      </c>
      <c r="J1933" s="4" t="s">
        <v>742</v>
      </c>
      <c r="K1933" s="8"/>
      <c r="L1933" s="8" t="s">
        <v>507</v>
      </c>
      <c r="M1933" s="9">
        <f t="shared" si="1"/>
        <v>42</v>
      </c>
    </row>
    <row r="1934" ht="12.75" customHeight="1">
      <c r="A1934" s="4">
        <f t="shared" si="2"/>
        <v>1933</v>
      </c>
      <c r="B1934" s="4" t="s">
        <v>4247</v>
      </c>
      <c r="C1934" s="5" t="s">
        <v>4248</v>
      </c>
      <c r="D1934" s="4"/>
      <c r="E1934" s="4"/>
      <c r="F1934" s="4" t="s">
        <v>22</v>
      </c>
      <c r="G1934" s="6">
        <v>3.38</v>
      </c>
      <c r="H1934" s="7" t="s">
        <v>1606</v>
      </c>
      <c r="I1934" s="4" t="s">
        <v>2646</v>
      </c>
      <c r="J1934" s="4" t="s">
        <v>2729</v>
      </c>
      <c r="K1934" s="8"/>
      <c r="L1934" s="8" t="s">
        <v>33</v>
      </c>
      <c r="M1934" s="9">
        <f t="shared" si="1"/>
        <v>52</v>
      </c>
    </row>
    <row r="1935" ht="12.75" customHeight="1">
      <c r="A1935" s="4">
        <f t="shared" si="2"/>
        <v>1934</v>
      </c>
      <c r="B1935" s="4" t="s">
        <v>4249</v>
      </c>
      <c r="C1935" s="5" t="s">
        <v>4250</v>
      </c>
      <c r="D1935" s="4"/>
      <c r="E1935" s="4"/>
      <c r="F1935" s="4" t="s">
        <v>22</v>
      </c>
      <c r="G1935" s="6">
        <v>0.42</v>
      </c>
      <c r="H1935" s="7" t="s">
        <v>1606</v>
      </c>
      <c r="I1935" s="4" t="s">
        <v>1773</v>
      </c>
      <c r="J1935" s="4" t="s">
        <v>1774</v>
      </c>
      <c r="K1935" s="8"/>
      <c r="L1935" s="8" t="s">
        <v>2097</v>
      </c>
      <c r="M1935" s="9">
        <f t="shared" si="1"/>
        <v>26</v>
      </c>
    </row>
    <row r="1936" ht="12.75" customHeight="1">
      <c r="A1936" s="4">
        <f t="shared" si="2"/>
        <v>1935</v>
      </c>
      <c r="B1936" s="4" t="s">
        <v>4251</v>
      </c>
      <c r="C1936" s="5" t="s">
        <v>4252</v>
      </c>
      <c r="D1936" s="4"/>
      <c r="E1936" s="4"/>
      <c r="F1936" s="4" t="s">
        <v>22</v>
      </c>
      <c r="G1936" s="6">
        <v>9.46</v>
      </c>
      <c r="H1936" s="7" t="s">
        <v>1606</v>
      </c>
      <c r="I1936" s="4" t="s">
        <v>598</v>
      </c>
      <c r="J1936" s="4" t="s">
        <v>4253</v>
      </c>
      <c r="K1936" s="8"/>
      <c r="L1936" s="8" t="s">
        <v>4254</v>
      </c>
      <c r="M1936" s="9">
        <f t="shared" si="1"/>
        <v>14</v>
      </c>
    </row>
    <row r="1937" ht="12.75" customHeight="1">
      <c r="A1937" s="4">
        <f t="shared" si="2"/>
        <v>1936</v>
      </c>
      <c r="B1937" s="4" t="s">
        <v>4255</v>
      </c>
      <c r="C1937" s="5" t="s">
        <v>4256</v>
      </c>
      <c r="D1937" s="4"/>
      <c r="E1937" s="4"/>
      <c r="F1937" s="4" t="s">
        <v>22</v>
      </c>
      <c r="G1937" s="6">
        <v>12.16</v>
      </c>
      <c r="H1937" s="7" t="s">
        <v>1606</v>
      </c>
      <c r="I1937" s="4" t="s">
        <v>598</v>
      </c>
      <c r="J1937" s="4" t="s">
        <v>4253</v>
      </c>
      <c r="K1937" s="8"/>
      <c r="L1937" s="8" t="s">
        <v>4254</v>
      </c>
      <c r="M1937" s="9">
        <f t="shared" si="1"/>
        <v>17</v>
      </c>
    </row>
    <row r="1938" ht="12.75" customHeight="1">
      <c r="A1938" s="4">
        <f t="shared" si="2"/>
        <v>1937</v>
      </c>
      <c r="B1938" s="4" t="s">
        <v>4257</v>
      </c>
      <c r="C1938" s="5" t="s">
        <v>4258</v>
      </c>
      <c r="D1938" s="4"/>
      <c r="E1938" s="4"/>
      <c r="F1938" s="4" t="s">
        <v>22</v>
      </c>
      <c r="G1938" s="6">
        <v>0.31</v>
      </c>
      <c r="H1938" s="7" t="s">
        <v>1606</v>
      </c>
      <c r="I1938" s="4" t="s">
        <v>1623</v>
      </c>
      <c r="J1938" s="4" t="s">
        <v>2987</v>
      </c>
      <c r="K1938" s="8"/>
      <c r="L1938" s="8" t="s">
        <v>33</v>
      </c>
      <c r="M1938" s="9">
        <f t="shared" si="1"/>
        <v>28</v>
      </c>
    </row>
    <row r="1939" ht="12.75" customHeight="1">
      <c r="A1939" s="4">
        <f t="shared" si="2"/>
        <v>1938</v>
      </c>
      <c r="B1939" s="4" t="s">
        <v>4259</v>
      </c>
      <c r="C1939" s="5" t="s">
        <v>4260</v>
      </c>
      <c r="D1939" s="4"/>
      <c r="E1939" s="4"/>
      <c r="F1939" s="4" t="s">
        <v>22</v>
      </c>
      <c r="G1939" s="6">
        <v>0.32</v>
      </c>
      <c r="H1939" s="7" t="s">
        <v>1606</v>
      </c>
      <c r="I1939" s="4" t="s">
        <v>1623</v>
      </c>
      <c r="J1939" s="4" t="s">
        <v>2987</v>
      </c>
      <c r="K1939" s="8"/>
      <c r="L1939" s="8" t="s">
        <v>33</v>
      </c>
      <c r="M1939" s="9">
        <f t="shared" si="1"/>
        <v>28</v>
      </c>
    </row>
    <row r="1940" ht="12.75" customHeight="1">
      <c r="A1940" s="4">
        <f t="shared" si="2"/>
        <v>1939</v>
      </c>
      <c r="B1940" s="4" t="s">
        <v>4261</v>
      </c>
      <c r="C1940" s="5" t="s">
        <v>4262</v>
      </c>
      <c r="D1940" s="4"/>
      <c r="E1940" s="4"/>
      <c r="F1940" s="4" t="s">
        <v>22</v>
      </c>
      <c r="G1940" s="6">
        <v>0.33</v>
      </c>
      <c r="H1940" s="7" t="s">
        <v>1606</v>
      </c>
      <c r="I1940" s="4" t="s">
        <v>1623</v>
      </c>
      <c r="J1940" s="4" t="s">
        <v>2987</v>
      </c>
      <c r="K1940" s="8"/>
      <c r="L1940" s="8" t="s">
        <v>33</v>
      </c>
      <c r="M1940" s="9">
        <f t="shared" si="1"/>
        <v>28</v>
      </c>
    </row>
    <row r="1941" ht="12.75" customHeight="1">
      <c r="A1941" s="4">
        <f t="shared" si="2"/>
        <v>1940</v>
      </c>
      <c r="B1941" s="4" t="s">
        <v>4263</v>
      </c>
      <c r="C1941" s="5" t="s">
        <v>4264</v>
      </c>
      <c r="D1941" s="4"/>
      <c r="E1941" s="4"/>
      <c r="F1941" s="4" t="s">
        <v>22</v>
      </c>
      <c r="G1941" s="6">
        <v>0.34</v>
      </c>
      <c r="H1941" s="7" t="s">
        <v>1606</v>
      </c>
      <c r="I1941" s="4" t="s">
        <v>1623</v>
      </c>
      <c r="J1941" s="4" t="s">
        <v>2987</v>
      </c>
      <c r="K1941" s="8"/>
      <c r="L1941" s="8" t="s">
        <v>33</v>
      </c>
      <c r="M1941" s="9">
        <f t="shared" si="1"/>
        <v>28</v>
      </c>
    </row>
    <row r="1942" ht="12.75" customHeight="1">
      <c r="A1942" s="4">
        <f t="shared" si="2"/>
        <v>1941</v>
      </c>
      <c r="B1942" s="4" t="s">
        <v>4265</v>
      </c>
      <c r="C1942" s="5" t="s">
        <v>4266</v>
      </c>
      <c r="D1942" s="4"/>
      <c r="E1942" s="4"/>
      <c r="F1942" s="4" t="s">
        <v>22</v>
      </c>
      <c r="G1942" s="6">
        <v>0.15</v>
      </c>
      <c r="H1942" s="7" t="s">
        <v>1606</v>
      </c>
      <c r="I1942" s="4" t="s">
        <v>1623</v>
      </c>
      <c r="J1942" s="4" t="s">
        <v>2987</v>
      </c>
      <c r="K1942" s="8"/>
      <c r="L1942" s="8" t="s">
        <v>33</v>
      </c>
      <c r="M1942" s="9">
        <f t="shared" si="1"/>
        <v>30</v>
      </c>
    </row>
    <row r="1943" ht="12.75" customHeight="1">
      <c r="A1943" s="4">
        <f t="shared" si="2"/>
        <v>1942</v>
      </c>
      <c r="B1943" s="4" t="s">
        <v>4267</v>
      </c>
      <c r="C1943" s="5" t="s">
        <v>4268</v>
      </c>
      <c r="D1943" s="4"/>
      <c r="E1943" s="4"/>
      <c r="F1943" s="4" t="s">
        <v>22</v>
      </c>
      <c r="G1943" s="6">
        <v>0.17</v>
      </c>
      <c r="H1943" s="7" t="s">
        <v>1606</v>
      </c>
      <c r="I1943" s="4" t="s">
        <v>1623</v>
      </c>
      <c r="J1943" s="4" t="s">
        <v>2987</v>
      </c>
      <c r="K1943" s="8"/>
      <c r="L1943" s="8" t="s">
        <v>33</v>
      </c>
      <c r="M1943" s="9">
        <f t="shared" si="1"/>
        <v>30</v>
      </c>
    </row>
    <row r="1944" ht="12.75" customHeight="1">
      <c r="A1944" s="4">
        <f t="shared" si="2"/>
        <v>1943</v>
      </c>
      <c r="B1944" s="4" t="s">
        <v>4269</v>
      </c>
      <c r="C1944" s="5" t="s">
        <v>4270</v>
      </c>
      <c r="D1944" s="4"/>
      <c r="E1944" s="4"/>
      <c r="F1944" s="4" t="s">
        <v>22</v>
      </c>
      <c r="G1944" s="21">
        <v>0.24</v>
      </c>
      <c r="H1944" s="7" t="s">
        <v>1606</v>
      </c>
      <c r="I1944" s="4" t="s">
        <v>1623</v>
      </c>
      <c r="J1944" s="4" t="s">
        <v>2987</v>
      </c>
      <c r="K1944" s="8"/>
      <c r="L1944" s="8" t="s">
        <v>33</v>
      </c>
      <c r="M1944" s="9">
        <f t="shared" si="1"/>
        <v>30</v>
      </c>
    </row>
    <row r="1945" ht="12.75" customHeight="1">
      <c r="A1945" s="4">
        <f t="shared" si="2"/>
        <v>1944</v>
      </c>
      <c r="B1945" s="4" t="s">
        <v>4271</v>
      </c>
      <c r="C1945" s="5" t="s">
        <v>4272</v>
      </c>
      <c r="D1945" s="4"/>
      <c r="E1945" s="4"/>
      <c r="F1945" s="4" t="s">
        <v>22</v>
      </c>
      <c r="G1945" s="6">
        <v>0.32</v>
      </c>
      <c r="H1945" s="7" t="s">
        <v>1606</v>
      </c>
      <c r="I1945" s="4" t="s">
        <v>1623</v>
      </c>
      <c r="J1945" s="4" t="s">
        <v>2987</v>
      </c>
      <c r="K1945" s="8"/>
      <c r="L1945" s="8" t="s">
        <v>33</v>
      </c>
      <c r="M1945" s="9">
        <f t="shared" si="1"/>
        <v>30</v>
      </c>
    </row>
    <row r="1946" ht="12.75" customHeight="1">
      <c r="A1946" s="4">
        <f t="shared" si="2"/>
        <v>1945</v>
      </c>
      <c r="B1946" s="4" t="s">
        <v>4273</v>
      </c>
      <c r="C1946" s="5" t="s">
        <v>4274</v>
      </c>
      <c r="D1946" s="4"/>
      <c r="E1946" s="4"/>
      <c r="F1946" s="4" t="s">
        <v>22</v>
      </c>
      <c r="G1946" s="6">
        <v>1.2</v>
      </c>
      <c r="H1946" s="7" t="s">
        <v>1606</v>
      </c>
      <c r="I1946" s="4" t="s">
        <v>1623</v>
      </c>
      <c r="J1946" s="4" t="s">
        <v>2987</v>
      </c>
      <c r="K1946" s="8"/>
      <c r="L1946" s="8" t="s">
        <v>33</v>
      </c>
      <c r="M1946" s="9">
        <f t="shared" si="1"/>
        <v>28</v>
      </c>
    </row>
    <row r="1947" ht="12.75" customHeight="1">
      <c r="A1947" s="4">
        <f t="shared" si="2"/>
        <v>1946</v>
      </c>
      <c r="B1947" s="4" t="s">
        <v>4275</v>
      </c>
      <c r="C1947" s="5" t="s">
        <v>4276</v>
      </c>
      <c r="D1947" s="4"/>
      <c r="E1947" s="4"/>
      <c r="F1947" s="4" t="s">
        <v>22</v>
      </c>
      <c r="G1947" s="6">
        <v>1.26</v>
      </c>
      <c r="H1947" s="7" t="s">
        <v>1606</v>
      </c>
      <c r="I1947" s="4" t="s">
        <v>1623</v>
      </c>
      <c r="J1947" s="4" t="s">
        <v>2987</v>
      </c>
      <c r="K1947" s="8"/>
      <c r="L1947" s="8" t="s">
        <v>33</v>
      </c>
      <c r="M1947" s="9">
        <f t="shared" si="1"/>
        <v>28</v>
      </c>
    </row>
    <row r="1948" ht="12.75" customHeight="1">
      <c r="A1948" s="4">
        <f t="shared" si="2"/>
        <v>1947</v>
      </c>
      <c r="B1948" s="4" t="s">
        <v>4277</v>
      </c>
      <c r="C1948" s="5" t="s">
        <v>4278</v>
      </c>
      <c r="D1948" s="4"/>
      <c r="E1948" s="4"/>
      <c r="F1948" s="4" t="s">
        <v>22</v>
      </c>
      <c r="G1948" s="6">
        <v>1.28</v>
      </c>
      <c r="H1948" s="7" t="s">
        <v>1606</v>
      </c>
      <c r="I1948" s="4" t="s">
        <v>1623</v>
      </c>
      <c r="J1948" s="4" t="s">
        <v>2987</v>
      </c>
      <c r="K1948" s="8"/>
      <c r="L1948" s="8" t="s">
        <v>33</v>
      </c>
      <c r="M1948" s="9">
        <f t="shared" si="1"/>
        <v>28</v>
      </c>
    </row>
    <row r="1949" ht="12.75" customHeight="1">
      <c r="A1949" s="4">
        <f t="shared" si="2"/>
        <v>1948</v>
      </c>
      <c r="B1949" s="4" t="s">
        <v>4279</v>
      </c>
      <c r="C1949" s="5" t="s">
        <v>4280</v>
      </c>
      <c r="D1949" s="4"/>
      <c r="E1949" s="4"/>
      <c r="F1949" s="4" t="s">
        <v>22</v>
      </c>
      <c r="G1949" s="6">
        <v>1.3</v>
      </c>
      <c r="H1949" s="7" t="s">
        <v>1606</v>
      </c>
      <c r="I1949" s="4" t="s">
        <v>1623</v>
      </c>
      <c r="J1949" s="4" t="s">
        <v>2987</v>
      </c>
      <c r="K1949" s="8"/>
      <c r="L1949" s="8" t="s">
        <v>33</v>
      </c>
      <c r="M1949" s="9">
        <f t="shared" si="1"/>
        <v>28</v>
      </c>
    </row>
    <row r="1950" ht="12.75" customHeight="1">
      <c r="A1950" s="4">
        <f t="shared" si="2"/>
        <v>1949</v>
      </c>
      <c r="B1950" s="4" t="s">
        <v>4281</v>
      </c>
      <c r="C1950" s="5" t="s">
        <v>4282</v>
      </c>
      <c r="D1950" s="4"/>
      <c r="E1950" s="4"/>
      <c r="F1950" s="4" t="s">
        <v>22</v>
      </c>
      <c r="G1950" s="6">
        <v>1.8</v>
      </c>
      <c r="H1950" s="7" t="s">
        <v>1606</v>
      </c>
      <c r="I1950" s="4" t="s">
        <v>1623</v>
      </c>
      <c r="J1950" s="4" t="s">
        <v>2987</v>
      </c>
      <c r="K1950" s="8"/>
      <c r="L1950" s="8" t="s">
        <v>33</v>
      </c>
      <c r="M1950" s="9">
        <f t="shared" si="1"/>
        <v>30</v>
      </c>
    </row>
    <row r="1951" ht="12.75" customHeight="1">
      <c r="A1951" s="4">
        <f t="shared" si="2"/>
        <v>1950</v>
      </c>
      <c r="B1951" s="4" t="s">
        <v>4283</v>
      </c>
      <c r="C1951" s="5" t="s">
        <v>4284</v>
      </c>
      <c r="D1951" s="4"/>
      <c r="E1951" s="4"/>
      <c r="F1951" s="4" t="s">
        <v>22</v>
      </c>
      <c r="G1951" s="6">
        <v>1.9</v>
      </c>
      <c r="H1951" s="7" t="s">
        <v>1606</v>
      </c>
      <c r="I1951" s="4" t="s">
        <v>1623</v>
      </c>
      <c r="J1951" s="4" t="s">
        <v>2987</v>
      </c>
      <c r="K1951" s="8"/>
      <c r="L1951" s="8" t="s">
        <v>33</v>
      </c>
      <c r="M1951" s="9">
        <f t="shared" si="1"/>
        <v>30</v>
      </c>
    </row>
    <row r="1952" ht="12.75" customHeight="1">
      <c r="A1952" s="4">
        <f t="shared" si="2"/>
        <v>1951</v>
      </c>
      <c r="B1952" s="4" t="s">
        <v>4285</v>
      </c>
      <c r="C1952" s="5" t="s">
        <v>4286</v>
      </c>
      <c r="D1952" s="4"/>
      <c r="E1952" s="4"/>
      <c r="F1952" s="4" t="s">
        <v>22</v>
      </c>
      <c r="G1952" s="21">
        <v>1.95</v>
      </c>
      <c r="H1952" s="7" t="s">
        <v>1606</v>
      </c>
      <c r="I1952" s="4" t="s">
        <v>1623</v>
      </c>
      <c r="J1952" s="4" t="s">
        <v>2987</v>
      </c>
      <c r="K1952" s="8"/>
      <c r="L1952" s="8" t="s">
        <v>33</v>
      </c>
      <c r="M1952" s="9">
        <f t="shared" si="1"/>
        <v>30</v>
      </c>
    </row>
    <row r="1953" ht="12.75" customHeight="1">
      <c r="A1953" s="4">
        <f t="shared" si="2"/>
        <v>1952</v>
      </c>
      <c r="B1953" s="4" t="s">
        <v>4287</v>
      </c>
      <c r="C1953" s="5" t="s">
        <v>4288</v>
      </c>
      <c r="D1953" s="4"/>
      <c r="E1953" s="4"/>
      <c r="F1953" s="4" t="s">
        <v>22</v>
      </c>
      <c r="G1953" s="6">
        <v>2.01</v>
      </c>
      <c r="H1953" s="7" t="s">
        <v>1606</v>
      </c>
      <c r="I1953" s="4" t="s">
        <v>1623</v>
      </c>
      <c r="J1953" s="4" t="s">
        <v>2987</v>
      </c>
      <c r="K1953" s="8"/>
      <c r="L1953" s="8" t="s">
        <v>33</v>
      </c>
      <c r="M1953" s="9">
        <f t="shared" si="1"/>
        <v>30</v>
      </c>
    </row>
    <row r="1954" ht="12.75" customHeight="1">
      <c r="A1954" s="4">
        <f t="shared" si="2"/>
        <v>1953</v>
      </c>
      <c r="B1954" s="4" t="s">
        <v>4289</v>
      </c>
      <c r="C1954" s="5" t="s">
        <v>4290</v>
      </c>
      <c r="D1954" s="4"/>
      <c r="E1954" s="4"/>
      <c r="F1954" s="4" t="s">
        <v>22</v>
      </c>
      <c r="G1954" s="21">
        <v>0.26</v>
      </c>
      <c r="H1954" s="7" t="s">
        <v>1606</v>
      </c>
      <c r="I1954" s="4" t="s">
        <v>1623</v>
      </c>
      <c r="J1954" s="4" t="s">
        <v>2230</v>
      </c>
      <c r="K1954" s="8"/>
      <c r="L1954" s="8" t="s">
        <v>33</v>
      </c>
      <c r="M1954" s="9">
        <f t="shared" si="1"/>
        <v>21</v>
      </c>
    </row>
    <row r="1955" ht="12.75" customHeight="1">
      <c r="A1955" s="4">
        <f t="shared" si="2"/>
        <v>1954</v>
      </c>
      <c r="B1955" s="4" t="s">
        <v>4291</v>
      </c>
      <c r="C1955" s="5" t="s">
        <v>4292</v>
      </c>
      <c r="D1955" s="4"/>
      <c r="E1955" s="4"/>
      <c r="F1955" s="4" t="s">
        <v>22</v>
      </c>
      <c r="G1955" s="6">
        <v>0.39</v>
      </c>
      <c r="H1955" s="7" t="s">
        <v>1606</v>
      </c>
      <c r="I1955" s="4" t="s">
        <v>1623</v>
      </c>
      <c r="J1955" s="4" t="s">
        <v>2230</v>
      </c>
      <c r="K1955" s="8"/>
      <c r="L1955" s="8" t="s">
        <v>33</v>
      </c>
      <c r="M1955" s="9">
        <f t="shared" si="1"/>
        <v>21</v>
      </c>
    </row>
    <row r="1956" ht="12.75" customHeight="1">
      <c r="A1956" s="4">
        <f t="shared" si="2"/>
        <v>1955</v>
      </c>
      <c r="B1956" s="4" t="s">
        <v>4293</v>
      </c>
      <c r="C1956" s="5" t="s">
        <v>4294</v>
      </c>
      <c r="D1956" s="4"/>
      <c r="E1956" s="4"/>
      <c r="F1956" s="4" t="s">
        <v>22</v>
      </c>
      <c r="G1956" s="6">
        <v>0.54</v>
      </c>
      <c r="H1956" s="7" t="s">
        <v>1606</v>
      </c>
      <c r="I1956" s="4" t="s">
        <v>1623</v>
      </c>
      <c r="J1956" s="4" t="s">
        <v>2230</v>
      </c>
      <c r="K1956" s="8"/>
      <c r="L1956" s="8" t="s">
        <v>33</v>
      </c>
      <c r="M1956" s="9">
        <f t="shared" si="1"/>
        <v>21</v>
      </c>
    </row>
    <row r="1957" ht="12.75" customHeight="1">
      <c r="A1957" s="4">
        <f t="shared" si="2"/>
        <v>1956</v>
      </c>
      <c r="B1957" s="4" t="s">
        <v>4295</v>
      </c>
      <c r="C1957" s="5" t="s">
        <v>4296</v>
      </c>
      <c r="D1957" s="4"/>
      <c r="E1957" s="4"/>
      <c r="F1957" s="4" t="s">
        <v>22</v>
      </c>
      <c r="G1957" s="6">
        <v>0.64</v>
      </c>
      <c r="H1957" s="7" t="s">
        <v>1606</v>
      </c>
      <c r="I1957" s="4" t="s">
        <v>1623</v>
      </c>
      <c r="J1957" s="4" t="s">
        <v>2230</v>
      </c>
      <c r="K1957" s="8"/>
      <c r="L1957" s="8" t="s">
        <v>33</v>
      </c>
      <c r="M1957" s="9">
        <f t="shared" si="1"/>
        <v>21</v>
      </c>
    </row>
    <row r="1958" ht="12.75" customHeight="1">
      <c r="A1958" s="4">
        <f t="shared" si="2"/>
        <v>1957</v>
      </c>
      <c r="B1958" s="4" t="s">
        <v>4297</v>
      </c>
      <c r="C1958" s="5" t="s">
        <v>4298</v>
      </c>
      <c r="D1958" s="4"/>
      <c r="E1958" s="4"/>
      <c r="F1958" s="4" t="s">
        <v>22</v>
      </c>
      <c r="G1958" s="6">
        <v>0.25</v>
      </c>
      <c r="H1958" s="7" t="s">
        <v>1606</v>
      </c>
      <c r="I1958" s="4" t="s">
        <v>1623</v>
      </c>
      <c r="J1958" s="4" t="s">
        <v>2230</v>
      </c>
      <c r="K1958" s="8"/>
      <c r="L1958" s="8" t="s">
        <v>33</v>
      </c>
      <c r="M1958" s="9">
        <f t="shared" si="1"/>
        <v>23</v>
      </c>
    </row>
    <row r="1959" ht="12.75" customHeight="1">
      <c r="A1959" s="4">
        <f t="shared" si="2"/>
        <v>1958</v>
      </c>
      <c r="B1959" s="4" t="s">
        <v>4299</v>
      </c>
      <c r="C1959" s="5" t="s">
        <v>4300</v>
      </c>
      <c r="D1959" s="4"/>
      <c r="E1959" s="4"/>
      <c r="F1959" s="4" t="s">
        <v>22</v>
      </c>
      <c r="G1959" s="6">
        <v>0.25</v>
      </c>
      <c r="H1959" s="7" t="s">
        <v>1606</v>
      </c>
      <c r="I1959" s="4" t="s">
        <v>1623</v>
      </c>
      <c r="J1959" s="4" t="s">
        <v>2230</v>
      </c>
      <c r="K1959" s="8"/>
      <c r="L1959" s="8" t="s">
        <v>33</v>
      </c>
      <c r="M1959" s="9">
        <f t="shared" si="1"/>
        <v>23</v>
      </c>
    </row>
    <row r="1960" ht="12.75" customHeight="1">
      <c r="A1960" s="4">
        <f t="shared" si="2"/>
        <v>1959</v>
      </c>
      <c r="B1960" s="4" t="s">
        <v>4301</v>
      </c>
      <c r="C1960" s="5" t="s">
        <v>4302</v>
      </c>
      <c r="D1960" s="4"/>
      <c r="E1960" s="4"/>
      <c r="F1960" s="4" t="s">
        <v>22</v>
      </c>
      <c r="G1960" s="6">
        <v>0.25</v>
      </c>
      <c r="H1960" s="7" t="s">
        <v>1606</v>
      </c>
      <c r="I1960" s="4" t="s">
        <v>1623</v>
      </c>
      <c r="J1960" s="4" t="s">
        <v>2230</v>
      </c>
      <c r="K1960" s="8"/>
      <c r="L1960" s="8" t="s">
        <v>33</v>
      </c>
      <c r="M1960" s="9">
        <f t="shared" si="1"/>
        <v>23</v>
      </c>
    </row>
    <row r="1961" ht="12.75" customHeight="1">
      <c r="A1961" s="4">
        <f t="shared" si="2"/>
        <v>1960</v>
      </c>
      <c r="B1961" s="4" t="s">
        <v>4303</v>
      </c>
      <c r="C1961" s="5" t="s">
        <v>4304</v>
      </c>
      <c r="D1961" s="4"/>
      <c r="E1961" s="4"/>
      <c r="F1961" s="4" t="s">
        <v>22</v>
      </c>
      <c r="G1961" s="6">
        <v>0.25</v>
      </c>
      <c r="H1961" s="7" t="s">
        <v>1606</v>
      </c>
      <c r="I1961" s="4" t="s">
        <v>1623</v>
      </c>
      <c r="J1961" s="4" t="s">
        <v>2230</v>
      </c>
      <c r="K1961" s="8"/>
      <c r="L1961" s="8" t="s">
        <v>33</v>
      </c>
      <c r="M1961" s="9">
        <f t="shared" si="1"/>
        <v>23</v>
      </c>
    </row>
    <row r="1962" ht="12.75" customHeight="1">
      <c r="A1962" s="4">
        <f t="shared" si="2"/>
        <v>1961</v>
      </c>
      <c r="B1962" s="4" t="s">
        <v>4305</v>
      </c>
      <c r="C1962" s="5" t="s">
        <v>4306</v>
      </c>
      <c r="D1962" s="4"/>
      <c r="E1962" s="4"/>
      <c r="F1962" s="4" t="s">
        <v>22</v>
      </c>
      <c r="G1962" s="6">
        <v>0.95</v>
      </c>
      <c r="H1962" s="7" t="s">
        <v>1606</v>
      </c>
      <c r="I1962" s="4" t="s">
        <v>1623</v>
      </c>
      <c r="J1962" s="4" t="s">
        <v>2230</v>
      </c>
      <c r="K1962" s="8"/>
      <c r="L1962" s="8" t="s">
        <v>33</v>
      </c>
      <c r="M1962" s="9">
        <f t="shared" si="1"/>
        <v>21</v>
      </c>
    </row>
    <row r="1963" ht="12.75" customHeight="1">
      <c r="A1963" s="4">
        <f t="shared" si="2"/>
        <v>1962</v>
      </c>
      <c r="B1963" s="4" t="s">
        <v>4307</v>
      </c>
      <c r="C1963" s="5" t="s">
        <v>4308</v>
      </c>
      <c r="D1963" s="4"/>
      <c r="E1963" s="4"/>
      <c r="F1963" s="4" t="s">
        <v>22</v>
      </c>
      <c r="G1963" s="6">
        <v>1.05</v>
      </c>
      <c r="H1963" s="7" t="s">
        <v>1606</v>
      </c>
      <c r="I1963" s="4" t="s">
        <v>1623</v>
      </c>
      <c r="J1963" s="4" t="s">
        <v>2230</v>
      </c>
      <c r="K1963" s="8"/>
      <c r="L1963" s="8" t="s">
        <v>33</v>
      </c>
      <c r="M1963" s="9">
        <f t="shared" si="1"/>
        <v>21</v>
      </c>
    </row>
    <row r="1964" ht="12.75" customHeight="1">
      <c r="A1964" s="4">
        <f t="shared" si="2"/>
        <v>1963</v>
      </c>
      <c r="B1964" s="4" t="s">
        <v>4309</v>
      </c>
      <c r="C1964" s="5" t="s">
        <v>4310</v>
      </c>
      <c r="D1964" s="4"/>
      <c r="E1964" s="4"/>
      <c r="F1964" s="4" t="s">
        <v>22</v>
      </c>
      <c r="G1964" s="6">
        <v>1.26</v>
      </c>
      <c r="H1964" s="7" t="s">
        <v>1606</v>
      </c>
      <c r="I1964" s="4" t="s">
        <v>1623</v>
      </c>
      <c r="J1964" s="4" t="s">
        <v>2230</v>
      </c>
      <c r="K1964" s="8"/>
      <c r="L1964" s="8" t="s">
        <v>33</v>
      </c>
      <c r="M1964" s="9">
        <f t="shared" si="1"/>
        <v>21</v>
      </c>
    </row>
    <row r="1965" ht="12.75" customHeight="1">
      <c r="A1965" s="4">
        <f t="shared" si="2"/>
        <v>1964</v>
      </c>
      <c r="B1965" s="4" t="s">
        <v>4311</v>
      </c>
      <c r="C1965" s="5" t="s">
        <v>4312</v>
      </c>
      <c r="D1965" s="4"/>
      <c r="E1965" s="4"/>
      <c r="F1965" s="4" t="s">
        <v>22</v>
      </c>
      <c r="G1965" s="6">
        <v>1.39</v>
      </c>
      <c r="H1965" s="7" t="s">
        <v>1606</v>
      </c>
      <c r="I1965" s="4" t="s">
        <v>1623</v>
      </c>
      <c r="J1965" s="4" t="s">
        <v>2230</v>
      </c>
      <c r="K1965" s="8"/>
      <c r="L1965" s="8" t="s">
        <v>33</v>
      </c>
      <c r="M1965" s="9">
        <f t="shared" si="1"/>
        <v>21</v>
      </c>
    </row>
    <row r="1966" ht="12.75" customHeight="1">
      <c r="A1966" s="4">
        <f t="shared" si="2"/>
        <v>1965</v>
      </c>
      <c r="B1966" s="4" t="s">
        <v>4313</v>
      </c>
      <c r="C1966" s="5" t="s">
        <v>4314</v>
      </c>
      <c r="D1966" s="4"/>
      <c r="E1966" s="4"/>
      <c r="F1966" s="4" t="s">
        <v>22</v>
      </c>
      <c r="G1966" s="6">
        <v>1.45</v>
      </c>
      <c r="H1966" s="7" t="s">
        <v>1606</v>
      </c>
      <c r="I1966" s="4" t="s">
        <v>1623</v>
      </c>
      <c r="J1966" s="4" t="s">
        <v>2230</v>
      </c>
      <c r="K1966" s="8"/>
      <c r="L1966" s="8" t="s">
        <v>33</v>
      </c>
      <c r="M1966" s="9">
        <f t="shared" si="1"/>
        <v>23</v>
      </c>
    </row>
    <row r="1967" ht="12.75" customHeight="1">
      <c r="A1967" s="4">
        <f t="shared" si="2"/>
        <v>1966</v>
      </c>
      <c r="B1967" s="4" t="s">
        <v>4315</v>
      </c>
      <c r="C1967" s="5" t="s">
        <v>4316</v>
      </c>
      <c r="D1967" s="4"/>
      <c r="E1967" s="4"/>
      <c r="F1967" s="4" t="s">
        <v>22</v>
      </c>
      <c r="G1967" s="6">
        <v>1.68</v>
      </c>
      <c r="H1967" s="7" t="s">
        <v>1606</v>
      </c>
      <c r="I1967" s="4" t="s">
        <v>1623</v>
      </c>
      <c r="J1967" s="4" t="s">
        <v>2230</v>
      </c>
      <c r="K1967" s="8"/>
      <c r="L1967" s="8" t="s">
        <v>33</v>
      </c>
      <c r="M1967" s="9">
        <f t="shared" si="1"/>
        <v>23</v>
      </c>
    </row>
    <row r="1968" ht="12.75" customHeight="1">
      <c r="A1968" s="4">
        <f t="shared" si="2"/>
        <v>1967</v>
      </c>
      <c r="B1968" s="4" t="s">
        <v>4317</v>
      </c>
      <c r="C1968" s="5" t="s">
        <v>4318</v>
      </c>
      <c r="D1968" s="4"/>
      <c r="E1968" s="4"/>
      <c r="F1968" s="4" t="s">
        <v>22</v>
      </c>
      <c r="G1968" s="6">
        <v>1.95</v>
      </c>
      <c r="H1968" s="7" t="s">
        <v>1606</v>
      </c>
      <c r="I1968" s="4" t="s">
        <v>1623</v>
      </c>
      <c r="J1968" s="4" t="s">
        <v>2230</v>
      </c>
      <c r="K1968" s="8"/>
      <c r="L1968" s="8" t="s">
        <v>33</v>
      </c>
      <c r="M1968" s="9">
        <f t="shared" si="1"/>
        <v>23</v>
      </c>
    </row>
    <row r="1969" ht="12.75" customHeight="1">
      <c r="A1969" s="4">
        <f t="shared" si="2"/>
        <v>1968</v>
      </c>
      <c r="B1969" s="4" t="s">
        <v>4319</v>
      </c>
      <c r="C1969" s="5" t="s">
        <v>4320</v>
      </c>
      <c r="D1969" s="4"/>
      <c r="E1969" s="4"/>
      <c r="F1969" s="4" t="s">
        <v>22</v>
      </c>
      <c r="G1969" s="6">
        <v>2.24</v>
      </c>
      <c r="H1969" s="7" t="s">
        <v>1606</v>
      </c>
      <c r="I1969" s="4" t="s">
        <v>1623</v>
      </c>
      <c r="J1969" s="4" t="s">
        <v>2230</v>
      </c>
      <c r="K1969" s="8"/>
      <c r="L1969" s="8" t="s">
        <v>33</v>
      </c>
      <c r="M1969" s="9">
        <f t="shared" si="1"/>
        <v>23</v>
      </c>
    </row>
    <row r="1970" ht="12.75" customHeight="1">
      <c r="A1970" s="4">
        <f t="shared" si="2"/>
        <v>1969</v>
      </c>
      <c r="B1970" s="4" t="s">
        <v>4321</v>
      </c>
      <c r="C1970" s="5" t="s">
        <v>4322</v>
      </c>
      <c r="D1970" s="4"/>
      <c r="E1970" s="4"/>
      <c r="F1970" s="4" t="s">
        <v>22</v>
      </c>
      <c r="G1970" s="6">
        <v>0.89</v>
      </c>
      <c r="H1970" s="7" t="s">
        <v>1606</v>
      </c>
      <c r="I1970" s="4" t="s">
        <v>1623</v>
      </c>
      <c r="J1970" s="4" t="s">
        <v>3029</v>
      </c>
      <c r="K1970" s="8"/>
      <c r="L1970" s="8" t="s">
        <v>2623</v>
      </c>
      <c r="M1970" s="9">
        <f t="shared" si="1"/>
        <v>25</v>
      </c>
    </row>
    <row r="1971" ht="12.75" customHeight="1">
      <c r="A1971" s="4">
        <f t="shared" si="2"/>
        <v>1970</v>
      </c>
      <c r="B1971" s="4" t="s">
        <v>4323</v>
      </c>
      <c r="C1971" s="5" t="s">
        <v>4324</v>
      </c>
      <c r="D1971" s="4"/>
      <c r="E1971" s="4"/>
      <c r="F1971" s="4" t="s">
        <v>22</v>
      </c>
      <c r="G1971" s="6">
        <v>1.05</v>
      </c>
      <c r="H1971" s="7" t="s">
        <v>1606</v>
      </c>
      <c r="I1971" s="4" t="s">
        <v>1623</v>
      </c>
      <c r="J1971" s="4" t="s">
        <v>3029</v>
      </c>
      <c r="K1971" s="8"/>
      <c r="L1971" s="8" t="s">
        <v>2623</v>
      </c>
      <c r="M1971" s="9">
        <f t="shared" si="1"/>
        <v>25</v>
      </c>
    </row>
    <row r="1972" ht="12.75" customHeight="1">
      <c r="A1972" s="4">
        <f t="shared" si="2"/>
        <v>1971</v>
      </c>
      <c r="B1972" s="4" t="s">
        <v>4325</v>
      </c>
      <c r="C1972" s="5" t="s">
        <v>4326</v>
      </c>
      <c r="D1972" s="4"/>
      <c r="E1972" s="4"/>
      <c r="F1972" s="4" t="s">
        <v>22</v>
      </c>
      <c r="G1972" s="6">
        <v>1.59</v>
      </c>
      <c r="H1972" s="7" t="s">
        <v>1606</v>
      </c>
      <c r="I1972" s="4" t="s">
        <v>1623</v>
      </c>
      <c r="J1972" s="4" t="s">
        <v>3029</v>
      </c>
      <c r="K1972" s="8"/>
      <c r="L1972" s="8" t="s">
        <v>2623</v>
      </c>
      <c r="M1972" s="9">
        <f t="shared" si="1"/>
        <v>25</v>
      </c>
    </row>
    <row r="1973" ht="12.75" customHeight="1">
      <c r="A1973" s="4">
        <f t="shared" si="2"/>
        <v>1972</v>
      </c>
      <c r="B1973" s="4" t="s">
        <v>4327</v>
      </c>
      <c r="C1973" s="5" t="s">
        <v>4328</v>
      </c>
      <c r="D1973" s="4"/>
      <c r="E1973" s="4"/>
      <c r="F1973" s="4" t="s">
        <v>22</v>
      </c>
      <c r="G1973" s="6">
        <v>0.62</v>
      </c>
      <c r="H1973" s="7" t="s">
        <v>1606</v>
      </c>
      <c r="I1973" s="4" t="s">
        <v>1623</v>
      </c>
      <c r="J1973" s="4" t="s">
        <v>3029</v>
      </c>
      <c r="K1973" s="8"/>
      <c r="L1973" s="8" t="s">
        <v>2623</v>
      </c>
      <c r="M1973" s="9">
        <f t="shared" si="1"/>
        <v>27</v>
      </c>
    </row>
    <row r="1974" ht="12.75" customHeight="1">
      <c r="A1974" s="4">
        <f t="shared" si="2"/>
        <v>1973</v>
      </c>
      <c r="B1974" s="4" t="s">
        <v>4329</v>
      </c>
      <c r="C1974" s="5" t="s">
        <v>4330</v>
      </c>
      <c r="D1974" s="4"/>
      <c r="E1974" s="4"/>
      <c r="F1974" s="4" t="s">
        <v>22</v>
      </c>
      <c r="G1974" s="6">
        <v>0.68</v>
      </c>
      <c r="H1974" s="7" t="s">
        <v>1606</v>
      </c>
      <c r="I1974" s="4" t="s">
        <v>1623</v>
      </c>
      <c r="J1974" s="4" t="s">
        <v>3029</v>
      </c>
      <c r="K1974" s="8"/>
      <c r="L1974" s="8" t="s">
        <v>2623</v>
      </c>
      <c r="M1974" s="9">
        <f t="shared" si="1"/>
        <v>27</v>
      </c>
    </row>
    <row r="1975" ht="12.75" customHeight="1">
      <c r="A1975" s="4">
        <f t="shared" si="2"/>
        <v>1974</v>
      </c>
      <c r="B1975" s="4" t="s">
        <v>4331</v>
      </c>
      <c r="C1975" s="5" t="s">
        <v>4332</v>
      </c>
      <c r="D1975" s="4"/>
      <c r="E1975" s="4"/>
      <c r="F1975" s="4" t="s">
        <v>22</v>
      </c>
      <c r="G1975" s="6">
        <v>0.68</v>
      </c>
      <c r="H1975" s="7" t="s">
        <v>1606</v>
      </c>
      <c r="I1975" s="4" t="s">
        <v>1623</v>
      </c>
      <c r="J1975" s="4" t="s">
        <v>3029</v>
      </c>
      <c r="K1975" s="8"/>
      <c r="L1975" s="8" t="s">
        <v>2623</v>
      </c>
      <c r="M1975" s="9">
        <f t="shared" si="1"/>
        <v>27</v>
      </c>
    </row>
    <row r="1976" ht="12.75" customHeight="1">
      <c r="A1976" s="4">
        <f t="shared" si="2"/>
        <v>1975</v>
      </c>
      <c r="B1976" s="4" t="s">
        <v>4333</v>
      </c>
      <c r="C1976" s="5" t="s">
        <v>4334</v>
      </c>
      <c r="D1976" s="4"/>
      <c r="E1976" s="4"/>
      <c r="F1976" s="4" t="s">
        <v>22</v>
      </c>
      <c r="G1976" s="6">
        <v>0.84</v>
      </c>
      <c r="H1976" s="7" t="s">
        <v>1606</v>
      </c>
      <c r="I1976" s="4" t="s">
        <v>1623</v>
      </c>
      <c r="J1976" s="4" t="s">
        <v>3029</v>
      </c>
      <c r="K1976" s="8"/>
      <c r="L1976" s="8" t="s">
        <v>2623</v>
      </c>
      <c r="M1976" s="9">
        <f t="shared" si="1"/>
        <v>27</v>
      </c>
    </row>
    <row r="1977" ht="12.75" customHeight="1">
      <c r="A1977" s="4">
        <f t="shared" si="2"/>
        <v>1976</v>
      </c>
      <c r="B1977" s="4" t="s">
        <v>4335</v>
      </c>
      <c r="C1977" s="5" t="s">
        <v>4336</v>
      </c>
      <c r="D1977" s="4"/>
      <c r="E1977" s="4"/>
      <c r="F1977" s="4" t="s">
        <v>22</v>
      </c>
      <c r="G1977" s="6">
        <v>1.05</v>
      </c>
      <c r="H1977" s="7" t="s">
        <v>1606</v>
      </c>
      <c r="I1977" s="4" t="s">
        <v>1623</v>
      </c>
      <c r="J1977" s="4" t="s">
        <v>3029</v>
      </c>
      <c r="K1977" s="8"/>
      <c r="L1977" s="8" t="s">
        <v>2623</v>
      </c>
      <c r="M1977" s="9">
        <f t="shared" si="1"/>
        <v>27</v>
      </c>
    </row>
    <row r="1978" ht="12.75" customHeight="1">
      <c r="A1978" s="4">
        <f t="shared" si="2"/>
        <v>1977</v>
      </c>
      <c r="B1978" s="4" t="s">
        <v>4337</v>
      </c>
      <c r="C1978" s="5" t="s">
        <v>4338</v>
      </c>
      <c r="D1978" s="4"/>
      <c r="E1978" s="4"/>
      <c r="F1978" s="4" t="s">
        <v>22</v>
      </c>
      <c r="G1978" s="6">
        <v>0.95</v>
      </c>
      <c r="H1978" s="7" t="s">
        <v>1606</v>
      </c>
      <c r="I1978" s="4" t="s">
        <v>1623</v>
      </c>
      <c r="J1978" s="4" t="s">
        <v>3029</v>
      </c>
      <c r="K1978" s="8"/>
      <c r="L1978" s="8" t="s">
        <v>2623</v>
      </c>
      <c r="M1978" s="9">
        <f t="shared" si="1"/>
        <v>27</v>
      </c>
    </row>
    <row r="1979" ht="12.75" customHeight="1">
      <c r="A1979" s="4">
        <f t="shared" si="2"/>
        <v>1978</v>
      </c>
      <c r="B1979" s="4" t="s">
        <v>4339</v>
      </c>
      <c r="C1979" s="5" t="s">
        <v>4340</v>
      </c>
      <c r="D1979" s="4"/>
      <c r="E1979" s="4"/>
      <c r="F1979" s="4" t="s">
        <v>22</v>
      </c>
      <c r="G1979" s="6">
        <v>1.08</v>
      </c>
      <c r="H1979" s="7" t="s">
        <v>1606</v>
      </c>
      <c r="I1979" s="4" t="s">
        <v>1773</v>
      </c>
      <c r="J1979" s="4" t="s">
        <v>1774</v>
      </c>
      <c r="K1979" s="8"/>
      <c r="L1979" s="8" t="s">
        <v>33</v>
      </c>
      <c r="M1979" s="9">
        <f t="shared" si="1"/>
        <v>38</v>
      </c>
    </row>
    <row r="1980" ht="12.75" customHeight="1">
      <c r="A1980" s="4">
        <f t="shared" si="2"/>
        <v>1979</v>
      </c>
      <c r="B1980" s="4" t="s">
        <v>4341</v>
      </c>
      <c r="C1980" s="5" t="s">
        <v>4342</v>
      </c>
      <c r="D1980" s="4"/>
      <c r="E1980" s="4"/>
      <c r="F1980" s="4" t="s">
        <v>371</v>
      </c>
      <c r="G1980" s="6">
        <v>7.76</v>
      </c>
      <c r="H1980" s="7" t="s">
        <v>1606</v>
      </c>
      <c r="I1980" s="4" t="s">
        <v>1773</v>
      </c>
      <c r="J1980" s="4" t="s">
        <v>1774</v>
      </c>
      <c r="K1980" s="8"/>
      <c r="L1980" s="8" t="s">
        <v>19</v>
      </c>
      <c r="M1980" s="9">
        <f t="shared" si="1"/>
        <v>32</v>
      </c>
    </row>
    <row r="1981" ht="12.75" customHeight="1">
      <c r="A1981" s="4">
        <f t="shared" si="2"/>
        <v>1980</v>
      </c>
      <c r="B1981" s="4" t="s">
        <v>4343</v>
      </c>
      <c r="C1981" s="5" t="s">
        <v>4344</v>
      </c>
      <c r="D1981" s="4"/>
      <c r="E1981" s="4"/>
      <c r="F1981" s="4" t="s">
        <v>22</v>
      </c>
      <c r="G1981" s="6">
        <v>1.52</v>
      </c>
      <c r="H1981" s="7" t="s">
        <v>1606</v>
      </c>
      <c r="I1981" s="4" t="s">
        <v>2011</v>
      </c>
      <c r="J1981" s="4" t="s">
        <v>4345</v>
      </c>
      <c r="K1981" s="8"/>
      <c r="L1981" s="8" t="s">
        <v>33</v>
      </c>
      <c r="M1981" s="9">
        <f t="shared" si="1"/>
        <v>30</v>
      </c>
    </row>
    <row r="1982" ht="12.75" customHeight="1">
      <c r="A1982" s="4">
        <f t="shared" si="2"/>
        <v>1981</v>
      </c>
      <c r="B1982" s="4" t="s">
        <v>4346</v>
      </c>
      <c r="C1982" s="5" t="s">
        <v>4347</v>
      </c>
      <c r="D1982" s="4"/>
      <c r="E1982" s="4"/>
      <c r="F1982" s="4" t="s">
        <v>22</v>
      </c>
      <c r="G1982" s="6">
        <v>1.35</v>
      </c>
      <c r="H1982" s="7" t="s">
        <v>1606</v>
      </c>
      <c r="I1982" s="4" t="s">
        <v>2011</v>
      </c>
      <c r="J1982" s="4" t="s">
        <v>4345</v>
      </c>
      <c r="K1982" s="8"/>
      <c r="L1982" s="8" t="s">
        <v>33</v>
      </c>
      <c r="M1982" s="9">
        <f t="shared" si="1"/>
        <v>34</v>
      </c>
    </row>
    <row r="1983" ht="12.75" customHeight="1">
      <c r="A1983" s="4">
        <f t="shared" si="2"/>
        <v>1982</v>
      </c>
      <c r="B1983" s="4" t="s">
        <v>4348</v>
      </c>
      <c r="C1983" s="5" t="s">
        <v>4349</v>
      </c>
      <c r="D1983" s="4"/>
      <c r="E1983" s="4"/>
      <c r="F1983" s="4" t="s">
        <v>22</v>
      </c>
      <c r="G1983" s="6">
        <v>1.62</v>
      </c>
      <c r="H1983" s="7" t="s">
        <v>1606</v>
      </c>
      <c r="I1983" s="4" t="s">
        <v>2011</v>
      </c>
      <c r="J1983" s="4" t="s">
        <v>4345</v>
      </c>
      <c r="K1983" s="8"/>
      <c r="L1983" s="8" t="s">
        <v>33</v>
      </c>
      <c r="M1983" s="9">
        <f t="shared" si="1"/>
        <v>34</v>
      </c>
    </row>
    <row r="1984" ht="12.75" customHeight="1">
      <c r="A1984" s="4">
        <f t="shared" si="2"/>
        <v>1983</v>
      </c>
      <c r="B1984" s="4" t="s">
        <v>4350</v>
      </c>
      <c r="C1984" s="5" t="s">
        <v>4351</v>
      </c>
      <c r="D1984" s="4"/>
      <c r="E1984" s="4"/>
      <c r="F1984" s="4" t="s">
        <v>22</v>
      </c>
      <c r="G1984" s="6">
        <v>4.08</v>
      </c>
      <c r="H1984" s="7" t="s">
        <v>1606</v>
      </c>
      <c r="I1984" s="4" t="s">
        <v>1475</v>
      </c>
      <c r="J1984" s="4" t="s">
        <v>2631</v>
      </c>
      <c r="K1984" s="8"/>
      <c r="L1984" s="8" t="s">
        <v>4352</v>
      </c>
      <c r="M1984" s="9">
        <f t="shared" si="1"/>
        <v>22</v>
      </c>
    </row>
    <row r="1985" ht="12.75" customHeight="1">
      <c r="A1985" s="4">
        <f t="shared" si="2"/>
        <v>1984</v>
      </c>
      <c r="B1985" s="4" t="s">
        <v>4353</v>
      </c>
      <c r="C1985" s="5" t="s">
        <v>4354</v>
      </c>
      <c r="D1985" s="4"/>
      <c r="E1985" s="4"/>
      <c r="F1985" s="4" t="s">
        <v>22</v>
      </c>
      <c r="G1985" s="6">
        <v>3.65</v>
      </c>
      <c r="H1985" s="7" t="s">
        <v>1606</v>
      </c>
      <c r="I1985" s="4" t="s">
        <v>1773</v>
      </c>
      <c r="J1985" s="4" t="s">
        <v>1774</v>
      </c>
      <c r="K1985" s="8"/>
      <c r="L1985" s="8" t="s">
        <v>33</v>
      </c>
      <c r="M1985" s="9">
        <f t="shared" si="1"/>
        <v>22</v>
      </c>
    </row>
    <row r="1986" ht="12.75" customHeight="1">
      <c r="A1986" s="4">
        <f t="shared" si="2"/>
        <v>1985</v>
      </c>
      <c r="B1986" s="4" t="s">
        <v>4355</v>
      </c>
      <c r="C1986" s="5" t="s">
        <v>4356</v>
      </c>
      <c r="D1986" s="4"/>
      <c r="E1986" s="4"/>
      <c r="F1986" s="4" t="s">
        <v>1717</v>
      </c>
      <c r="G1986" s="6">
        <v>40.54</v>
      </c>
      <c r="H1986" s="7" t="s">
        <v>1606</v>
      </c>
      <c r="I1986" s="4" t="s">
        <v>1718</v>
      </c>
      <c r="J1986" s="4" t="s">
        <v>1719</v>
      </c>
      <c r="K1986" s="8"/>
      <c r="L1986" s="8" t="s">
        <v>33</v>
      </c>
      <c r="M1986" s="9">
        <f t="shared" si="1"/>
        <v>24</v>
      </c>
    </row>
    <row r="1987" ht="12.75" customHeight="1">
      <c r="A1987" s="4">
        <f t="shared" si="2"/>
        <v>1986</v>
      </c>
      <c r="B1987" s="4" t="s">
        <v>4357</v>
      </c>
      <c r="C1987" s="5" t="s">
        <v>4358</v>
      </c>
      <c r="D1987" s="4"/>
      <c r="E1987" s="4"/>
      <c r="F1987" s="4" t="s">
        <v>22</v>
      </c>
      <c r="G1987" s="6">
        <v>3.92</v>
      </c>
      <c r="H1987" s="7" t="s">
        <v>1606</v>
      </c>
      <c r="I1987" s="4" t="s">
        <v>1773</v>
      </c>
      <c r="J1987" s="4" t="s">
        <v>1774</v>
      </c>
      <c r="K1987" s="8"/>
      <c r="L1987" s="8" t="s">
        <v>33</v>
      </c>
      <c r="M1987" s="9">
        <f t="shared" si="1"/>
        <v>9</v>
      </c>
    </row>
    <row r="1988" ht="12.75" customHeight="1">
      <c r="A1988" s="4">
        <f t="shared" si="2"/>
        <v>1987</v>
      </c>
      <c r="B1988" s="4" t="s">
        <v>4359</v>
      </c>
      <c r="C1988" s="5" t="s">
        <v>4360</v>
      </c>
      <c r="D1988" s="4"/>
      <c r="E1988" s="4"/>
      <c r="F1988" s="4" t="s">
        <v>22</v>
      </c>
      <c r="G1988" s="6">
        <v>7.27</v>
      </c>
      <c r="H1988" s="7" t="s">
        <v>1606</v>
      </c>
      <c r="I1988" s="4" t="s">
        <v>17</v>
      </c>
      <c r="J1988" s="4" t="s">
        <v>2037</v>
      </c>
      <c r="K1988" s="8"/>
      <c r="L1988" s="8" t="s">
        <v>33</v>
      </c>
      <c r="M1988" s="9">
        <f t="shared" si="1"/>
        <v>29</v>
      </c>
    </row>
    <row r="1989" ht="12.75" customHeight="1">
      <c r="A1989" s="4">
        <f t="shared" si="2"/>
        <v>1988</v>
      </c>
      <c r="B1989" s="4" t="s">
        <v>4361</v>
      </c>
      <c r="C1989" s="5" t="s">
        <v>4362</v>
      </c>
      <c r="D1989" s="4"/>
      <c r="E1989" s="4"/>
      <c r="F1989" s="4" t="s">
        <v>22</v>
      </c>
      <c r="G1989" s="6">
        <v>1.35</v>
      </c>
      <c r="H1989" s="7" t="s">
        <v>1606</v>
      </c>
      <c r="I1989" s="4" t="s">
        <v>1800</v>
      </c>
      <c r="J1989" s="4" t="s">
        <v>1801</v>
      </c>
      <c r="K1989" s="8"/>
      <c r="L1989" s="8" t="s">
        <v>33</v>
      </c>
      <c r="M1989" s="9">
        <f t="shared" si="1"/>
        <v>38</v>
      </c>
    </row>
    <row r="1990" ht="12.75" customHeight="1">
      <c r="A1990" s="4">
        <f t="shared" si="2"/>
        <v>1989</v>
      </c>
      <c r="B1990" s="4" t="s">
        <v>4363</v>
      </c>
      <c r="C1990" s="5" t="s">
        <v>4364</v>
      </c>
      <c r="D1990" s="4"/>
      <c r="E1990" s="4"/>
      <c r="F1990" s="4" t="s">
        <v>22</v>
      </c>
      <c r="G1990" s="6">
        <v>66.08</v>
      </c>
      <c r="H1990" s="7" t="s">
        <v>1606</v>
      </c>
      <c r="I1990" s="4" t="s">
        <v>17</v>
      </c>
      <c r="J1990" s="4" t="s">
        <v>2025</v>
      </c>
      <c r="K1990" s="8"/>
      <c r="L1990" s="8" t="s">
        <v>33</v>
      </c>
      <c r="M1990" s="9">
        <f t="shared" si="1"/>
        <v>28</v>
      </c>
    </row>
    <row r="1991" ht="12.75" customHeight="1">
      <c r="A1991" s="4">
        <f t="shared" si="2"/>
        <v>1990</v>
      </c>
      <c r="B1991" s="4" t="s">
        <v>4365</v>
      </c>
      <c r="C1991" s="5" t="s">
        <v>4366</v>
      </c>
      <c r="D1991" s="4"/>
      <c r="E1991" s="4"/>
      <c r="F1991" s="4" t="s">
        <v>2078</v>
      </c>
      <c r="G1991" s="6">
        <v>7.46</v>
      </c>
      <c r="H1991" s="7" t="s">
        <v>1606</v>
      </c>
      <c r="I1991" s="4" t="s">
        <v>1773</v>
      </c>
      <c r="J1991" s="4" t="s">
        <v>1774</v>
      </c>
      <c r="K1991" s="8"/>
      <c r="L1991" s="8" t="s">
        <v>33</v>
      </c>
      <c r="M1991" s="9">
        <f t="shared" si="1"/>
        <v>41</v>
      </c>
    </row>
    <row r="1992" ht="12.75" customHeight="1">
      <c r="A1992" s="4">
        <f t="shared" si="2"/>
        <v>1991</v>
      </c>
      <c r="B1992" s="4" t="s">
        <v>4367</v>
      </c>
      <c r="C1992" s="5" t="s">
        <v>4368</v>
      </c>
      <c r="D1992" s="4"/>
      <c r="E1992" s="4"/>
      <c r="F1992" s="4" t="s">
        <v>3633</v>
      </c>
      <c r="G1992" s="6">
        <v>7.46</v>
      </c>
      <c r="H1992" s="7" t="s">
        <v>1606</v>
      </c>
      <c r="I1992" s="4" t="s">
        <v>1773</v>
      </c>
      <c r="J1992" s="4" t="s">
        <v>1774</v>
      </c>
      <c r="K1992" s="8"/>
      <c r="L1992" s="8" t="s">
        <v>3551</v>
      </c>
      <c r="M1992" s="9">
        <f t="shared" si="1"/>
        <v>36</v>
      </c>
    </row>
    <row r="1993" ht="12.75" customHeight="1">
      <c r="A1993" s="4">
        <f t="shared" si="2"/>
        <v>1992</v>
      </c>
      <c r="B1993" s="4" t="s">
        <v>4369</v>
      </c>
      <c r="C1993" s="5" t="s">
        <v>4370</v>
      </c>
      <c r="D1993" s="4"/>
      <c r="E1993" s="4"/>
      <c r="F1993" s="4" t="s">
        <v>3633</v>
      </c>
      <c r="G1993" s="6">
        <v>3.29</v>
      </c>
      <c r="H1993" s="7" t="s">
        <v>1606</v>
      </c>
      <c r="I1993" s="4" t="s">
        <v>1773</v>
      </c>
      <c r="J1993" s="4" t="s">
        <v>1774</v>
      </c>
      <c r="K1993" s="8"/>
      <c r="L1993" s="8" t="s">
        <v>3551</v>
      </c>
      <c r="M1993" s="9">
        <f t="shared" si="1"/>
        <v>36</v>
      </c>
    </row>
    <row r="1994" ht="12.75" customHeight="1">
      <c r="A1994" s="4">
        <f t="shared" si="2"/>
        <v>1993</v>
      </c>
      <c r="B1994" s="4" t="s">
        <v>4371</v>
      </c>
      <c r="C1994" s="5" t="s">
        <v>4372</v>
      </c>
      <c r="D1994" s="4"/>
      <c r="E1994" s="4"/>
      <c r="F1994" s="4" t="s">
        <v>22</v>
      </c>
      <c r="G1994" s="6">
        <v>2.97</v>
      </c>
      <c r="H1994" s="7" t="s">
        <v>1606</v>
      </c>
      <c r="I1994" s="4" t="s">
        <v>1475</v>
      </c>
      <c r="J1994" s="4" t="s">
        <v>1476</v>
      </c>
      <c r="K1994" s="8"/>
      <c r="L1994" s="8" t="s">
        <v>4373</v>
      </c>
      <c r="M1994" s="9">
        <f t="shared" si="1"/>
        <v>23</v>
      </c>
    </row>
    <row r="1995" ht="12.75" customHeight="1">
      <c r="A1995" s="4">
        <f t="shared" si="2"/>
        <v>1994</v>
      </c>
      <c r="B1995" s="4" t="s">
        <v>4374</v>
      </c>
      <c r="C1995" s="5" t="s">
        <v>4375</v>
      </c>
      <c r="D1995" s="4"/>
      <c r="E1995" s="4"/>
      <c r="F1995" s="4" t="s">
        <v>22</v>
      </c>
      <c r="G1995" s="6">
        <v>11.35</v>
      </c>
      <c r="H1995" s="7" t="s">
        <v>1606</v>
      </c>
      <c r="I1995" s="4" t="s">
        <v>1475</v>
      </c>
      <c r="J1995" s="4" t="s">
        <v>1544</v>
      </c>
      <c r="K1995" s="8"/>
      <c r="L1995" s="8" t="s">
        <v>33</v>
      </c>
      <c r="M1995" s="9">
        <f t="shared" si="1"/>
        <v>36</v>
      </c>
    </row>
    <row r="1996" ht="12.75" customHeight="1">
      <c r="A1996" s="4">
        <f t="shared" si="2"/>
        <v>1995</v>
      </c>
      <c r="B1996" s="4" t="s">
        <v>4376</v>
      </c>
      <c r="C1996" s="5" t="s">
        <v>4377</v>
      </c>
      <c r="D1996" s="4"/>
      <c r="E1996" s="4"/>
      <c r="F1996" s="4" t="s">
        <v>22</v>
      </c>
      <c r="G1996" s="6">
        <v>31.08</v>
      </c>
      <c r="H1996" s="7" t="s">
        <v>1606</v>
      </c>
      <c r="I1996" s="4" t="s">
        <v>1475</v>
      </c>
      <c r="J1996" s="4" t="s">
        <v>1544</v>
      </c>
      <c r="K1996" s="8"/>
      <c r="L1996" s="8" t="s">
        <v>33</v>
      </c>
      <c r="M1996" s="9">
        <f t="shared" si="1"/>
        <v>36</v>
      </c>
    </row>
    <row r="1997" ht="12.75" customHeight="1">
      <c r="A1997" s="4">
        <f t="shared" si="2"/>
        <v>1996</v>
      </c>
      <c r="B1997" s="4" t="s">
        <v>4378</v>
      </c>
      <c r="C1997" s="5" t="s">
        <v>4379</v>
      </c>
      <c r="D1997" s="4"/>
      <c r="E1997" s="4"/>
      <c r="F1997" s="4" t="s">
        <v>1694</v>
      </c>
      <c r="G1997" s="6">
        <v>9.19</v>
      </c>
      <c r="H1997" s="7" t="s">
        <v>1606</v>
      </c>
      <c r="I1997" s="4" t="s">
        <v>2044</v>
      </c>
      <c r="J1997" s="4" t="s">
        <v>4380</v>
      </c>
      <c r="K1997" s="8"/>
      <c r="L1997" s="8" t="s">
        <v>4381</v>
      </c>
      <c r="M1997" s="9">
        <f t="shared" si="1"/>
        <v>11</v>
      </c>
    </row>
    <row r="1998" ht="12.75" customHeight="1">
      <c r="A1998" s="4">
        <f t="shared" si="2"/>
        <v>1997</v>
      </c>
      <c r="B1998" s="4" t="s">
        <v>4382</v>
      </c>
      <c r="C1998" s="5" t="s">
        <v>4383</v>
      </c>
      <c r="D1998" s="4"/>
      <c r="E1998" s="4"/>
      <c r="F1998" s="4" t="s">
        <v>22</v>
      </c>
      <c r="G1998" s="6">
        <v>21.35</v>
      </c>
      <c r="H1998" s="7" t="s">
        <v>1606</v>
      </c>
      <c r="I1998" s="4" t="s">
        <v>17</v>
      </c>
      <c r="J1998" s="4" t="s">
        <v>2037</v>
      </c>
      <c r="K1998" s="8"/>
      <c r="L1998" s="8" t="s">
        <v>33</v>
      </c>
      <c r="M1998" s="9">
        <f t="shared" si="1"/>
        <v>23</v>
      </c>
    </row>
    <row r="1999" ht="12.75" customHeight="1">
      <c r="A1999" s="4">
        <f t="shared" si="2"/>
        <v>1998</v>
      </c>
      <c r="B1999" s="4" t="s">
        <v>4384</v>
      </c>
      <c r="C1999" s="5" t="s">
        <v>4385</v>
      </c>
      <c r="D1999" s="4"/>
      <c r="E1999" s="4"/>
      <c r="F1999" s="4" t="s">
        <v>22</v>
      </c>
      <c r="G1999" s="6">
        <v>21.81</v>
      </c>
      <c r="H1999" s="7" t="s">
        <v>1606</v>
      </c>
      <c r="I1999" s="4" t="s">
        <v>1697</v>
      </c>
      <c r="J1999" s="4" t="s">
        <v>1698</v>
      </c>
      <c r="K1999" s="8"/>
      <c r="L1999" s="8" t="s">
        <v>2762</v>
      </c>
      <c r="M1999" s="9">
        <f t="shared" si="1"/>
        <v>43</v>
      </c>
    </row>
    <row r="2000" ht="12.75" customHeight="1">
      <c r="A2000" s="4">
        <f t="shared" si="2"/>
        <v>1999</v>
      </c>
      <c r="B2000" s="4" t="s">
        <v>4386</v>
      </c>
      <c r="C2000" s="5" t="s">
        <v>4387</v>
      </c>
      <c r="D2000" s="4"/>
      <c r="E2000" s="4"/>
      <c r="F2000" s="4" t="s">
        <v>22</v>
      </c>
      <c r="G2000" s="6">
        <v>6.7</v>
      </c>
      <c r="H2000" s="7" t="s">
        <v>1606</v>
      </c>
      <c r="I2000" s="4" t="s">
        <v>1697</v>
      </c>
      <c r="J2000" s="4" t="s">
        <v>1698</v>
      </c>
      <c r="K2000" s="8"/>
      <c r="L2000" s="8" t="s">
        <v>2762</v>
      </c>
      <c r="M2000" s="9">
        <f t="shared" si="1"/>
        <v>44</v>
      </c>
    </row>
    <row r="2001" ht="12.75" customHeight="1">
      <c r="A2001" s="4">
        <f t="shared" si="2"/>
        <v>2000</v>
      </c>
      <c r="B2001" s="4" t="s">
        <v>4388</v>
      </c>
      <c r="C2001" s="5" t="s">
        <v>4389</v>
      </c>
      <c r="D2001" s="4"/>
      <c r="E2001" s="4"/>
      <c r="F2001" s="4" t="s">
        <v>22</v>
      </c>
      <c r="G2001" s="6">
        <v>6.86</v>
      </c>
      <c r="H2001" s="7" t="s">
        <v>1606</v>
      </c>
      <c r="I2001" s="4" t="s">
        <v>2044</v>
      </c>
      <c r="J2001" s="4" t="s">
        <v>4390</v>
      </c>
      <c r="K2001" s="8"/>
      <c r="L2001" s="8" t="s">
        <v>4391</v>
      </c>
      <c r="M2001" s="9">
        <f t="shared" si="1"/>
        <v>48</v>
      </c>
    </row>
    <row r="2002" ht="12.75" customHeight="1">
      <c r="A2002" s="4">
        <f t="shared" si="2"/>
        <v>2001</v>
      </c>
      <c r="B2002" s="4" t="s">
        <v>4392</v>
      </c>
      <c r="C2002" s="5" t="s">
        <v>4393</v>
      </c>
      <c r="D2002" s="4"/>
      <c r="E2002" s="4"/>
      <c r="F2002" s="4" t="s">
        <v>22</v>
      </c>
      <c r="G2002" s="6">
        <v>8.92</v>
      </c>
      <c r="H2002" s="7" t="s">
        <v>1606</v>
      </c>
      <c r="I2002" s="4" t="s">
        <v>2044</v>
      </c>
      <c r="J2002" s="4" t="s">
        <v>4390</v>
      </c>
      <c r="K2002" s="8"/>
      <c r="L2002" s="8" t="s">
        <v>4391</v>
      </c>
      <c r="M2002" s="9">
        <f t="shared" si="1"/>
        <v>48</v>
      </c>
    </row>
    <row r="2003" ht="12.75" customHeight="1">
      <c r="A2003" s="4">
        <f t="shared" si="2"/>
        <v>2002</v>
      </c>
      <c r="B2003" s="4" t="s">
        <v>4394</v>
      </c>
      <c r="C2003" s="5" t="s">
        <v>4395</v>
      </c>
      <c r="D2003" s="4"/>
      <c r="E2003" s="4"/>
      <c r="F2003" s="4" t="s">
        <v>22</v>
      </c>
      <c r="G2003" s="6">
        <v>16.46</v>
      </c>
      <c r="H2003" s="7" t="s">
        <v>1606</v>
      </c>
      <c r="I2003" s="4" t="s">
        <v>2044</v>
      </c>
      <c r="J2003" s="4" t="s">
        <v>4390</v>
      </c>
      <c r="K2003" s="8"/>
      <c r="L2003" s="8" t="s">
        <v>4391</v>
      </c>
      <c r="M2003" s="9">
        <f t="shared" si="1"/>
        <v>53</v>
      </c>
    </row>
    <row r="2004" ht="12.75" customHeight="1">
      <c r="A2004" s="4">
        <f t="shared" si="2"/>
        <v>2003</v>
      </c>
      <c r="B2004" s="4" t="s">
        <v>4396</v>
      </c>
      <c r="C2004" s="5" t="s">
        <v>4397</v>
      </c>
      <c r="D2004" s="4"/>
      <c r="E2004" s="4"/>
      <c r="F2004" s="4" t="s">
        <v>22</v>
      </c>
      <c r="G2004" s="6">
        <v>27.0</v>
      </c>
      <c r="H2004" s="7" t="s">
        <v>1606</v>
      </c>
      <c r="I2004" s="4" t="s">
        <v>2044</v>
      </c>
      <c r="J2004" s="4" t="s">
        <v>4390</v>
      </c>
      <c r="K2004" s="8"/>
      <c r="L2004" s="8" t="s">
        <v>4391</v>
      </c>
      <c r="M2004" s="9">
        <f t="shared" si="1"/>
        <v>53</v>
      </c>
    </row>
    <row r="2005" ht="12.75" customHeight="1">
      <c r="A2005" s="4">
        <f t="shared" si="2"/>
        <v>2004</v>
      </c>
      <c r="B2005" s="4" t="s">
        <v>4398</v>
      </c>
      <c r="C2005" s="5" t="s">
        <v>4399</v>
      </c>
      <c r="D2005" s="4"/>
      <c r="E2005" s="4"/>
      <c r="F2005" s="4" t="s">
        <v>22</v>
      </c>
      <c r="G2005" s="6">
        <v>14.86</v>
      </c>
      <c r="H2005" s="7" t="s">
        <v>1606</v>
      </c>
      <c r="I2005" s="4" t="s">
        <v>2044</v>
      </c>
      <c r="J2005" s="4" t="s">
        <v>4390</v>
      </c>
      <c r="K2005" s="8"/>
      <c r="L2005" s="8" t="s">
        <v>4391</v>
      </c>
      <c r="M2005" s="9">
        <f t="shared" si="1"/>
        <v>63</v>
      </c>
    </row>
    <row r="2006" ht="12.75" customHeight="1">
      <c r="A2006" s="4">
        <f t="shared" si="2"/>
        <v>2005</v>
      </c>
      <c r="B2006" s="4" t="s">
        <v>4400</v>
      </c>
      <c r="C2006" s="5" t="s">
        <v>4401</v>
      </c>
      <c r="D2006" s="4"/>
      <c r="E2006" s="4"/>
      <c r="F2006" s="4" t="s">
        <v>22</v>
      </c>
      <c r="G2006" s="6">
        <v>22.68</v>
      </c>
      <c r="H2006" s="7" t="s">
        <v>1606</v>
      </c>
      <c r="I2006" s="4" t="s">
        <v>2044</v>
      </c>
      <c r="J2006" s="4" t="s">
        <v>4390</v>
      </c>
      <c r="K2006" s="8"/>
      <c r="L2006" s="8" t="s">
        <v>4391</v>
      </c>
      <c r="M2006" s="9">
        <f t="shared" si="1"/>
        <v>63</v>
      </c>
    </row>
    <row r="2007" ht="12.75" customHeight="1">
      <c r="A2007" s="4">
        <f t="shared" si="2"/>
        <v>2006</v>
      </c>
      <c r="B2007" s="4" t="s">
        <v>4402</v>
      </c>
      <c r="C2007" s="5" t="s">
        <v>4403</v>
      </c>
      <c r="D2007" s="4"/>
      <c r="E2007" s="4"/>
      <c r="F2007" s="4" t="s">
        <v>22</v>
      </c>
      <c r="G2007" s="6">
        <v>4.84</v>
      </c>
      <c r="H2007" s="7" t="s">
        <v>1606</v>
      </c>
      <c r="I2007" s="4" t="s">
        <v>2044</v>
      </c>
      <c r="J2007" s="4" t="s">
        <v>4390</v>
      </c>
      <c r="K2007" s="8"/>
      <c r="L2007" s="8" t="s">
        <v>4391</v>
      </c>
      <c r="M2007" s="9">
        <f t="shared" si="1"/>
        <v>52</v>
      </c>
    </row>
    <row r="2008" ht="12.75" customHeight="1">
      <c r="A2008" s="4">
        <f t="shared" si="2"/>
        <v>2007</v>
      </c>
      <c r="B2008" s="4" t="s">
        <v>4404</v>
      </c>
      <c r="C2008" s="5" t="s">
        <v>4405</v>
      </c>
      <c r="D2008" s="4"/>
      <c r="E2008" s="4"/>
      <c r="F2008" s="4" t="s">
        <v>22</v>
      </c>
      <c r="G2008" s="6">
        <v>7.46</v>
      </c>
      <c r="H2008" s="7" t="s">
        <v>1606</v>
      </c>
      <c r="I2008" s="4" t="s">
        <v>2044</v>
      </c>
      <c r="J2008" s="4" t="s">
        <v>4390</v>
      </c>
      <c r="K2008" s="8"/>
      <c r="L2008" s="8" t="s">
        <v>4391</v>
      </c>
      <c r="M2008" s="9">
        <f t="shared" si="1"/>
        <v>52</v>
      </c>
    </row>
    <row r="2009" ht="12.75" customHeight="1">
      <c r="A2009" s="4">
        <f t="shared" si="2"/>
        <v>2008</v>
      </c>
      <c r="B2009" s="4" t="s">
        <v>4406</v>
      </c>
      <c r="C2009" s="5" t="s">
        <v>4407</v>
      </c>
      <c r="D2009" s="4"/>
      <c r="E2009" s="4"/>
      <c r="F2009" s="4" t="s">
        <v>22</v>
      </c>
      <c r="G2009" s="6">
        <v>9.78</v>
      </c>
      <c r="H2009" s="7" t="s">
        <v>1606</v>
      </c>
      <c r="I2009" s="4" t="s">
        <v>2044</v>
      </c>
      <c r="J2009" s="4" t="s">
        <v>4390</v>
      </c>
      <c r="K2009" s="8"/>
      <c r="L2009" s="8" t="s">
        <v>4391</v>
      </c>
      <c r="M2009" s="9">
        <f t="shared" si="1"/>
        <v>65</v>
      </c>
    </row>
    <row r="2010" ht="12.75" customHeight="1">
      <c r="A2010" s="4">
        <f t="shared" si="2"/>
        <v>2009</v>
      </c>
      <c r="B2010" s="4" t="s">
        <v>4408</v>
      </c>
      <c r="C2010" s="5" t="s">
        <v>4409</v>
      </c>
      <c r="D2010" s="4"/>
      <c r="E2010" s="4"/>
      <c r="F2010" s="4" t="s">
        <v>22</v>
      </c>
      <c r="G2010" s="6">
        <v>15.38</v>
      </c>
      <c r="H2010" s="7" t="s">
        <v>1606</v>
      </c>
      <c r="I2010" s="4" t="s">
        <v>2044</v>
      </c>
      <c r="J2010" s="4" t="s">
        <v>4390</v>
      </c>
      <c r="K2010" s="8"/>
      <c r="L2010" s="8" t="s">
        <v>4391</v>
      </c>
      <c r="M2010" s="9">
        <f t="shared" si="1"/>
        <v>65</v>
      </c>
    </row>
    <row r="2011" ht="12.75" customHeight="1">
      <c r="A2011" s="4">
        <f t="shared" si="2"/>
        <v>2010</v>
      </c>
      <c r="B2011" s="4" t="s">
        <v>4410</v>
      </c>
      <c r="C2011" s="5" t="s">
        <v>4411</v>
      </c>
      <c r="D2011" s="4"/>
      <c r="E2011" s="4"/>
      <c r="F2011" s="4" t="s">
        <v>22</v>
      </c>
      <c r="G2011" s="6">
        <v>3.84</v>
      </c>
      <c r="H2011" s="7" t="s">
        <v>1606</v>
      </c>
      <c r="I2011" s="4" t="s">
        <v>2044</v>
      </c>
      <c r="J2011" s="4" t="s">
        <v>4390</v>
      </c>
      <c r="K2011" s="8"/>
      <c r="L2011" s="8" t="s">
        <v>4391</v>
      </c>
      <c r="M2011" s="9">
        <f t="shared" si="1"/>
        <v>54</v>
      </c>
    </row>
    <row r="2012" ht="12.75" customHeight="1">
      <c r="A2012" s="4">
        <f t="shared" si="2"/>
        <v>2011</v>
      </c>
      <c r="B2012" s="4" t="s">
        <v>4412</v>
      </c>
      <c r="C2012" s="5" t="s">
        <v>4413</v>
      </c>
      <c r="D2012" s="4"/>
      <c r="E2012" s="4"/>
      <c r="F2012" s="4" t="s">
        <v>22</v>
      </c>
      <c r="G2012" s="6">
        <v>5.38</v>
      </c>
      <c r="H2012" s="7" t="s">
        <v>1606</v>
      </c>
      <c r="I2012" s="4" t="s">
        <v>2044</v>
      </c>
      <c r="J2012" s="4" t="s">
        <v>4390</v>
      </c>
      <c r="K2012" s="8"/>
      <c r="L2012" s="8" t="s">
        <v>4391</v>
      </c>
      <c r="M2012" s="9">
        <f t="shared" si="1"/>
        <v>54</v>
      </c>
    </row>
    <row r="2013" ht="12.75" customHeight="1">
      <c r="A2013" s="4">
        <f t="shared" si="2"/>
        <v>2012</v>
      </c>
      <c r="B2013" s="4" t="s">
        <v>4414</v>
      </c>
      <c r="C2013" s="5" t="s">
        <v>4415</v>
      </c>
      <c r="D2013" s="4"/>
      <c r="E2013" s="4"/>
      <c r="F2013" s="4" t="s">
        <v>22</v>
      </c>
      <c r="G2013" s="6">
        <v>82.5</v>
      </c>
      <c r="H2013" s="7" t="s">
        <v>1606</v>
      </c>
      <c r="I2013" s="4" t="s">
        <v>2423</v>
      </c>
      <c r="J2013" s="4" t="s">
        <v>2424</v>
      </c>
      <c r="K2013" s="8"/>
      <c r="L2013" s="8" t="s">
        <v>636</v>
      </c>
      <c r="M2013" s="9">
        <f t="shared" si="1"/>
        <v>33</v>
      </c>
    </row>
    <row r="2014" ht="12.75" customHeight="1">
      <c r="A2014" s="4">
        <f t="shared" si="2"/>
        <v>2013</v>
      </c>
      <c r="B2014" s="4" t="s">
        <v>4416</v>
      </c>
      <c r="C2014" s="5" t="s">
        <v>4417</v>
      </c>
      <c r="D2014" s="4"/>
      <c r="E2014" s="4"/>
      <c r="F2014" s="4" t="s">
        <v>22</v>
      </c>
      <c r="G2014" s="6">
        <v>78.5</v>
      </c>
      <c r="H2014" s="7" t="s">
        <v>1606</v>
      </c>
      <c r="I2014" s="4" t="s">
        <v>2423</v>
      </c>
      <c r="J2014" s="4" t="s">
        <v>2424</v>
      </c>
      <c r="K2014" s="8"/>
      <c r="L2014" s="8" t="s">
        <v>636</v>
      </c>
      <c r="M2014" s="9">
        <f t="shared" si="1"/>
        <v>33</v>
      </c>
    </row>
    <row r="2015" ht="12.75" customHeight="1">
      <c r="A2015" s="4">
        <f t="shared" si="2"/>
        <v>2014</v>
      </c>
      <c r="B2015" s="4" t="s">
        <v>4418</v>
      </c>
      <c r="C2015" s="5" t="s">
        <v>4419</v>
      </c>
      <c r="D2015" s="4"/>
      <c r="E2015" s="4"/>
      <c r="F2015" s="4" t="s">
        <v>22</v>
      </c>
      <c r="G2015" s="6">
        <v>76.01</v>
      </c>
      <c r="H2015" s="7" t="s">
        <v>1606</v>
      </c>
      <c r="I2015" s="4" t="s">
        <v>2423</v>
      </c>
      <c r="J2015" s="4" t="s">
        <v>2424</v>
      </c>
      <c r="K2015" s="8"/>
      <c r="L2015" s="8" t="s">
        <v>636</v>
      </c>
      <c r="M2015" s="9">
        <f t="shared" si="1"/>
        <v>29</v>
      </c>
    </row>
    <row r="2016" ht="12.75" customHeight="1">
      <c r="A2016" s="4">
        <f t="shared" si="2"/>
        <v>2015</v>
      </c>
      <c r="B2016" s="4" t="s">
        <v>4420</v>
      </c>
      <c r="C2016" s="5" t="s">
        <v>4421</v>
      </c>
      <c r="D2016" s="4"/>
      <c r="E2016" s="4"/>
      <c r="F2016" s="4" t="s">
        <v>22</v>
      </c>
      <c r="G2016" s="6">
        <v>32.6</v>
      </c>
      <c r="H2016" s="7" t="s">
        <v>1606</v>
      </c>
      <c r="I2016" s="4" t="s">
        <v>2423</v>
      </c>
      <c r="J2016" s="4" t="s">
        <v>2424</v>
      </c>
      <c r="K2016" s="8"/>
      <c r="L2016" s="8" t="s">
        <v>636</v>
      </c>
      <c r="M2016" s="9">
        <f t="shared" si="1"/>
        <v>31</v>
      </c>
    </row>
    <row r="2017" ht="12.75" customHeight="1">
      <c r="A2017" s="4">
        <f t="shared" si="2"/>
        <v>2016</v>
      </c>
      <c r="B2017" s="4" t="s">
        <v>4422</v>
      </c>
      <c r="C2017" s="5" t="s">
        <v>4423</v>
      </c>
      <c r="D2017" s="4"/>
      <c r="E2017" s="4"/>
      <c r="F2017" s="4" t="s">
        <v>22</v>
      </c>
      <c r="G2017" s="6">
        <v>92.5</v>
      </c>
      <c r="H2017" s="7" t="s">
        <v>1606</v>
      </c>
      <c r="I2017" s="4" t="s">
        <v>2423</v>
      </c>
      <c r="J2017" s="4" t="s">
        <v>2424</v>
      </c>
      <c r="K2017" s="8"/>
      <c r="L2017" s="8" t="s">
        <v>636</v>
      </c>
      <c r="M2017" s="9">
        <f t="shared" si="1"/>
        <v>29</v>
      </c>
    </row>
    <row r="2018" ht="12.75" customHeight="1">
      <c r="A2018" s="4">
        <f t="shared" si="2"/>
        <v>2017</v>
      </c>
      <c r="B2018" s="4" t="s">
        <v>4424</v>
      </c>
      <c r="C2018" s="5" t="s">
        <v>4425</v>
      </c>
      <c r="D2018" s="4"/>
      <c r="E2018" s="4"/>
      <c r="F2018" s="4" t="s">
        <v>22</v>
      </c>
      <c r="G2018" s="6">
        <v>39.45</v>
      </c>
      <c r="H2018" s="7" t="s">
        <v>1606</v>
      </c>
      <c r="I2018" s="4" t="s">
        <v>2423</v>
      </c>
      <c r="J2018" s="4" t="s">
        <v>2424</v>
      </c>
      <c r="K2018" s="8"/>
      <c r="L2018" s="8" t="s">
        <v>636</v>
      </c>
      <c r="M2018" s="9">
        <f t="shared" si="1"/>
        <v>31</v>
      </c>
    </row>
    <row r="2019" ht="12.75" customHeight="1">
      <c r="A2019" s="4">
        <f t="shared" si="2"/>
        <v>2018</v>
      </c>
      <c r="B2019" s="4" t="s">
        <v>4426</v>
      </c>
      <c r="C2019" s="5" t="s">
        <v>4427</v>
      </c>
      <c r="D2019" s="4"/>
      <c r="E2019" s="4"/>
      <c r="F2019" s="4" t="s">
        <v>22</v>
      </c>
      <c r="G2019" s="6">
        <v>1.35</v>
      </c>
      <c r="H2019" s="7" t="s">
        <v>1606</v>
      </c>
      <c r="I2019" s="4" t="s">
        <v>1773</v>
      </c>
      <c r="J2019" s="4" t="s">
        <v>1774</v>
      </c>
      <c r="K2019" s="8"/>
      <c r="L2019" s="8" t="s">
        <v>33</v>
      </c>
      <c r="M2019" s="9">
        <f t="shared" si="1"/>
        <v>17</v>
      </c>
    </row>
    <row r="2020" ht="12.75" customHeight="1">
      <c r="A2020" s="4">
        <f t="shared" si="2"/>
        <v>2019</v>
      </c>
      <c r="B2020" s="4" t="s">
        <v>4428</v>
      </c>
      <c r="C2020" s="5" t="s">
        <v>4429</v>
      </c>
      <c r="D2020" s="4"/>
      <c r="E2020" s="4"/>
      <c r="F2020" s="4" t="s">
        <v>22</v>
      </c>
      <c r="G2020" s="6">
        <v>3.24</v>
      </c>
      <c r="H2020" s="7" t="s">
        <v>1606</v>
      </c>
      <c r="I2020" s="4" t="s">
        <v>2646</v>
      </c>
      <c r="J2020" s="4" t="s">
        <v>2729</v>
      </c>
      <c r="K2020" s="8"/>
      <c r="L2020" s="8" t="s">
        <v>33</v>
      </c>
      <c r="M2020" s="9">
        <f t="shared" si="1"/>
        <v>25</v>
      </c>
    </row>
    <row r="2021" ht="12.75" customHeight="1">
      <c r="A2021" s="4">
        <f t="shared" si="2"/>
        <v>2020</v>
      </c>
      <c r="B2021" s="4" t="s">
        <v>4430</v>
      </c>
      <c r="C2021" s="5" t="s">
        <v>4431</v>
      </c>
      <c r="D2021" s="4"/>
      <c r="E2021" s="4"/>
      <c r="F2021" s="4" t="s">
        <v>22</v>
      </c>
      <c r="G2021" s="6">
        <v>11.16</v>
      </c>
      <c r="H2021" s="7" t="s">
        <v>1606</v>
      </c>
      <c r="I2021" s="4" t="s">
        <v>1773</v>
      </c>
      <c r="J2021" s="4" t="s">
        <v>1774</v>
      </c>
      <c r="K2021" s="8"/>
      <c r="L2021" s="8" t="s">
        <v>3215</v>
      </c>
      <c r="M2021" s="9">
        <f t="shared" si="1"/>
        <v>23</v>
      </c>
    </row>
    <row r="2022" ht="12.75" customHeight="1">
      <c r="A2022" s="4">
        <f t="shared" si="2"/>
        <v>2021</v>
      </c>
      <c r="B2022" s="4" t="s">
        <v>4432</v>
      </c>
      <c r="C2022" s="5" t="s">
        <v>4433</v>
      </c>
      <c r="D2022" s="4"/>
      <c r="E2022" s="4"/>
      <c r="F2022" s="4" t="s">
        <v>22</v>
      </c>
      <c r="G2022" s="6">
        <v>3.08</v>
      </c>
      <c r="H2022" s="7" t="s">
        <v>1606</v>
      </c>
      <c r="I2022" s="4" t="s">
        <v>1773</v>
      </c>
      <c r="J2022" s="4" t="s">
        <v>1774</v>
      </c>
      <c r="K2022" s="8"/>
      <c r="L2022" s="8" t="s">
        <v>3215</v>
      </c>
      <c r="M2022" s="9">
        <f t="shared" si="1"/>
        <v>28</v>
      </c>
    </row>
    <row r="2023" ht="12.75" customHeight="1">
      <c r="A2023" s="4">
        <f t="shared" si="2"/>
        <v>2022</v>
      </c>
      <c r="B2023" s="4" t="s">
        <v>4434</v>
      </c>
      <c r="C2023" s="5" t="s">
        <v>4435</v>
      </c>
      <c r="D2023" s="4"/>
      <c r="E2023" s="4"/>
      <c r="F2023" s="4" t="s">
        <v>371</v>
      </c>
      <c r="G2023" s="6">
        <v>0.27</v>
      </c>
      <c r="H2023" s="7" t="s">
        <v>1606</v>
      </c>
      <c r="I2023" s="4" t="s">
        <v>1869</v>
      </c>
      <c r="J2023" s="4" t="s">
        <v>3477</v>
      </c>
      <c r="K2023" s="8"/>
      <c r="L2023" s="8" t="s">
        <v>33</v>
      </c>
      <c r="M2023" s="9">
        <f t="shared" si="1"/>
        <v>76</v>
      </c>
    </row>
    <row r="2024" ht="12.75" customHeight="1">
      <c r="A2024" s="4">
        <f t="shared" si="2"/>
        <v>2023</v>
      </c>
      <c r="B2024" s="4" t="s">
        <v>4436</v>
      </c>
      <c r="C2024" s="5" t="s">
        <v>4437</v>
      </c>
      <c r="D2024" s="4"/>
      <c r="E2024" s="4"/>
      <c r="F2024" s="4" t="s">
        <v>371</v>
      </c>
      <c r="G2024" s="6">
        <v>0.27</v>
      </c>
      <c r="H2024" s="7" t="s">
        <v>1606</v>
      </c>
      <c r="I2024" s="4" t="s">
        <v>1869</v>
      </c>
      <c r="J2024" s="4" t="s">
        <v>3477</v>
      </c>
      <c r="K2024" s="8"/>
      <c r="L2024" s="8" t="s">
        <v>33</v>
      </c>
      <c r="M2024" s="9">
        <f t="shared" si="1"/>
        <v>76</v>
      </c>
    </row>
    <row r="2025" ht="12.75" customHeight="1">
      <c r="A2025" s="4">
        <f t="shared" si="2"/>
        <v>2024</v>
      </c>
      <c r="B2025" s="4" t="s">
        <v>4438</v>
      </c>
      <c r="C2025" s="5" t="s">
        <v>4439</v>
      </c>
      <c r="D2025" s="4"/>
      <c r="E2025" s="4"/>
      <c r="F2025" s="4" t="s">
        <v>371</v>
      </c>
      <c r="G2025" s="6">
        <v>0.27</v>
      </c>
      <c r="H2025" s="7" t="s">
        <v>1606</v>
      </c>
      <c r="I2025" s="4" t="s">
        <v>1869</v>
      </c>
      <c r="J2025" s="4" t="s">
        <v>3477</v>
      </c>
      <c r="K2025" s="8"/>
      <c r="L2025" s="8" t="s">
        <v>33</v>
      </c>
      <c r="M2025" s="9">
        <f t="shared" si="1"/>
        <v>76</v>
      </c>
    </row>
    <row r="2026" ht="12.75" customHeight="1">
      <c r="A2026" s="4">
        <f t="shared" si="2"/>
        <v>2025</v>
      </c>
      <c r="B2026" s="4" t="s">
        <v>4440</v>
      </c>
      <c r="C2026" s="5" t="s">
        <v>4441</v>
      </c>
      <c r="D2026" s="4"/>
      <c r="E2026" s="4"/>
      <c r="F2026" s="4" t="s">
        <v>371</v>
      </c>
      <c r="G2026" s="6">
        <v>0.27</v>
      </c>
      <c r="H2026" s="7" t="s">
        <v>1606</v>
      </c>
      <c r="I2026" s="4" t="s">
        <v>1869</v>
      </c>
      <c r="J2026" s="4" t="s">
        <v>3477</v>
      </c>
      <c r="K2026" s="8"/>
      <c r="L2026" s="8" t="s">
        <v>33</v>
      </c>
      <c r="M2026" s="9">
        <f t="shared" si="1"/>
        <v>72</v>
      </c>
    </row>
    <row r="2027" ht="12.75" customHeight="1">
      <c r="A2027" s="4">
        <f t="shared" si="2"/>
        <v>2026</v>
      </c>
      <c r="B2027" s="4" t="s">
        <v>4442</v>
      </c>
      <c r="C2027" s="5" t="s">
        <v>4443</v>
      </c>
      <c r="D2027" s="4"/>
      <c r="E2027" s="4"/>
      <c r="F2027" s="4" t="s">
        <v>371</v>
      </c>
      <c r="G2027" s="6">
        <v>0.27</v>
      </c>
      <c r="H2027" s="7" t="s">
        <v>1606</v>
      </c>
      <c r="I2027" s="4" t="s">
        <v>1869</v>
      </c>
      <c r="J2027" s="4" t="s">
        <v>3477</v>
      </c>
      <c r="K2027" s="8"/>
      <c r="L2027" s="8" t="s">
        <v>33</v>
      </c>
      <c r="M2027" s="9">
        <f t="shared" si="1"/>
        <v>76</v>
      </c>
    </row>
    <row r="2028" ht="12.75" customHeight="1">
      <c r="A2028" s="4">
        <f t="shared" si="2"/>
        <v>2027</v>
      </c>
      <c r="B2028" s="4" t="s">
        <v>4444</v>
      </c>
      <c r="C2028" s="5" t="s">
        <v>4445</v>
      </c>
      <c r="D2028" s="4"/>
      <c r="E2028" s="4"/>
      <c r="F2028" s="4" t="s">
        <v>371</v>
      </c>
      <c r="G2028" s="6">
        <v>0.29</v>
      </c>
      <c r="H2028" s="7" t="s">
        <v>1606</v>
      </c>
      <c r="I2028" s="4" t="s">
        <v>1869</v>
      </c>
      <c r="J2028" s="4" t="s">
        <v>3477</v>
      </c>
      <c r="K2028" s="8"/>
      <c r="L2028" s="8" t="s">
        <v>33</v>
      </c>
      <c r="M2028" s="9">
        <f t="shared" si="1"/>
        <v>72</v>
      </c>
    </row>
    <row r="2029" ht="12.75" customHeight="1">
      <c r="A2029" s="4">
        <f t="shared" si="2"/>
        <v>2028</v>
      </c>
      <c r="B2029" s="4" t="s">
        <v>4446</v>
      </c>
      <c r="C2029" s="5" t="s">
        <v>4447</v>
      </c>
      <c r="D2029" s="4"/>
      <c r="E2029" s="4"/>
      <c r="F2029" s="4" t="s">
        <v>371</v>
      </c>
      <c r="G2029" s="6">
        <v>0.3</v>
      </c>
      <c r="H2029" s="7" t="s">
        <v>1606</v>
      </c>
      <c r="I2029" s="4" t="s">
        <v>1869</v>
      </c>
      <c r="J2029" s="4" t="s">
        <v>3477</v>
      </c>
      <c r="K2029" s="8"/>
      <c r="L2029" s="8" t="s">
        <v>33</v>
      </c>
      <c r="M2029" s="9">
        <f t="shared" si="1"/>
        <v>72</v>
      </c>
    </row>
    <row r="2030" ht="12.75" customHeight="1">
      <c r="A2030" s="4">
        <f t="shared" si="2"/>
        <v>2029</v>
      </c>
      <c r="B2030" s="4" t="s">
        <v>4448</v>
      </c>
      <c r="C2030" s="5" t="s">
        <v>4449</v>
      </c>
      <c r="D2030" s="4"/>
      <c r="E2030" s="4"/>
      <c r="F2030" s="4" t="s">
        <v>371</v>
      </c>
      <c r="G2030" s="6">
        <v>0.32</v>
      </c>
      <c r="H2030" s="7" t="s">
        <v>1606</v>
      </c>
      <c r="I2030" s="4" t="s">
        <v>1869</v>
      </c>
      <c r="J2030" s="4" t="s">
        <v>3477</v>
      </c>
      <c r="K2030" s="8"/>
      <c r="L2030" s="8" t="s">
        <v>33</v>
      </c>
      <c r="M2030" s="9">
        <f t="shared" si="1"/>
        <v>72</v>
      </c>
    </row>
    <row r="2031" ht="12.75" customHeight="1">
      <c r="A2031" s="4">
        <f t="shared" si="2"/>
        <v>2030</v>
      </c>
      <c r="B2031" s="4" t="s">
        <v>4450</v>
      </c>
      <c r="C2031" s="5" t="s">
        <v>4451</v>
      </c>
      <c r="D2031" s="4"/>
      <c r="E2031" s="4"/>
      <c r="F2031" s="4" t="s">
        <v>371</v>
      </c>
      <c r="G2031" s="6">
        <v>0.15</v>
      </c>
      <c r="H2031" s="7" t="s">
        <v>1606</v>
      </c>
      <c r="I2031" s="4" t="s">
        <v>1869</v>
      </c>
      <c r="J2031" s="4" t="s">
        <v>3477</v>
      </c>
      <c r="K2031" s="8"/>
      <c r="L2031" s="8" t="s">
        <v>33</v>
      </c>
      <c r="M2031" s="9">
        <f t="shared" si="1"/>
        <v>76</v>
      </c>
    </row>
    <row r="2032" ht="12.75" customHeight="1">
      <c r="A2032" s="4">
        <f t="shared" si="2"/>
        <v>2031</v>
      </c>
      <c r="B2032" s="4" t="s">
        <v>4452</v>
      </c>
      <c r="C2032" s="5" t="s">
        <v>4453</v>
      </c>
      <c r="D2032" s="4"/>
      <c r="E2032" s="4"/>
      <c r="F2032" s="4" t="s">
        <v>371</v>
      </c>
      <c r="G2032" s="6">
        <v>0.15</v>
      </c>
      <c r="H2032" s="7" t="s">
        <v>1606</v>
      </c>
      <c r="I2032" s="4" t="s">
        <v>1869</v>
      </c>
      <c r="J2032" s="4" t="s">
        <v>3477</v>
      </c>
      <c r="K2032" s="8"/>
      <c r="L2032" s="8" t="s">
        <v>33</v>
      </c>
      <c r="M2032" s="9">
        <f t="shared" si="1"/>
        <v>76</v>
      </c>
    </row>
    <row r="2033" ht="12.75" customHeight="1">
      <c r="A2033" s="4">
        <f t="shared" si="2"/>
        <v>2032</v>
      </c>
      <c r="B2033" s="4" t="s">
        <v>4454</v>
      </c>
      <c r="C2033" s="5" t="s">
        <v>4455</v>
      </c>
      <c r="D2033" s="4"/>
      <c r="E2033" s="4"/>
      <c r="F2033" s="4" t="s">
        <v>371</v>
      </c>
      <c r="G2033" s="6">
        <v>0.15</v>
      </c>
      <c r="H2033" s="7" t="s">
        <v>1606</v>
      </c>
      <c r="I2033" s="4" t="s">
        <v>1869</v>
      </c>
      <c r="J2033" s="4" t="s">
        <v>3477</v>
      </c>
      <c r="K2033" s="8"/>
      <c r="L2033" s="8" t="s">
        <v>33</v>
      </c>
      <c r="M2033" s="9">
        <f t="shared" si="1"/>
        <v>72</v>
      </c>
    </row>
    <row r="2034" ht="12.75" customHeight="1">
      <c r="A2034" s="4">
        <f t="shared" si="2"/>
        <v>2033</v>
      </c>
      <c r="B2034" s="4" t="s">
        <v>4456</v>
      </c>
      <c r="C2034" s="5" t="s">
        <v>4457</v>
      </c>
      <c r="D2034" s="4"/>
      <c r="E2034" s="4"/>
      <c r="F2034" s="4" t="s">
        <v>371</v>
      </c>
      <c r="G2034" s="6">
        <v>0.15</v>
      </c>
      <c r="H2034" s="7" t="s">
        <v>1606</v>
      </c>
      <c r="I2034" s="4" t="s">
        <v>1869</v>
      </c>
      <c r="J2034" s="4" t="s">
        <v>3477</v>
      </c>
      <c r="K2034" s="8"/>
      <c r="L2034" s="8" t="s">
        <v>33</v>
      </c>
      <c r="M2034" s="9">
        <f t="shared" si="1"/>
        <v>74</v>
      </c>
    </row>
    <row r="2035" ht="12.75" customHeight="1">
      <c r="A2035" s="4">
        <f t="shared" si="2"/>
        <v>2034</v>
      </c>
      <c r="B2035" s="4" t="s">
        <v>4458</v>
      </c>
      <c r="C2035" s="5" t="s">
        <v>4459</v>
      </c>
      <c r="D2035" s="4"/>
      <c r="E2035" s="4"/>
      <c r="F2035" s="4" t="s">
        <v>371</v>
      </c>
      <c r="G2035" s="6">
        <v>0.15</v>
      </c>
      <c r="H2035" s="7" t="s">
        <v>1606</v>
      </c>
      <c r="I2035" s="4" t="s">
        <v>1869</v>
      </c>
      <c r="J2035" s="4" t="s">
        <v>3477</v>
      </c>
      <c r="K2035" s="8"/>
      <c r="L2035" s="8" t="s">
        <v>33</v>
      </c>
      <c r="M2035" s="9">
        <f t="shared" si="1"/>
        <v>76</v>
      </c>
    </row>
    <row r="2036" ht="12.75" customHeight="1">
      <c r="A2036" s="4">
        <f t="shared" si="2"/>
        <v>2035</v>
      </c>
      <c r="B2036" s="4" t="s">
        <v>4460</v>
      </c>
      <c r="C2036" s="5" t="s">
        <v>4461</v>
      </c>
      <c r="D2036" s="4"/>
      <c r="E2036" s="4"/>
      <c r="F2036" s="4" t="s">
        <v>371</v>
      </c>
      <c r="G2036" s="6">
        <v>0.15</v>
      </c>
      <c r="H2036" s="7" t="s">
        <v>1606</v>
      </c>
      <c r="I2036" s="4" t="s">
        <v>1869</v>
      </c>
      <c r="J2036" s="4" t="s">
        <v>3477</v>
      </c>
      <c r="K2036" s="8"/>
      <c r="L2036" s="8" t="s">
        <v>33</v>
      </c>
      <c r="M2036" s="9">
        <f t="shared" si="1"/>
        <v>72</v>
      </c>
    </row>
    <row r="2037" ht="12.75" customHeight="1">
      <c r="A2037" s="4">
        <f t="shared" si="2"/>
        <v>2036</v>
      </c>
      <c r="B2037" s="4" t="s">
        <v>4462</v>
      </c>
      <c r="C2037" s="5" t="s">
        <v>4463</v>
      </c>
      <c r="D2037" s="4"/>
      <c r="E2037" s="4"/>
      <c r="F2037" s="4" t="s">
        <v>371</v>
      </c>
      <c r="G2037" s="6">
        <v>0.15</v>
      </c>
      <c r="H2037" s="7" t="s">
        <v>1606</v>
      </c>
      <c r="I2037" s="4" t="s">
        <v>1869</v>
      </c>
      <c r="J2037" s="4" t="s">
        <v>3477</v>
      </c>
      <c r="K2037" s="8"/>
      <c r="L2037" s="8" t="s">
        <v>33</v>
      </c>
      <c r="M2037" s="9">
        <f t="shared" si="1"/>
        <v>72</v>
      </c>
    </row>
    <row r="2038" ht="12.75" customHeight="1">
      <c r="A2038" s="4">
        <f t="shared" si="2"/>
        <v>2037</v>
      </c>
      <c r="B2038" s="4" t="s">
        <v>4464</v>
      </c>
      <c r="C2038" s="5" t="s">
        <v>4465</v>
      </c>
      <c r="D2038" s="4"/>
      <c r="E2038" s="4"/>
      <c r="F2038" s="4" t="s">
        <v>371</v>
      </c>
      <c r="G2038" s="6">
        <v>0.15</v>
      </c>
      <c r="H2038" s="7" t="s">
        <v>1606</v>
      </c>
      <c r="I2038" s="4" t="s">
        <v>1869</v>
      </c>
      <c r="J2038" s="4" t="s">
        <v>3477</v>
      </c>
      <c r="K2038" s="8"/>
      <c r="L2038" s="8" t="s">
        <v>33</v>
      </c>
      <c r="M2038" s="9">
        <f t="shared" si="1"/>
        <v>74</v>
      </c>
    </row>
    <row r="2039" ht="12.75" customHeight="1">
      <c r="A2039" s="4">
        <f t="shared" si="2"/>
        <v>2038</v>
      </c>
      <c r="B2039" s="4" t="s">
        <v>4466</v>
      </c>
      <c r="C2039" s="5" t="s">
        <v>4467</v>
      </c>
      <c r="D2039" s="4"/>
      <c r="E2039" s="4"/>
      <c r="F2039" s="4" t="s">
        <v>371</v>
      </c>
      <c r="G2039" s="6">
        <v>0.67</v>
      </c>
      <c r="H2039" s="7" t="s">
        <v>1606</v>
      </c>
      <c r="I2039" s="4" t="s">
        <v>1869</v>
      </c>
      <c r="J2039" s="4" t="s">
        <v>3477</v>
      </c>
      <c r="K2039" s="8"/>
      <c r="L2039" s="8" t="s">
        <v>33</v>
      </c>
      <c r="M2039" s="9">
        <f t="shared" si="1"/>
        <v>76</v>
      </c>
    </row>
    <row r="2040" ht="12.75" customHeight="1">
      <c r="A2040" s="4">
        <f t="shared" si="2"/>
        <v>2039</v>
      </c>
      <c r="B2040" s="4" t="s">
        <v>4468</v>
      </c>
      <c r="C2040" s="5" t="s">
        <v>4469</v>
      </c>
      <c r="D2040" s="4"/>
      <c r="E2040" s="4"/>
      <c r="F2040" s="4" t="s">
        <v>371</v>
      </c>
      <c r="G2040" s="6">
        <v>0.67</v>
      </c>
      <c r="H2040" s="7" t="s">
        <v>1606</v>
      </c>
      <c r="I2040" s="4" t="s">
        <v>1869</v>
      </c>
      <c r="J2040" s="4" t="s">
        <v>3477</v>
      </c>
      <c r="K2040" s="8"/>
      <c r="L2040" s="8" t="s">
        <v>33</v>
      </c>
      <c r="M2040" s="9">
        <f t="shared" si="1"/>
        <v>76</v>
      </c>
    </row>
    <row r="2041" ht="12.75" customHeight="1">
      <c r="A2041" s="4">
        <f t="shared" si="2"/>
        <v>2040</v>
      </c>
      <c r="B2041" s="4" t="s">
        <v>4470</v>
      </c>
      <c r="C2041" s="5" t="s">
        <v>4471</v>
      </c>
      <c r="D2041" s="4"/>
      <c r="E2041" s="4"/>
      <c r="F2041" s="4" t="s">
        <v>371</v>
      </c>
      <c r="G2041" s="6">
        <v>0.67</v>
      </c>
      <c r="H2041" s="7" t="s">
        <v>1606</v>
      </c>
      <c r="I2041" s="4" t="s">
        <v>1869</v>
      </c>
      <c r="J2041" s="4" t="s">
        <v>3477</v>
      </c>
      <c r="K2041" s="8"/>
      <c r="L2041" s="8" t="s">
        <v>33</v>
      </c>
      <c r="M2041" s="9">
        <f t="shared" si="1"/>
        <v>72</v>
      </c>
    </row>
    <row r="2042" ht="12.75" customHeight="1">
      <c r="A2042" s="4">
        <f t="shared" si="2"/>
        <v>2041</v>
      </c>
      <c r="B2042" s="4" t="s">
        <v>4472</v>
      </c>
      <c r="C2042" s="5" t="s">
        <v>4473</v>
      </c>
      <c r="D2042" s="4"/>
      <c r="E2042" s="4"/>
      <c r="F2042" s="4" t="s">
        <v>371</v>
      </c>
      <c r="G2042" s="6">
        <v>0.75</v>
      </c>
      <c r="H2042" s="7" t="s">
        <v>1606</v>
      </c>
      <c r="I2042" s="4" t="s">
        <v>1869</v>
      </c>
      <c r="J2042" s="4" t="s">
        <v>3477</v>
      </c>
      <c r="K2042" s="8"/>
      <c r="L2042" s="8" t="s">
        <v>33</v>
      </c>
      <c r="M2042" s="9">
        <f t="shared" si="1"/>
        <v>76</v>
      </c>
    </row>
    <row r="2043" ht="12.75" customHeight="1">
      <c r="A2043" s="4">
        <f t="shared" si="2"/>
        <v>2042</v>
      </c>
      <c r="B2043" s="4" t="s">
        <v>4474</v>
      </c>
      <c r="C2043" s="5" t="s">
        <v>4475</v>
      </c>
      <c r="D2043" s="4"/>
      <c r="E2043" s="4"/>
      <c r="F2043" s="4" t="s">
        <v>371</v>
      </c>
      <c r="G2043" s="6">
        <v>0.75</v>
      </c>
      <c r="H2043" s="7" t="s">
        <v>1606</v>
      </c>
      <c r="I2043" s="4" t="s">
        <v>1869</v>
      </c>
      <c r="J2043" s="4" t="s">
        <v>3477</v>
      </c>
      <c r="K2043" s="8"/>
      <c r="L2043" s="8" t="s">
        <v>33</v>
      </c>
      <c r="M2043" s="9">
        <f t="shared" si="1"/>
        <v>72</v>
      </c>
    </row>
    <row r="2044" ht="12.75" customHeight="1">
      <c r="A2044" s="4">
        <f t="shared" si="2"/>
        <v>2043</v>
      </c>
      <c r="B2044" s="4" t="s">
        <v>4476</v>
      </c>
      <c r="C2044" s="5" t="s">
        <v>4477</v>
      </c>
      <c r="D2044" s="4"/>
      <c r="E2044" s="4"/>
      <c r="F2044" s="4" t="s">
        <v>371</v>
      </c>
      <c r="G2044" s="6">
        <v>0.75</v>
      </c>
      <c r="H2044" s="7" t="s">
        <v>1606</v>
      </c>
      <c r="I2044" s="4" t="s">
        <v>1869</v>
      </c>
      <c r="J2044" s="4" t="s">
        <v>3477</v>
      </c>
      <c r="K2044" s="8"/>
      <c r="L2044" s="8" t="s">
        <v>33</v>
      </c>
      <c r="M2044" s="9">
        <f t="shared" si="1"/>
        <v>76</v>
      </c>
    </row>
    <row r="2045" ht="12.75" customHeight="1">
      <c r="A2045" s="4">
        <f t="shared" si="2"/>
        <v>2044</v>
      </c>
      <c r="B2045" s="4" t="s">
        <v>4478</v>
      </c>
      <c r="C2045" s="5" t="s">
        <v>4479</v>
      </c>
      <c r="D2045" s="4"/>
      <c r="E2045" s="4"/>
      <c r="F2045" s="4" t="s">
        <v>371</v>
      </c>
      <c r="G2045" s="6">
        <v>0.79</v>
      </c>
      <c r="H2045" s="7" t="s">
        <v>1606</v>
      </c>
      <c r="I2045" s="4" t="s">
        <v>1869</v>
      </c>
      <c r="J2045" s="4" t="s">
        <v>3477</v>
      </c>
      <c r="K2045" s="8"/>
      <c r="L2045" s="8" t="s">
        <v>33</v>
      </c>
      <c r="M2045" s="9">
        <f t="shared" si="1"/>
        <v>72</v>
      </c>
    </row>
    <row r="2046" ht="12.75" customHeight="1">
      <c r="A2046" s="4">
        <f t="shared" si="2"/>
        <v>2045</v>
      </c>
      <c r="B2046" s="4" t="s">
        <v>4480</v>
      </c>
      <c r="C2046" s="5" t="s">
        <v>4481</v>
      </c>
      <c r="D2046" s="4"/>
      <c r="E2046" s="4"/>
      <c r="F2046" s="4" t="s">
        <v>371</v>
      </c>
      <c r="G2046" s="6">
        <v>0.82</v>
      </c>
      <c r="H2046" s="7" t="s">
        <v>1606</v>
      </c>
      <c r="I2046" s="4" t="s">
        <v>1869</v>
      </c>
      <c r="J2046" s="4" t="s">
        <v>3477</v>
      </c>
      <c r="K2046" s="8"/>
      <c r="L2046" s="8" t="s">
        <v>33</v>
      </c>
      <c r="M2046" s="9">
        <f t="shared" si="1"/>
        <v>72</v>
      </c>
    </row>
    <row r="2047" ht="12.75" customHeight="1">
      <c r="A2047" s="4">
        <f t="shared" si="2"/>
        <v>2046</v>
      </c>
      <c r="B2047" s="4" t="s">
        <v>4482</v>
      </c>
      <c r="C2047" s="5" t="s">
        <v>4483</v>
      </c>
      <c r="D2047" s="4"/>
      <c r="E2047" s="4"/>
      <c r="F2047" s="4" t="s">
        <v>371</v>
      </c>
      <c r="G2047" s="6">
        <v>0.27</v>
      </c>
      <c r="H2047" s="7" t="s">
        <v>1606</v>
      </c>
      <c r="I2047" s="4" t="s">
        <v>1869</v>
      </c>
      <c r="J2047" s="4" t="s">
        <v>3477</v>
      </c>
      <c r="K2047" s="8"/>
      <c r="L2047" s="8" t="s">
        <v>33</v>
      </c>
      <c r="M2047" s="9">
        <f t="shared" si="1"/>
        <v>76</v>
      </c>
    </row>
    <row r="2048" ht="12.75" customHeight="1">
      <c r="A2048" s="4">
        <f t="shared" si="2"/>
        <v>2047</v>
      </c>
      <c r="B2048" s="4" t="s">
        <v>4484</v>
      </c>
      <c r="C2048" s="5" t="s">
        <v>4485</v>
      </c>
      <c r="D2048" s="4"/>
      <c r="E2048" s="4"/>
      <c r="F2048" s="4" t="s">
        <v>371</v>
      </c>
      <c r="G2048" s="6">
        <v>0.27</v>
      </c>
      <c r="H2048" s="7" t="s">
        <v>1606</v>
      </c>
      <c r="I2048" s="4" t="s">
        <v>1869</v>
      </c>
      <c r="J2048" s="4" t="s">
        <v>3477</v>
      </c>
      <c r="K2048" s="8"/>
      <c r="L2048" s="8" t="s">
        <v>33</v>
      </c>
      <c r="M2048" s="9">
        <f t="shared" si="1"/>
        <v>76</v>
      </c>
    </row>
    <row r="2049" ht="12.75" customHeight="1">
      <c r="A2049" s="4">
        <f t="shared" si="2"/>
        <v>2048</v>
      </c>
      <c r="B2049" s="4" t="s">
        <v>4486</v>
      </c>
      <c r="C2049" s="5" t="s">
        <v>4487</v>
      </c>
      <c r="D2049" s="4"/>
      <c r="E2049" s="4"/>
      <c r="F2049" s="4" t="s">
        <v>371</v>
      </c>
      <c r="G2049" s="6">
        <v>0.27</v>
      </c>
      <c r="H2049" s="7" t="s">
        <v>1606</v>
      </c>
      <c r="I2049" s="4" t="s">
        <v>1869</v>
      </c>
      <c r="J2049" s="4" t="s">
        <v>3477</v>
      </c>
      <c r="K2049" s="8"/>
      <c r="L2049" s="8" t="s">
        <v>33</v>
      </c>
      <c r="M2049" s="9">
        <f t="shared" si="1"/>
        <v>72</v>
      </c>
    </row>
    <row r="2050" ht="12.75" customHeight="1">
      <c r="A2050" s="4">
        <f t="shared" si="2"/>
        <v>2049</v>
      </c>
      <c r="B2050" s="4" t="s">
        <v>4488</v>
      </c>
      <c r="C2050" s="5" t="s">
        <v>4489</v>
      </c>
      <c r="D2050" s="4"/>
      <c r="E2050" s="4"/>
      <c r="F2050" s="4" t="s">
        <v>371</v>
      </c>
      <c r="G2050" s="6">
        <v>0.3</v>
      </c>
      <c r="H2050" s="7" t="s">
        <v>1606</v>
      </c>
      <c r="I2050" s="4" t="s">
        <v>1869</v>
      </c>
      <c r="J2050" s="4" t="s">
        <v>3477</v>
      </c>
      <c r="K2050" s="8"/>
      <c r="L2050" s="8" t="s">
        <v>33</v>
      </c>
      <c r="M2050" s="9">
        <f t="shared" si="1"/>
        <v>76</v>
      </c>
    </row>
    <row r="2051" ht="12.75" customHeight="1">
      <c r="A2051" s="4">
        <f t="shared" si="2"/>
        <v>2050</v>
      </c>
      <c r="B2051" s="4" t="s">
        <v>4490</v>
      </c>
      <c r="C2051" s="5" t="s">
        <v>4491</v>
      </c>
      <c r="D2051" s="4"/>
      <c r="E2051" s="4"/>
      <c r="F2051" s="4" t="s">
        <v>371</v>
      </c>
      <c r="G2051" s="6">
        <v>0.3</v>
      </c>
      <c r="H2051" s="7" t="s">
        <v>1606</v>
      </c>
      <c r="I2051" s="4" t="s">
        <v>1869</v>
      </c>
      <c r="J2051" s="4" t="s">
        <v>3477</v>
      </c>
      <c r="K2051" s="8"/>
      <c r="L2051" s="8" t="s">
        <v>33</v>
      </c>
      <c r="M2051" s="9">
        <f t="shared" si="1"/>
        <v>72</v>
      </c>
    </row>
    <row r="2052" ht="12.75" customHeight="1">
      <c r="A2052" s="4">
        <f t="shared" si="2"/>
        <v>2051</v>
      </c>
      <c r="B2052" s="4" t="s">
        <v>4492</v>
      </c>
      <c r="C2052" s="5" t="s">
        <v>4493</v>
      </c>
      <c r="D2052" s="4"/>
      <c r="E2052" s="4"/>
      <c r="F2052" s="4" t="s">
        <v>371</v>
      </c>
      <c r="G2052" s="6">
        <v>0.3</v>
      </c>
      <c r="H2052" s="7" t="s">
        <v>1606</v>
      </c>
      <c r="I2052" s="4" t="s">
        <v>1869</v>
      </c>
      <c r="J2052" s="4" t="s">
        <v>3477</v>
      </c>
      <c r="K2052" s="8"/>
      <c r="L2052" s="8" t="s">
        <v>33</v>
      </c>
      <c r="M2052" s="9">
        <f t="shared" si="1"/>
        <v>76</v>
      </c>
    </row>
    <row r="2053" ht="12.75" customHeight="1">
      <c r="A2053" s="4">
        <f t="shared" si="2"/>
        <v>2052</v>
      </c>
      <c r="B2053" s="4" t="s">
        <v>4494</v>
      </c>
      <c r="C2053" s="5" t="s">
        <v>4495</v>
      </c>
      <c r="D2053" s="4"/>
      <c r="E2053" s="4"/>
      <c r="F2053" s="4" t="s">
        <v>371</v>
      </c>
      <c r="G2053" s="6">
        <v>0.32</v>
      </c>
      <c r="H2053" s="7" t="s">
        <v>1606</v>
      </c>
      <c r="I2053" s="4" t="s">
        <v>1869</v>
      </c>
      <c r="J2053" s="4" t="s">
        <v>3477</v>
      </c>
      <c r="K2053" s="8"/>
      <c r="L2053" s="8" t="s">
        <v>33</v>
      </c>
      <c r="M2053" s="9">
        <f t="shared" si="1"/>
        <v>72</v>
      </c>
    </row>
    <row r="2054" ht="12.75" customHeight="1">
      <c r="A2054" s="4">
        <f t="shared" si="2"/>
        <v>2053</v>
      </c>
      <c r="B2054" s="4" t="s">
        <v>4496</v>
      </c>
      <c r="C2054" s="5" t="s">
        <v>4497</v>
      </c>
      <c r="D2054" s="4"/>
      <c r="E2054" s="4"/>
      <c r="F2054" s="4" t="s">
        <v>371</v>
      </c>
      <c r="G2054" s="6">
        <v>0.32</v>
      </c>
      <c r="H2054" s="7" t="s">
        <v>1606</v>
      </c>
      <c r="I2054" s="4" t="s">
        <v>1869</v>
      </c>
      <c r="J2054" s="4" t="s">
        <v>3477</v>
      </c>
      <c r="K2054" s="8"/>
      <c r="L2054" s="8" t="s">
        <v>33</v>
      </c>
      <c r="M2054" s="9">
        <f t="shared" si="1"/>
        <v>72</v>
      </c>
    </row>
    <row r="2055" ht="12.75" customHeight="1">
      <c r="A2055" s="4">
        <f t="shared" si="2"/>
        <v>2054</v>
      </c>
      <c r="B2055" s="4" t="s">
        <v>4498</v>
      </c>
      <c r="C2055" s="5" t="s">
        <v>4499</v>
      </c>
      <c r="D2055" s="4"/>
      <c r="E2055" s="4"/>
      <c r="F2055" s="4" t="s">
        <v>371</v>
      </c>
      <c r="G2055" s="6">
        <v>0.29</v>
      </c>
      <c r="H2055" s="7" t="s">
        <v>1606</v>
      </c>
      <c r="I2055" s="4" t="s">
        <v>1869</v>
      </c>
      <c r="J2055" s="4" t="s">
        <v>3477</v>
      </c>
      <c r="K2055" s="8"/>
      <c r="L2055" s="8" t="s">
        <v>33</v>
      </c>
      <c r="M2055" s="9">
        <f t="shared" si="1"/>
        <v>72</v>
      </c>
    </row>
    <row r="2056" ht="12.75" customHeight="1">
      <c r="A2056" s="4">
        <f t="shared" si="2"/>
        <v>2055</v>
      </c>
      <c r="B2056" s="4" t="s">
        <v>4500</v>
      </c>
      <c r="C2056" s="5" t="s">
        <v>4501</v>
      </c>
      <c r="D2056" s="4"/>
      <c r="E2056" s="4"/>
      <c r="F2056" s="4" t="s">
        <v>371</v>
      </c>
      <c r="G2056" s="21">
        <v>0.29</v>
      </c>
      <c r="H2056" s="7" t="s">
        <v>1606</v>
      </c>
      <c r="I2056" s="4" t="s">
        <v>1869</v>
      </c>
      <c r="J2056" s="4" t="s">
        <v>3477</v>
      </c>
      <c r="K2056" s="8"/>
      <c r="L2056" s="8" t="s">
        <v>33</v>
      </c>
      <c r="M2056" s="9">
        <f t="shared" si="1"/>
        <v>72</v>
      </c>
    </row>
    <row r="2057" ht="12.75" customHeight="1">
      <c r="A2057" s="4">
        <f t="shared" si="2"/>
        <v>2056</v>
      </c>
      <c r="B2057" s="4" t="s">
        <v>4502</v>
      </c>
      <c r="C2057" s="5" t="s">
        <v>4503</v>
      </c>
      <c r="D2057" s="4"/>
      <c r="E2057" s="4"/>
      <c r="F2057" s="4" t="s">
        <v>371</v>
      </c>
      <c r="G2057" s="21">
        <v>0.29</v>
      </c>
      <c r="H2057" s="7" t="s">
        <v>1606</v>
      </c>
      <c r="I2057" s="4" t="s">
        <v>1869</v>
      </c>
      <c r="J2057" s="4" t="s">
        <v>3477</v>
      </c>
      <c r="K2057" s="8"/>
      <c r="L2057" s="8" t="s">
        <v>33</v>
      </c>
      <c r="M2057" s="9">
        <f t="shared" si="1"/>
        <v>77</v>
      </c>
    </row>
    <row r="2058" ht="12.75" customHeight="1">
      <c r="A2058" s="4">
        <f t="shared" si="2"/>
        <v>2057</v>
      </c>
      <c r="B2058" s="4" t="s">
        <v>4504</v>
      </c>
      <c r="C2058" s="5" t="s">
        <v>4505</v>
      </c>
      <c r="D2058" s="4"/>
      <c r="E2058" s="4"/>
      <c r="F2058" s="4" t="s">
        <v>371</v>
      </c>
      <c r="G2058" s="6">
        <v>0.29</v>
      </c>
      <c r="H2058" s="7" t="s">
        <v>1606</v>
      </c>
      <c r="I2058" s="4" t="s">
        <v>1869</v>
      </c>
      <c r="J2058" s="4" t="s">
        <v>3477</v>
      </c>
      <c r="K2058" s="8"/>
      <c r="L2058" s="8" t="s">
        <v>33</v>
      </c>
      <c r="M2058" s="9">
        <f t="shared" si="1"/>
        <v>73</v>
      </c>
    </row>
    <row r="2059" ht="12.75" customHeight="1">
      <c r="A2059" s="4">
        <f t="shared" si="2"/>
        <v>2058</v>
      </c>
      <c r="B2059" s="4" t="s">
        <v>4506</v>
      </c>
      <c r="C2059" s="5" t="s">
        <v>4507</v>
      </c>
      <c r="D2059" s="4"/>
      <c r="E2059" s="4"/>
      <c r="F2059" s="4" t="s">
        <v>371</v>
      </c>
      <c r="G2059" s="6">
        <v>0.29</v>
      </c>
      <c r="H2059" s="7" t="s">
        <v>1606</v>
      </c>
      <c r="I2059" s="4" t="s">
        <v>1869</v>
      </c>
      <c r="J2059" s="4" t="s">
        <v>3477</v>
      </c>
      <c r="K2059" s="8"/>
      <c r="L2059" s="8" t="s">
        <v>33</v>
      </c>
      <c r="M2059" s="9">
        <f t="shared" si="1"/>
        <v>77</v>
      </c>
    </row>
    <row r="2060" ht="12.75" customHeight="1">
      <c r="A2060" s="4">
        <f t="shared" si="2"/>
        <v>2059</v>
      </c>
      <c r="B2060" s="4" t="s">
        <v>4508</v>
      </c>
      <c r="C2060" s="5" t="s">
        <v>4509</v>
      </c>
      <c r="D2060" s="4"/>
      <c r="E2060" s="4"/>
      <c r="F2060" s="4" t="s">
        <v>371</v>
      </c>
      <c r="G2060" s="6">
        <v>0.29</v>
      </c>
      <c r="H2060" s="7" t="s">
        <v>1606</v>
      </c>
      <c r="I2060" s="4" t="s">
        <v>1869</v>
      </c>
      <c r="J2060" s="4" t="s">
        <v>3477</v>
      </c>
      <c r="K2060" s="8"/>
      <c r="L2060" s="8" t="s">
        <v>33</v>
      </c>
      <c r="M2060" s="9">
        <f t="shared" si="1"/>
        <v>75</v>
      </c>
    </row>
    <row r="2061" ht="12.75" customHeight="1">
      <c r="A2061" s="4">
        <f t="shared" si="2"/>
        <v>2060</v>
      </c>
      <c r="B2061" s="4" t="s">
        <v>4510</v>
      </c>
      <c r="C2061" s="5" t="s">
        <v>4511</v>
      </c>
      <c r="D2061" s="4"/>
      <c r="E2061" s="4"/>
      <c r="F2061" s="4" t="s">
        <v>371</v>
      </c>
      <c r="G2061" s="6">
        <v>0.45</v>
      </c>
      <c r="H2061" s="7" t="s">
        <v>1606</v>
      </c>
      <c r="I2061" s="4" t="s">
        <v>1869</v>
      </c>
      <c r="J2061" s="4" t="s">
        <v>3477</v>
      </c>
      <c r="K2061" s="8"/>
      <c r="L2061" s="8" t="s">
        <v>33</v>
      </c>
      <c r="M2061" s="9">
        <f t="shared" si="1"/>
        <v>76</v>
      </c>
    </row>
    <row r="2062" ht="12.75" customHeight="1">
      <c r="A2062" s="4">
        <f t="shared" si="2"/>
        <v>2061</v>
      </c>
      <c r="B2062" s="4" t="s">
        <v>4512</v>
      </c>
      <c r="C2062" s="5" t="s">
        <v>4513</v>
      </c>
      <c r="D2062" s="4"/>
      <c r="E2062" s="4"/>
      <c r="F2062" s="4" t="s">
        <v>371</v>
      </c>
      <c r="G2062" s="6">
        <v>0.45</v>
      </c>
      <c r="H2062" s="7" t="s">
        <v>1606</v>
      </c>
      <c r="I2062" s="4" t="s">
        <v>1869</v>
      </c>
      <c r="J2062" s="4" t="s">
        <v>3477</v>
      </c>
      <c r="K2062" s="8"/>
      <c r="L2062" s="8" t="s">
        <v>33</v>
      </c>
      <c r="M2062" s="9">
        <f t="shared" si="1"/>
        <v>73</v>
      </c>
    </row>
    <row r="2063" ht="12.75" customHeight="1">
      <c r="A2063" s="4">
        <f t="shared" si="2"/>
        <v>2062</v>
      </c>
      <c r="B2063" s="4" t="s">
        <v>4514</v>
      </c>
      <c r="C2063" s="5" t="s">
        <v>4515</v>
      </c>
      <c r="D2063" s="4"/>
      <c r="E2063" s="4"/>
      <c r="F2063" s="4" t="s">
        <v>371</v>
      </c>
      <c r="G2063" s="6">
        <v>0.45</v>
      </c>
      <c r="H2063" s="7" t="s">
        <v>1606</v>
      </c>
      <c r="I2063" s="4" t="s">
        <v>1869</v>
      </c>
      <c r="J2063" s="4" t="s">
        <v>3477</v>
      </c>
      <c r="K2063" s="8"/>
      <c r="L2063" s="8" t="s">
        <v>33</v>
      </c>
      <c r="M2063" s="9">
        <f t="shared" si="1"/>
        <v>73</v>
      </c>
    </row>
    <row r="2064" ht="12.75" customHeight="1">
      <c r="A2064" s="4">
        <f t="shared" si="2"/>
        <v>2063</v>
      </c>
      <c r="B2064" s="4" t="s">
        <v>4516</v>
      </c>
      <c r="C2064" s="5" t="s">
        <v>4517</v>
      </c>
      <c r="D2064" s="4"/>
      <c r="E2064" s="4"/>
      <c r="F2064" s="4" t="s">
        <v>371</v>
      </c>
      <c r="G2064" s="6">
        <v>0.45</v>
      </c>
      <c r="H2064" s="7" t="s">
        <v>1606</v>
      </c>
      <c r="I2064" s="4" t="s">
        <v>1869</v>
      </c>
      <c r="J2064" s="4" t="s">
        <v>3477</v>
      </c>
      <c r="K2064" s="8"/>
      <c r="L2064" s="8" t="s">
        <v>33</v>
      </c>
      <c r="M2064" s="9">
        <f t="shared" si="1"/>
        <v>72</v>
      </c>
    </row>
    <row r="2065" ht="12.75" customHeight="1">
      <c r="A2065" s="4">
        <f t="shared" si="2"/>
        <v>2064</v>
      </c>
      <c r="B2065" s="4" t="s">
        <v>4518</v>
      </c>
      <c r="C2065" s="5" t="s">
        <v>4519</v>
      </c>
      <c r="D2065" s="4"/>
      <c r="E2065" s="4"/>
      <c r="F2065" s="4" t="s">
        <v>371</v>
      </c>
      <c r="G2065" s="21">
        <v>0.45</v>
      </c>
      <c r="H2065" s="7" t="s">
        <v>1606</v>
      </c>
      <c r="I2065" s="4" t="s">
        <v>1869</v>
      </c>
      <c r="J2065" s="4" t="s">
        <v>3477</v>
      </c>
      <c r="K2065" s="8"/>
      <c r="L2065" s="8" t="s">
        <v>33</v>
      </c>
      <c r="M2065" s="9">
        <f t="shared" si="1"/>
        <v>76</v>
      </c>
    </row>
    <row r="2066" ht="12.75" customHeight="1">
      <c r="A2066" s="4">
        <f t="shared" si="2"/>
        <v>2065</v>
      </c>
      <c r="B2066" s="4" t="s">
        <v>4520</v>
      </c>
      <c r="C2066" s="5" t="s">
        <v>4521</v>
      </c>
      <c r="D2066" s="4"/>
      <c r="E2066" s="4"/>
      <c r="F2066" s="4" t="s">
        <v>371</v>
      </c>
      <c r="G2066" s="21">
        <v>0.45</v>
      </c>
      <c r="H2066" s="7" t="s">
        <v>1606</v>
      </c>
      <c r="I2066" s="4" t="s">
        <v>1869</v>
      </c>
      <c r="J2066" s="4" t="s">
        <v>3477</v>
      </c>
      <c r="K2066" s="8"/>
      <c r="L2066" s="8" t="s">
        <v>33</v>
      </c>
      <c r="M2066" s="9">
        <f t="shared" si="1"/>
        <v>72</v>
      </c>
    </row>
    <row r="2067" ht="12.75" customHeight="1">
      <c r="A2067" s="4">
        <f t="shared" si="2"/>
        <v>2066</v>
      </c>
      <c r="B2067" s="4" t="s">
        <v>4522</v>
      </c>
      <c r="C2067" s="5" t="s">
        <v>4523</v>
      </c>
      <c r="D2067" s="4"/>
      <c r="E2067" s="4"/>
      <c r="F2067" s="4" t="s">
        <v>371</v>
      </c>
      <c r="G2067" s="21">
        <v>0.45</v>
      </c>
      <c r="H2067" s="7" t="s">
        <v>1606</v>
      </c>
      <c r="I2067" s="4" t="s">
        <v>1869</v>
      </c>
      <c r="J2067" s="4" t="s">
        <v>3477</v>
      </c>
      <c r="K2067" s="8"/>
      <c r="L2067" s="8" t="s">
        <v>33</v>
      </c>
      <c r="M2067" s="9">
        <f t="shared" si="1"/>
        <v>76</v>
      </c>
    </row>
    <row r="2068" ht="12.75" customHeight="1">
      <c r="A2068" s="4">
        <f t="shared" si="2"/>
        <v>2067</v>
      </c>
      <c r="B2068" s="4" t="s">
        <v>4524</v>
      </c>
      <c r="C2068" s="5" t="s">
        <v>4525</v>
      </c>
      <c r="D2068" s="4"/>
      <c r="E2068" s="4"/>
      <c r="F2068" s="4" t="s">
        <v>371</v>
      </c>
      <c r="G2068" s="21">
        <v>0.49</v>
      </c>
      <c r="H2068" s="7" t="s">
        <v>1606</v>
      </c>
      <c r="I2068" s="4" t="s">
        <v>1869</v>
      </c>
      <c r="J2068" s="4" t="s">
        <v>3477</v>
      </c>
      <c r="K2068" s="8"/>
      <c r="L2068" s="8" t="s">
        <v>33</v>
      </c>
      <c r="M2068" s="9">
        <f t="shared" si="1"/>
        <v>76</v>
      </c>
    </row>
    <row r="2069" ht="12.75" customHeight="1">
      <c r="A2069" s="4">
        <f t="shared" si="2"/>
        <v>2068</v>
      </c>
      <c r="B2069" s="4" t="s">
        <v>4526</v>
      </c>
      <c r="C2069" s="5" t="s">
        <v>4527</v>
      </c>
      <c r="D2069" s="4"/>
      <c r="E2069" s="4"/>
      <c r="F2069" s="4" t="s">
        <v>371</v>
      </c>
      <c r="G2069" s="21">
        <v>0.51</v>
      </c>
      <c r="H2069" s="7" t="s">
        <v>1606</v>
      </c>
      <c r="I2069" s="4" t="s">
        <v>1869</v>
      </c>
      <c r="J2069" s="4" t="s">
        <v>3477</v>
      </c>
      <c r="K2069" s="8"/>
      <c r="L2069" s="8" t="s">
        <v>33</v>
      </c>
      <c r="M2069" s="9">
        <f t="shared" si="1"/>
        <v>72</v>
      </c>
    </row>
    <row r="2070" ht="12.75" customHeight="1">
      <c r="A2070" s="4">
        <f t="shared" si="2"/>
        <v>2069</v>
      </c>
      <c r="B2070" s="4" t="s">
        <v>4528</v>
      </c>
      <c r="C2070" s="5" t="s">
        <v>4529</v>
      </c>
      <c r="D2070" s="4"/>
      <c r="E2070" s="4"/>
      <c r="F2070" s="4" t="s">
        <v>371</v>
      </c>
      <c r="G2070" s="6">
        <v>0.51</v>
      </c>
      <c r="H2070" s="7" t="s">
        <v>1606</v>
      </c>
      <c r="I2070" s="4" t="s">
        <v>1869</v>
      </c>
      <c r="J2070" s="4" t="s">
        <v>3477</v>
      </c>
      <c r="K2070" s="8"/>
      <c r="L2070" s="8" t="s">
        <v>33</v>
      </c>
      <c r="M2070" s="9">
        <f t="shared" si="1"/>
        <v>72</v>
      </c>
    </row>
    <row r="2071" ht="12.75" customHeight="1">
      <c r="A2071" s="4">
        <f t="shared" si="2"/>
        <v>2070</v>
      </c>
      <c r="B2071" s="4" t="s">
        <v>4530</v>
      </c>
      <c r="C2071" s="5" t="s">
        <v>4531</v>
      </c>
      <c r="D2071" s="4"/>
      <c r="E2071" s="4"/>
      <c r="F2071" s="4" t="s">
        <v>371</v>
      </c>
      <c r="G2071" s="6">
        <v>0.27</v>
      </c>
      <c r="H2071" s="7" t="s">
        <v>1606</v>
      </c>
      <c r="I2071" s="4" t="s">
        <v>1869</v>
      </c>
      <c r="J2071" s="4" t="s">
        <v>3477</v>
      </c>
      <c r="K2071" s="8"/>
      <c r="L2071" s="8" t="s">
        <v>33</v>
      </c>
      <c r="M2071" s="9">
        <f t="shared" si="1"/>
        <v>77</v>
      </c>
    </row>
    <row r="2072" ht="12.75" customHeight="1">
      <c r="A2072" s="4">
        <f t="shared" si="2"/>
        <v>2071</v>
      </c>
      <c r="B2072" s="4" t="s">
        <v>4532</v>
      </c>
      <c r="C2072" s="5" t="s">
        <v>4533</v>
      </c>
      <c r="D2072" s="4"/>
      <c r="E2072" s="4"/>
      <c r="F2072" s="4" t="s">
        <v>371</v>
      </c>
      <c r="G2072" s="6">
        <v>0.27</v>
      </c>
      <c r="H2072" s="7" t="s">
        <v>1606</v>
      </c>
      <c r="I2072" s="4" t="s">
        <v>1869</v>
      </c>
      <c r="J2072" s="4" t="s">
        <v>3477</v>
      </c>
      <c r="K2072" s="8"/>
      <c r="L2072" s="8" t="s">
        <v>33</v>
      </c>
      <c r="M2072" s="9">
        <f t="shared" si="1"/>
        <v>73</v>
      </c>
    </row>
    <row r="2073" ht="12.75" customHeight="1">
      <c r="A2073" s="4">
        <f t="shared" si="2"/>
        <v>2072</v>
      </c>
      <c r="B2073" s="4" t="s">
        <v>4534</v>
      </c>
      <c r="C2073" s="5" t="s">
        <v>4535</v>
      </c>
      <c r="D2073" s="4"/>
      <c r="E2073" s="4"/>
      <c r="F2073" s="4" t="s">
        <v>371</v>
      </c>
      <c r="G2073" s="6">
        <v>0.27</v>
      </c>
      <c r="H2073" s="7" t="s">
        <v>1606</v>
      </c>
      <c r="I2073" s="4" t="s">
        <v>1869</v>
      </c>
      <c r="J2073" s="4" t="s">
        <v>3477</v>
      </c>
      <c r="K2073" s="8"/>
      <c r="L2073" s="8" t="s">
        <v>33</v>
      </c>
      <c r="M2073" s="9">
        <f t="shared" si="1"/>
        <v>77</v>
      </c>
    </row>
    <row r="2074" ht="12.75" customHeight="1">
      <c r="A2074" s="4">
        <f t="shared" si="2"/>
        <v>2073</v>
      </c>
      <c r="B2074" s="4" t="s">
        <v>4536</v>
      </c>
      <c r="C2074" s="5" t="s">
        <v>4537</v>
      </c>
      <c r="D2074" s="4"/>
      <c r="E2074" s="4"/>
      <c r="F2074" s="4" t="s">
        <v>371</v>
      </c>
      <c r="G2074" s="6">
        <v>0.27</v>
      </c>
      <c r="H2074" s="7" t="s">
        <v>1606</v>
      </c>
      <c r="I2074" s="4" t="s">
        <v>1869</v>
      </c>
      <c r="J2074" s="4" t="s">
        <v>3477</v>
      </c>
      <c r="K2074" s="8"/>
      <c r="L2074" s="8" t="s">
        <v>33</v>
      </c>
      <c r="M2074" s="9">
        <f t="shared" si="1"/>
        <v>73</v>
      </c>
    </row>
    <row r="2075" ht="12.75" customHeight="1">
      <c r="A2075" s="4">
        <f t="shared" si="2"/>
        <v>2074</v>
      </c>
      <c r="B2075" s="4" t="s">
        <v>4538</v>
      </c>
      <c r="C2075" s="5" t="s">
        <v>4539</v>
      </c>
      <c r="D2075" s="4"/>
      <c r="E2075" s="4"/>
      <c r="F2075" s="4" t="s">
        <v>371</v>
      </c>
      <c r="G2075" s="6">
        <v>0.27</v>
      </c>
      <c r="H2075" s="7" t="s">
        <v>1606</v>
      </c>
      <c r="I2075" s="4" t="s">
        <v>1869</v>
      </c>
      <c r="J2075" s="4" t="s">
        <v>3477</v>
      </c>
      <c r="K2075" s="8"/>
      <c r="L2075" s="8" t="s">
        <v>33</v>
      </c>
      <c r="M2075" s="9">
        <f t="shared" si="1"/>
        <v>77</v>
      </c>
    </row>
    <row r="2076" ht="12.75" customHeight="1">
      <c r="A2076" s="4">
        <f t="shared" si="2"/>
        <v>2075</v>
      </c>
      <c r="B2076" s="4" t="s">
        <v>4540</v>
      </c>
      <c r="C2076" s="5" t="s">
        <v>4541</v>
      </c>
      <c r="D2076" s="4"/>
      <c r="E2076" s="4"/>
      <c r="F2076" s="4" t="s">
        <v>371</v>
      </c>
      <c r="G2076" s="21">
        <v>0.27</v>
      </c>
      <c r="H2076" s="7" t="s">
        <v>1606</v>
      </c>
      <c r="I2076" s="4" t="s">
        <v>1869</v>
      </c>
      <c r="J2076" s="4" t="s">
        <v>3477</v>
      </c>
      <c r="K2076" s="8"/>
      <c r="L2076" s="8" t="s">
        <v>33</v>
      </c>
      <c r="M2076" s="9">
        <f t="shared" si="1"/>
        <v>73</v>
      </c>
    </row>
    <row r="2077" ht="12.75" customHeight="1">
      <c r="A2077" s="4">
        <f t="shared" si="2"/>
        <v>2076</v>
      </c>
      <c r="B2077" s="4" t="s">
        <v>4542</v>
      </c>
      <c r="C2077" s="5" t="s">
        <v>4543</v>
      </c>
      <c r="D2077" s="4"/>
      <c r="E2077" s="4"/>
      <c r="F2077" s="4" t="s">
        <v>371</v>
      </c>
      <c r="G2077" s="6">
        <v>0.27</v>
      </c>
      <c r="H2077" s="7" t="s">
        <v>1606</v>
      </c>
      <c r="I2077" s="4" t="s">
        <v>1869</v>
      </c>
      <c r="J2077" s="4" t="s">
        <v>3477</v>
      </c>
      <c r="K2077" s="8"/>
      <c r="L2077" s="8" t="s">
        <v>33</v>
      </c>
      <c r="M2077" s="9">
        <f t="shared" si="1"/>
        <v>73</v>
      </c>
    </row>
    <row r="2078" ht="12.75" customHeight="1">
      <c r="A2078" s="4">
        <f t="shared" si="2"/>
        <v>2077</v>
      </c>
      <c r="B2078" s="4" t="s">
        <v>4544</v>
      </c>
      <c r="C2078" s="5" t="s">
        <v>4545</v>
      </c>
      <c r="D2078" s="4"/>
      <c r="E2078" s="4"/>
      <c r="F2078" s="4" t="s">
        <v>371</v>
      </c>
      <c r="G2078" s="6">
        <v>1.62</v>
      </c>
      <c r="H2078" s="7" t="s">
        <v>1606</v>
      </c>
      <c r="I2078" s="4" t="s">
        <v>1869</v>
      </c>
      <c r="J2078" s="4" t="s">
        <v>3477</v>
      </c>
      <c r="K2078" s="8"/>
      <c r="L2078" s="8" t="s">
        <v>33</v>
      </c>
      <c r="M2078" s="9">
        <f t="shared" si="1"/>
        <v>76</v>
      </c>
    </row>
    <row r="2079" ht="12.75" customHeight="1">
      <c r="A2079" s="4">
        <f t="shared" si="2"/>
        <v>2078</v>
      </c>
      <c r="B2079" s="4" t="s">
        <v>4546</v>
      </c>
      <c r="C2079" s="5" t="s">
        <v>4547</v>
      </c>
      <c r="D2079" s="4"/>
      <c r="E2079" s="4"/>
      <c r="F2079" s="4" t="s">
        <v>371</v>
      </c>
      <c r="G2079" s="6">
        <v>1.62</v>
      </c>
      <c r="H2079" s="7" t="s">
        <v>1606</v>
      </c>
      <c r="I2079" s="4" t="s">
        <v>1869</v>
      </c>
      <c r="J2079" s="4" t="s">
        <v>3477</v>
      </c>
      <c r="K2079" s="8"/>
      <c r="L2079" s="8" t="s">
        <v>33</v>
      </c>
      <c r="M2079" s="9">
        <f t="shared" si="1"/>
        <v>72</v>
      </c>
    </row>
    <row r="2080" ht="12.75" customHeight="1">
      <c r="A2080" s="4">
        <f t="shared" si="2"/>
        <v>2079</v>
      </c>
      <c r="B2080" s="4" t="s">
        <v>4548</v>
      </c>
      <c r="C2080" s="5" t="s">
        <v>4549</v>
      </c>
      <c r="D2080" s="4"/>
      <c r="E2080" s="4"/>
      <c r="F2080" s="4" t="s">
        <v>371</v>
      </c>
      <c r="G2080" s="6">
        <v>1.62</v>
      </c>
      <c r="H2080" s="7" t="s">
        <v>1606</v>
      </c>
      <c r="I2080" s="4" t="s">
        <v>1869</v>
      </c>
      <c r="J2080" s="4" t="s">
        <v>3477</v>
      </c>
      <c r="K2080" s="8"/>
      <c r="L2080" s="8" t="s">
        <v>33</v>
      </c>
      <c r="M2080" s="9">
        <f t="shared" si="1"/>
        <v>76</v>
      </c>
    </row>
    <row r="2081" ht="12.75" customHeight="1">
      <c r="A2081" s="4">
        <f t="shared" si="2"/>
        <v>2080</v>
      </c>
      <c r="B2081" s="4" t="s">
        <v>4550</v>
      </c>
      <c r="C2081" s="5" t="s">
        <v>4551</v>
      </c>
      <c r="D2081" s="4"/>
      <c r="E2081" s="4"/>
      <c r="F2081" s="4" t="s">
        <v>371</v>
      </c>
      <c r="G2081" s="6">
        <v>1.62</v>
      </c>
      <c r="H2081" s="7" t="s">
        <v>1606</v>
      </c>
      <c r="I2081" s="4" t="s">
        <v>1869</v>
      </c>
      <c r="J2081" s="4" t="s">
        <v>3477</v>
      </c>
      <c r="K2081" s="8"/>
      <c r="L2081" s="8" t="s">
        <v>33</v>
      </c>
      <c r="M2081" s="9">
        <f t="shared" si="1"/>
        <v>72</v>
      </c>
    </row>
    <row r="2082" ht="12.75" customHeight="1">
      <c r="A2082" s="4">
        <f t="shared" si="2"/>
        <v>2081</v>
      </c>
      <c r="B2082" s="4" t="s">
        <v>4552</v>
      </c>
      <c r="C2082" s="5" t="s">
        <v>4553</v>
      </c>
      <c r="D2082" s="4"/>
      <c r="E2082" s="4"/>
      <c r="F2082" s="4" t="s">
        <v>371</v>
      </c>
      <c r="G2082" s="6">
        <v>1.62</v>
      </c>
      <c r="H2082" s="7" t="s">
        <v>1606</v>
      </c>
      <c r="I2082" s="4" t="s">
        <v>1869</v>
      </c>
      <c r="J2082" s="4" t="s">
        <v>3477</v>
      </c>
      <c r="K2082" s="8"/>
      <c r="L2082" s="8" t="s">
        <v>33</v>
      </c>
      <c r="M2082" s="9">
        <f t="shared" si="1"/>
        <v>72</v>
      </c>
    </row>
    <row r="2083" ht="12.75" customHeight="1">
      <c r="A2083" s="4">
        <f t="shared" si="2"/>
        <v>2082</v>
      </c>
      <c r="B2083" s="4" t="s">
        <v>4554</v>
      </c>
      <c r="C2083" s="5" t="s">
        <v>4555</v>
      </c>
      <c r="D2083" s="4"/>
      <c r="E2083" s="4"/>
      <c r="F2083" s="4" t="s">
        <v>371</v>
      </c>
      <c r="G2083" s="6">
        <v>0.72</v>
      </c>
      <c r="H2083" s="7" t="s">
        <v>1606</v>
      </c>
      <c r="I2083" s="4" t="s">
        <v>1869</v>
      </c>
      <c r="J2083" s="4" t="s">
        <v>3486</v>
      </c>
      <c r="K2083" s="8"/>
      <c r="L2083" s="8" t="s">
        <v>33</v>
      </c>
      <c r="M2083" s="9">
        <f t="shared" si="1"/>
        <v>76</v>
      </c>
    </row>
    <row r="2084" ht="12.75" customHeight="1">
      <c r="A2084" s="4">
        <f t="shared" si="2"/>
        <v>2083</v>
      </c>
      <c r="B2084" s="4" t="s">
        <v>4556</v>
      </c>
      <c r="C2084" s="5" t="s">
        <v>4557</v>
      </c>
      <c r="D2084" s="4"/>
      <c r="E2084" s="4"/>
      <c r="F2084" s="4" t="s">
        <v>371</v>
      </c>
      <c r="G2084" s="6">
        <v>0.72</v>
      </c>
      <c r="H2084" s="7" t="s">
        <v>1606</v>
      </c>
      <c r="I2084" s="4" t="s">
        <v>1869</v>
      </c>
      <c r="J2084" s="4" t="s">
        <v>3486</v>
      </c>
      <c r="K2084" s="8"/>
      <c r="L2084" s="8" t="s">
        <v>33</v>
      </c>
      <c r="M2084" s="9">
        <f t="shared" si="1"/>
        <v>76</v>
      </c>
    </row>
    <row r="2085" ht="12.75" customHeight="1">
      <c r="A2085" s="4">
        <f t="shared" si="2"/>
        <v>2084</v>
      </c>
      <c r="B2085" s="4" t="s">
        <v>4558</v>
      </c>
      <c r="C2085" s="5" t="s">
        <v>4559</v>
      </c>
      <c r="D2085" s="4"/>
      <c r="E2085" s="4"/>
      <c r="F2085" s="4" t="s">
        <v>371</v>
      </c>
      <c r="G2085" s="6">
        <v>0.72</v>
      </c>
      <c r="H2085" s="7" t="s">
        <v>1606</v>
      </c>
      <c r="I2085" s="4" t="s">
        <v>1869</v>
      </c>
      <c r="J2085" s="4" t="s">
        <v>3486</v>
      </c>
      <c r="K2085" s="8"/>
      <c r="L2085" s="8" t="s">
        <v>33</v>
      </c>
      <c r="M2085" s="9">
        <f t="shared" si="1"/>
        <v>76</v>
      </c>
    </row>
    <row r="2086" ht="12.75" customHeight="1">
      <c r="A2086" s="4">
        <f t="shared" si="2"/>
        <v>2085</v>
      </c>
      <c r="B2086" s="4" t="s">
        <v>4560</v>
      </c>
      <c r="C2086" s="5" t="s">
        <v>4561</v>
      </c>
      <c r="D2086" s="4"/>
      <c r="E2086" s="4"/>
      <c r="F2086" s="4" t="s">
        <v>371</v>
      </c>
      <c r="G2086" s="6">
        <v>0.72</v>
      </c>
      <c r="H2086" s="7" t="s">
        <v>1606</v>
      </c>
      <c r="I2086" s="4" t="s">
        <v>1869</v>
      </c>
      <c r="J2086" s="4" t="s">
        <v>3486</v>
      </c>
      <c r="K2086" s="8"/>
      <c r="L2086" s="8" t="s">
        <v>33</v>
      </c>
      <c r="M2086" s="9">
        <f t="shared" si="1"/>
        <v>72</v>
      </c>
    </row>
    <row r="2087" ht="12.75" customHeight="1">
      <c r="A2087" s="4">
        <f t="shared" si="2"/>
        <v>2086</v>
      </c>
      <c r="B2087" s="4" t="s">
        <v>4562</v>
      </c>
      <c r="C2087" s="5" t="s">
        <v>4563</v>
      </c>
      <c r="D2087" s="4"/>
      <c r="E2087" s="4"/>
      <c r="F2087" s="4" t="s">
        <v>371</v>
      </c>
      <c r="G2087" s="6">
        <v>0.81</v>
      </c>
      <c r="H2087" s="7" t="s">
        <v>1606</v>
      </c>
      <c r="I2087" s="4" t="s">
        <v>1869</v>
      </c>
      <c r="J2087" s="4" t="s">
        <v>3486</v>
      </c>
      <c r="K2087" s="8"/>
      <c r="L2087" s="8" t="s">
        <v>33</v>
      </c>
      <c r="M2087" s="9">
        <f t="shared" si="1"/>
        <v>76</v>
      </c>
    </row>
    <row r="2088" ht="12.75" customHeight="1">
      <c r="A2088" s="4">
        <f t="shared" si="2"/>
        <v>2087</v>
      </c>
      <c r="B2088" s="4" t="s">
        <v>4564</v>
      </c>
      <c r="C2088" s="5" t="s">
        <v>4565</v>
      </c>
      <c r="D2088" s="4"/>
      <c r="E2088" s="4"/>
      <c r="F2088" s="4" t="s">
        <v>371</v>
      </c>
      <c r="G2088" s="6">
        <v>0.8</v>
      </c>
      <c r="H2088" s="7" t="s">
        <v>1606</v>
      </c>
      <c r="I2088" s="4" t="s">
        <v>1869</v>
      </c>
      <c r="J2088" s="4" t="s">
        <v>3486</v>
      </c>
      <c r="K2088" s="8"/>
      <c r="L2088" s="8" t="s">
        <v>33</v>
      </c>
      <c r="M2088" s="9">
        <f t="shared" si="1"/>
        <v>72</v>
      </c>
    </row>
    <row r="2089" ht="12.75" customHeight="1">
      <c r="A2089" s="4">
        <f t="shared" si="2"/>
        <v>2088</v>
      </c>
      <c r="B2089" s="4" t="s">
        <v>4566</v>
      </c>
      <c r="C2089" s="5" t="s">
        <v>4567</v>
      </c>
      <c r="D2089" s="4"/>
      <c r="E2089" s="4"/>
      <c r="F2089" s="4" t="s">
        <v>371</v>
      </c>
      <c r="G2089" s="6">
        <v>0.77</v>
      </c>
      <c r="H2089" s="7" t="s">
        <v>1606</v>
      </c>
      <c r="I2089" s="4" t="s">
        <v>1869</v>
      </c>
      <c r="J2089" s="4" t="s">
        <v>3486</v>
      </c>
      <c r="K2089" s="8"/>
      <c r="L2089" s="8" t="s">
        <v>33</v>
      </c>
      <c r="M2089" s="9">
        <f t="shared" si="1"/>
        <v>72</v>
      </c>
    </row>
    <row r="2090" ht="12.75" customHeight="1">
      <c r="A2090" s="4">
        <f t="shared" si="2"/>
        <v>2089</v>
      </c>
      <c r="B2090" s="4" t="s">
        <v>4568</v>
      </c>
      <c r="C2090" s="5" t="s">
        <v>4569</v>
      </c>
      <c r="D2090" s="4"/>
      <c r="E2090" s="4"/>
      <c r="F2090" s="4" t="s">
        <v>371</v>
      </c>
      <c r="G2090" s="6">
        <v>0.82</v>
      </c>
      <c r="H2090" s="7" t="s">
        <v>1606</v>
      </c>
      <c r="I2090" s="4" t="s">
        <v>1869</v>
      </c>
      <c r="J2090" s="4" t="s">
        <v>3486</v>
      </c>
      <c r="K2090" s="8"/>
      <c r="L2090" s="8" t="s">
        <v>33</v>
      </c>
      <c r="M2090" s="9">
        <f t="shared" si="1"/>
        <v>72</v>
      </c>
    </row>
    <row r="2091" ht="12.75" customHeight="1">
      <c r="A2091" s="4">
        <f t="shared" si="2"/>
        <v>2090</v>
      </c>
      <c r="B2091" s="4" t="s">
        <v>4570</v>
      </c>
      <c r="C2091" s="5" t="s">
        <v>4571</v>
      </c>
      <c r="D2091" s="4"/>
      <c r="E2091" s="4"/>
      <c r="F2091" s="4" t="s">
        <v>371</v>
      </c>
      <c r="G2091" s="6">
        <v>0.27</v>
      </c>
      <c r="H2091" s="7" t="s">
        <v>1606</v>
      </c>
      <c r="I2091" s="4" t="s">
        <v>1869</v>
      </c>
      <c r="J2091" s="4" t="s">
        <v>3486</v>
      </c>
      <c r="K2091" s="8"/>
      <c r="L2091" s="8" t="s">
        <v>33</v>
      </c>
      <c r="M2091" s="9">
        <f t="shared" si="1"/>
        <v>76</v>
      </c>
    </row>
    <row r="2092" ht="12.75" customHeight="1">
      <c r="A2092" s="4">
        <f t="shared" si="2"/>
        <v>2091</v>
      </c>
      <c r="B2092" s="4" t="s">
        <v>4572</v>
      </c>
      <c r="C2092" s="5" t="s">
        <v>4573</v>
      </c>
      <c r="D2092" s="4"/>
      <c r="E2092" s="4"/>
      <c r="F2092" s="4" t="s">
        <v>371</v>
      </c>
      <c r="G2092" s="6">
        <v>0.27</v>
      </c>
      <c r="H2092" s="7" t="s">
        <v>1606</v>
      </c>
      <c r="I2092" s="4" t="s">
        <v>1869</v>
      </c>
      <c r="J2092" s="4" t="s">
        <v>3486</v>
      </c>
      <c r="K2092" s="8"/>
      <c r="L2092" s="8" t="s">
        <v>33</v>
      </c>
      <c r="M2092" s="9">
        <f t="shared" si="1"/>
        <v>76</v>
      </c>
    </row>
    <row r="2093" ht="12.75" customHeight="1">
      <c r="A2093" s="4">
        <f t="shared" si="2"/>
        <v>2092</v>
      </c>
      <c r="B2093" s="4" t="s">
        <v>4574</v>
      </c>
      <c r="C2093" s="5" t="s">
        <v>4575</v>
      </c>
      <c r="D2093" s="4"/>
      <c r="E2093" s="4"/>
      <c r="F2093" s="4" t="s">
        <v>371</v>
      </c>
      <c r="G2093" s="6">
        <v>0.27</v>
      </c>
      <c r="H2093" s="7" t="s">
        <v>1606</v>
      </c>
      <c r="I2093" s="4" t="s">
        <v>1869</v>
      </c>
      <c r="J2093" s="4" t="s">
        <v>3486</v>
      </c>
      <c r="K2093" s="8"/>
      <c r="L2093" s="8" t="s">
        <v>33</v>
      </c>
      <c r="M2093" s="9">
        <f t="shared" si="1"/>
        <v>72</v>
      </c>
    </row>
    <row r="2094" ht="12.75" customHeight="1">
      <c r="A2094" s="4">
        <f t="shared" si="2"/>
        <v>2093</v>
      </c>
      <c r="B2094" s="4" t="s">
        <v>4576</v>
      </c>
      <c r="C2094" s="5" t="s">
        <v>4577</v>
      </c>
      <c r="D2094" s="4"/>
      <c r="E2094" s="4"/>
      <c r="F2094" s="4" t="s">
        <v>371</v>
      </c>
      <c r="G2094" s="6">
        <v>0.27</v>
      </c>
      <c r="H2094" s="7" t="s">
        <v>1606</v>
      </c>
      <c r="I2094" s="4" t="s">
        <v>1869</v>
      </c>
      <c r="J2094" s="4" t="s">
        <v>3486</v>
      </c>
      <c r="K2094" s="8"/>
      <c r="L2094" s="8" t="s">
        <v>33</v>
      </c>
      <c r="M2094" s="9">
        <f t="shared" si="1"/>
        <v>74</v>
      </c>
    </row>
    <row r="2095" ht="12.75" customHeight="1">
      <c r="A2095" s="4">
        <f t="shared" si="2"/>
        <v>2094</v>
      </c>
      <c r="B2095" s="4" t="s">
        <v>4578</v>
      </c>
      <c r="C2095" s="5" t="s">
        <v>4579</v>
      </c>
      <c r="D2095" s="4"/>
      <c r="E2095" s="4"/>
      <c r="F2095" s="4" t="s">
        <v>371</v>
      </c>
      <c r="G2095" s="6">
        <v>0.29</v>
      </c>
      <c r="H2095" s="7" t="s">
        <v>1606</v>
      </c>
      <c r="I2095" s="4" t="s">
        <v>1869</v>
      </c>
      <c r="J2095" s="4" t="s">
        <v>3486</v>
      </c>
      <c r="K2095" s="8"/>
      <c r="L2095" s="8" t="s">
        <v>33</v>
      </c>
      <c r="M2095" s="9">
        <f t="shared" si="1"/>
        <v>76</v>
      </c>
    </row>
    <row r="2096" ht="12.75" customHeight="1">
      <c r="A2096" s="4">
        <f t="shared" si="2"/>
        <v>2095</v>
      </c>
      <c r="B2096" s="4" t="s">
        <v>4580</v>
      </c>
      <c r="C2096" s="5" t="s">
        <v>4581</v>
      </c>
      <c r="D2096" s="4"/>
      <c r="E2096" s="4"/>
      <c r="F2096" s="4" t="s">
        <v>371</v>
      </c>
      <c r="G2096" s="6">
        <v>0.29</v>
      </c>
      <c r="H2096" s="7" t="s">
        <v>1606</v>
      </c>
      <c r="I2096" s="4" t="s">
        <v>1869</v>
      </c>
      <c r="J2096" s="4" t="s">
        <v>3486</v>
      </c>
      <c r="K2096" s="8"/>
      <c r="L2096" s="8" t="s">
        <v>33</v>
      </c>
      <c r="M2096" s="9">
        <f t="shared" si="1"/>
        <v>72</v>
      </c>
    </row>
    <row r="2097" ht="12.75" customHeight="1">
      <c r="A2097" s="4">
        <f t="shared" si="2"/>
        <v>2096</v>
      </c>
      <c r="B2097" s="4" t="s">
        <v>4582</v>
      </c>
      <c r="C2097" s="5" t="s">
        <v>4583</v>
      </c>
      <c r="D2097" s="4"/>
      <c r="E2097" s="4"/>
      <c r="F2097" s="4" t="s">
        <v>371</v>
      </c>
      <c r="G2097" s="6">
        <v>0.29</v>
      </c>
      <c r="H2097" s="7" t="s">
        <v>1606</v>
      </c>
      <c r="I2097" s="4" t="s">
        <v>1869</v>
      </c>
      <c r="J2097" s="4" t="s">
        <v>3486</v>
      </c>
      <c r="K2097" s="8"/>
      <c r="L2097" s="8" t="s">
        <v>33</v>
      </c>
      <c r="M2097" s="9">
        <f t="shared" si="1"/>
        <v>72</v>
      </c>
    </row>
    <row r="2098" ht="12.75" customHeight="1">
      <c r="A2098" s="4">
        <f t="shared" si="2"/>
        <v>2097</v>
      </c>
      <c r="B2098" s="4" t="s">
        <v>4584</v>
      </c>
      <c r="C2098" s="5" t="s">
        <v>4585</v>
      </c>
      <c r="D2098" s="4"/>
      <c r="E2098" s="4"/>
      <c r="F2098" s="4" t="s">
        <v>371</v>
      </c>
      <c r="G2098" s="6">
        <v>0.31</v>
      </c>
      <c r="H2098" s="7" t="s">
        <v>1606</v>
      </c>
      <c r="I2098" s="4" t="s">
        <v>1869</v>
      </c>
      <c r="J2098" s="4" t="s">
        <v>3486</v>
      </c>
      <c r="K2098" s="8"/>
      <c r="L2098" s="8" t="s">
        <v>33</v>
      </c>
      <c r="M2098" s="9">
        <f t="shared" si="1"/>
        <v>74</v>
      </c>
    </row>
    <row r="2099" ht="12.75" customHeight="1">
      <c r="A2099" s="4">
        <f t="shared" si="2"/>
        <v>2098</v>
      </c>
      <c r="B2099" s="4" t="s">
        <v>4586</v>
      </c>
      <c r="C2099" s="5" t="s">
        <v>4587</v>
      </c>
      <c r="D2099" s="4"/>
      <c r="E2099" s="4"/>
      <c r="F2099" s="4" t="s">
        <v>371</v>
      </c>
      <c r="G2099" s="6">
        <v>2.5</v>
      </c>
      <c r="H2099" s="7" t="s">
        <v>1606</v>
      </c>
      <c r="I2099" s="4" t="s">
        <v>1869</v>
      </c>
      <c r="J2099" s="4" t="s">
        <v>3486</v>
      </c>
      <c r="K2099" s="8"/>
      <c r="L2099" s="8" t="s">
        <v>33</v>
      </c>
      <c r="M2099" s="9">
        <f t="shared" si="1"/>
        <v>76</v>
      </c>
    </row>
    <row r="2100" ht="12.75" customHeight="1">
      <c r="A2100" s="4">
        <f t="shared" si="2"/>
        <v>2099</v>
      </c>
      <c r="B2100" s="4" t="s">
        <v>4588</v>
      </c>
      <c r="C2100" s="5" t="s">
        <v>4589</v>
      </c>
      <c r="D2100" s="4"/>
      <c r="E2100" s="4"/>
      <c r="F2100" s="4" t="s">
        <v>371</v>
      </c>
      <c r="G2100" s="6">
        <v>2.45</v>
      </c>
      <c r="H2100" s="7" t="s">
        <v>1606</v>
      </c>
      <c r="I2100" s="4" t="s">
        <v>1869</v>
      </c>
      <c r="J2100" s="4" t="s">
        <v>3486</v>
      </c>
      <c r="K2100" s="8"/>
      <c r="L2100" s="8" t="s">
        <v>33</v>
      </c>
      <c r="M2100" s="9">
        <f t="shared" si="1"/>
        <v>76</v>
      </c>
    </row>
    <row r="2101" ht="12.75" customHeight="1">
      <c r="A2101" s="4">
        <f t="shared" si="2"/>
        <v>2100</v>
      </c>
      <c r="B2101" s="4" t="s">
        <v>4590</v>
      </c>
      <c r="C2101" s="5" t="s">
        <v>4591</v>
      </c>
      <c r="D2101" s="4"/>
      <c r="E2101" s="4"/>
      <c r="F2101" s="4" t="s">
        <v>371</v>
      </c>
      <c r="G2101" s="6">
        <v>2.45</v>
      </c>
      <c r="H2101" s="7" t="s">
        <v>1606</v>
      </c>
      <c r="I2101" s="4" t="s">
        <v>1869</v>
      </c>
      <c r="J2101" s="4" t="s">
        <v>3486</v>
      </c>
      <c r="K2101" s="8"/>
      <c r="L2101" s="8" t="s">
        <v>33</v>
      </c>
      <c r="M2101" s="9">
        <f t="shared" si="1"/>
        <v>72</v>
      </c>
    </row>
    <row r="2102" ht="12.75" customHeight="1">
      <c r="A2102" s="4">
        <f t="shared" si="2"/>
        <v>2101</v>
      </c>
      <c r="B2102" s="4" t="s">
        <v>4592</v>
      </c>
      <c r="C2102" s="5" t="s">
        <v>4593</v>
      </c>
      <c r="D2102" s="4"/>
      <c r="E2102" s="4"/>
      <c r="F2102" s="4" t="s">
        <v>371</v>
      </c>
      <c r="G2102" s="6">
        <v>2.65</v>
      </c>
      <c r="H2102" s="7" t="s">
        <v>1606</v>
      </c>
      <c r="I2102" s="4" t="s">
        <v>1869</v>
      </c>
      <c r="J2102" s="4" t="s">
        <v>3486</v>
      </c>
      <c r="K2102" s="8"/>
      <c r="L2102" s="8" t="s">
        <v>33</v>
      </c>
      <c r="M2102" s="9">
        <f t="shared" si="1"/>
        <v>72</v>
      </c>
    </row>
    <row r="2103" ht="12.75" customHeight="1">
      <c r="A2103" s="4">
        <f t="shared" si="2"/>
        <v>2102</v>
      </c>
      <c r="B2103" s="4" t="s">
        <v>4594</v>
      </c>
      <c r="C2103" s="5" t="s">
        <v>4595</v>
      </c>
      <c r="D2103" s="4"/>
      <c r="E2103" s="4"/>
      <c r="F2103" s="4" t="s">
        <v>371</v>
      </c>
      <c r="G2103" s="6">
        <v>0.71</v>
      </c>
      <c r="H2103" s="7" t="s">
        <v>1606</v>
      </c>
      <c r="I2103" s="4" t="s">
        <v>1869</v>
      </c>
      <c r="J2103" s="4" t="s">
        <v>3486</v>
      </c>
      <c r="K2103" s="8"/>
      <c r="L2103" s="8" t="s">
        <v>33</v>
      </c>
      <c r="M2103" s="9">
        <f t="shared" si="1"/>
        <v>76</v>
      </c>
    </row>
    <row r="2104" ht="12.75" customHeight="1">
      <c r="A2104" s="4">
        <f t="shared" si="2"/>
        <v>2103</v>
      </c>
      <c r="B2104" s="4" t="s">
        <v>4596</v>
      </c>
      <c r="C2104" s="5" t="s">
        <v>4597</v>
      </c>
      <c r="D2104" s="4"/>
      <c r="E2104" s="4"/>
      <c r="F2104" s="4" t="s">
        <v>371</v>
      </c>
      <c r="G2104" s="6">
        <v>0.71</v>
      </c>
      <c r="H2104" s="7" t="s">
        <v>1606</v>
      </c>
      <c r="I2104" s="4" t="s">
        <v>1869</v>
      </c>
      <c r="J2104" s="4" t="s">
        <v>3486</v>
      </c>
      <c r="K2104" s="8"/>
      <c r="L2104" s="8" t="s">
        <v>33</v>
      </c>
      <c r="M2104" s="9">
        <f t="shared" si="1"/>
        <v>76</v>
      </c>
    </row>
    <row r="2105" ht="12.75" customHeight="1">
      <c r="A2105" s="4">
        <f t="shared" si="2"/>
        <v>2104</v>
      </c>
      <c r="B2105" s="4" t="s">
        <v>4598</v>
      </c>
      <c r="C2105" s="5" t="s">
        <v>4599</v>
      </c>
      <c r="D2105" s="4"/>
      <c r="E2105" s="4"/>
      <c r="F2105" s="4" t="s">
        <v>371</v>
      </c>
      <c r="G2105" s="6">
        <v>0.71</v>
      </c>
      <c r="H2105" s="7" t="s">
        <v>1606</v>
      </c>
      <c r="I2105" s="4" t="s">
        <v>1869</v>
      </c>
      <c r="J2105" s="4" t="s">
        <v>3486</v>
      </c>
      <c r="K2105" s="8"/>
      <c r="L2105" s="8" t="s">
        <v>33</v>
      </c>
      <c r="M2105" s="9">
        <f t="shared" si="1"/>
        <v>72</v>
      </c>
    </row>
    <row r="2106" ht="12.75" customHeight="1">
      <c r="A2106" s="4">
        <f t="shared" si="2"/>
        <v>2105</v>
      </c>
      <c r="B2106" s="4" t="s">
        <v>4600</v>
      </c>
      <c r="C2106" s="5" t="s">
        <v>4601</v>
      </c>
      <c r="D2106" s="4"/>
      <c r="E2106" s="4"/>
      <c r="F2106" s="4" t="s">
        <v>371</v>
      </c>
      <c r="G2106" s="6">
        <v>0.71</v>
      </c>
      <c r="H2106" s="7" t="s">
        <v>1606</v>
      </c>
      <c r="I2106" s="4" t="s">
        <v>1869</v>
      </c>
      <c r="J2106" s="4" t="s">
        <v>3486</v>
      </c>
      <c r="K2106" s="8"/>
      <c r="L2106" s="8" t="s">
        <v>33</v>
      </c>
      <c r="M2106" s="9">
        <f t="shared" si="1"/>
        <v>72</v>
      </c>
    </row>
    <row r="2107" ht="12.75" customHeight="1">
      <c r="A2107" s="4">
        <f t="shared" si="2"/>
        <v>2106</v>
      </c>
      <c r="B2107" s="4" t="s">
        <v>4602</v>
      </c>
      <c r="C2107" s="5" t="s">
        <v>4603</v>
      </c>
      <c r="D2107" s="4"/>
      <c r="E2107" s="4"/>
      <c r="F2107" s="4" t="s">
        <v>371</v>
      </c>
      <c r="G2107" s="6">
        <v>0.71</v>
      </c>
      <c r="H2107" s="7" t="s">
        <v>1606</v>
      </c>
      <c r="I2107" s="4" t="s">
        <v>1869</v>
      </c>
      <c r="J2107" s="4" t="s">
        <v>3486</v>
      </c>
      <c r="K2107" s="8"/>
      <c r="L2107" s="8" t="s">
        <v>33</v>
      </c>
      <c r="M2107" s="9">
        <f t="shared" si="1"/>
        <v>76</v>
      </c>
    </row>
    <row r="2108" ht="12.75" customHeight="1">
      <c r="A2108" s="4">
        <f t="shared" si="2"/>
        <v>2107</v>
      </c>
      <c r="B2108" s="4" t="s">
        <v>4604</v>
      </c>
      <c r="C2108" s="5" t="s">
        <v>4605</v>
      </c>
      <c r="D2108" s="4"/>
      <c r="E2108" s="4"/>
      <c r="F2108" s="4" t="s">
        <v>371</v>
      </c>
      <c r="G2108" s="6">
        <v>0.71</v>
      </c>
      <c r="H2108" s="7" t="s">
        <v>1606</v>
      </c>
      <c r="I2108" s="4" t="s">
        <v>1869</v>
      </c>
      <c r="J2108" s="4" t="s">
        <v>3486</v>
      </c>
      <c r="K2108" s="8"/>
      <c r="L2108" s="8" t="s">
        <v>33</v>
      </c>
      <c r="M2108" s="9">
        <f t="shared" si="1"/>
        <v>72</v>
      </c>
    </row>
    <row r="2109" ht="12.75" customHeight="1">
      <c r="A2109" s="4">
        <f t="shared" si="2"/>
        <v>2108</v>
      </c>
      <c r="B2109" s="4" t="s">
        <v>4606</v>
      </c>
      <c r="C2109" s="5" t="s">
        <v>4607</v>
      </c>
      <c r="D2109" s="4"/>
      <c r="E2109" s="4"/>
      <c r="F2109" s="4" t="s">
        <v>371</v>
      </c>
      <c r="G2109" s="6">
        <v>0.71</v>
      </c>
      <c r="H2109" s="7" t="s">
        <v>1606</v>
      </c>
      <c r="I2109" s="4" t="s">
        <v>1869</v>
      </c>
      <c r="J2109" s="4" t="s">
        <v>3486</v>
      </c>
      <c r="K2109" s="8"/>
      <c r="L2109" s="8" t="s">
        <v>33</v>
      </c>
      <c r="M2109" s="9">
        <f t="shared" si="1"/>
        <v>72</v>
      </c>
    </row>
    <row r="2110" ht="12.75" customHeight="1">
      <c r="A2110" s="4">
        <f t="shared" si="2"/>
        <v>2109</v>
      </c>
      <c r="B2110" s="4" t="s">
        <v>4608</v>
      </c>
      <c r="C2110" s="5" t="s">
        <v>4609</v>
      </c>
      <c r="D2110" s="4"/>
      <c r="E2110" s="4"/>
      <c r="F2110" s="4" t="s">
        <v>371</v>
      </c>
      <c r="G2110" s="6">
        <v>0.7</v>
      </c>
      <c r="H2110" s="7" t="s">
        <v>1606</v>
      </c>
      <c r="I2110" s="4" t="s">
        <v>1869</v>
      </c>
      <c r="J2110" s="4" t="s">
        <v>3486</v>
      </c>
      <c r="K2110" s="8"/>
      <c r="L2110" s="8" t="s">
        <v>33</v>
      </c>
      <c r="M2110" s="9">
        <f t="shared" si="1"/>
        <v>72</v>
      </c>
    </row>
    <row r="2111" ht="12.75" customHeight="1">
      <c r="A2111" s="4">
        <f t="shared" si="2"/>
        <v>2110</v>
      </c>
      <c r="B2111" s="4" t="s">
        <v>4610</v>
      </c>
      <c r="C2111" s="5" t="s">
        <v>4611</v>
      </c>
      <c r="D2111" s="4"/>
      <c r="E2111" s="4"/>
      <c r="F2111" s="4" t="s">
        <v>371</v>
      </c>
      <c r="G2111" s="6">
        <v>0.7</v>
      </c>
      <c r="H2111" s="7" t="s">
        <v>1606</v>
      </c>
      <c r="I2111" s="4" t="s">
        <v>1869</v>
      </c>
      <c r="J2111" s="4" t="s">
        <v>3486</v>
      </c>
      <c r="K2111" s="8"/>
      <c r="L2111" s="8" t="s">
        <v>33</v>
      </c>
      <c r="M2111" s="9">
        <f t="shared" si="1"/>
        <v>72</v>
      </c>
    </row>
    <row r="2112" ht="12.75" customHeight="1">
      <c r="A2112" s="4">
        <f t="shared" si="2"/>
        <v>2111</v>
      </c>
      <c r="B2112" s="4" t="s">
        <v>4612</v>
      </c>
      <c r="C2112" s="5" t="s">
        <v>4613</v>
      </c>
      <c r="D2112" s="4"/>
      <c r="E2112" s="4"/>
      <c r="F2112" s="4" t="s">
        <v>371</v>
      </c>
      <c r="G2112" s="6">
        <v>0.7</v>
      </c>
      <c r="H2112" s="7" t="s">
        <v>1606</v>
      </c>
      <c r="I2112" s="4" t="s">
        <v>1869</v>
      </c>
      <c r="J2112" s="4" t="s">
        <v>3486</v>
      </c>
      <c r="K2112" s="8"/>
      <c r="L2112" s="8" t="s">
        <v>33</v>
      </c>
      <c r="M2112" s="9">
        <f t="shared" si="1"/>
        <v>77</v>
      </c>
    </row>
    <row r="2113" ht="12.75" customHeight="1">
      <c r="A2113" s="4">
        <f t="shared" si="2"/>
        <v>2112</v>
      </c>
      <c r="B2113" s="4" t="s">
        <v>4614</v>
      </c>
      <c r="C2113" s="5" t="s">
        <v>4615</v>
      </c>
      <c r="D2113" s="4"/>
      <c r="E2113" s="4"/>
      <c r="F2113" s="4" t="s">
        <v>371</v>
      </c>
      <c r="G2113" s="6">
        <v>0.7</v>
      </c>
      <c r="H2113" s="7" t="s">
        <v>1606</v>
      </c>
      <c r="I2113" s="4" t="s">
        <v>1869</v>
      </c>
      <c r="J2113" s="4" t="s">
        <v>3486</v>
      </c>
      <c r="K2113" s="8"/>
      <c r="L2113" s="8" t="s">
        <v>33</v>
      </c>
      <c r="M2113" s="9">
        <f t="shared" si="1"/>
        <v>73</v>
      </c>
    </row>
    <row r="2114" ht="12.75" customHeight="1">
      <c r="A2114" s="4">
        <f t="shared" si="2"/>
        <v>2113</v>
      </c>
      <c r="B2114" s="4" t="s">
        <v>4616</v>
      </c>
      <c r="C2114" s="5" t="s">
        <v>4617</v>
      </c>
      <c r="D2114" s="4"/>
      <c r="E2114" s="4"/>
      <c r="F2114" s="4" t="s">
        <v>371</v>
      </c>
      <c r="G2114" s="6">
        <v>0.7</v>
      </c>
      <c r="H2114" s="7" t="s">
        <v>1606</v>
      </c>
      <c r="I2114" s="4" t="s">
        <v>1869</v>
      </c>
      <c r="J2114" s="4" t="s">
        <v>3486</v>
      </c>
      <c r="K2114" s="8"/>
      <c r="L2114" s="8" t="s">
        <v>33</v>
      </c>
      <c r="M2114" s="9">
        <f t="shared" si="1"/>
        <v>77</v>
      </c>
    </row>
    <row r="2115" ht="12.75" customHeight="1">
      <c r="A2115" s="4">
        <f t="shared" si="2"/>
        <v>2114</v>
      </c>
      <c r="B2115" s="4" t="s">
        <v>4618</v>
      </c>
      <c r="C2115" s="5" t="s">
        <v>4619</v>
      </c>
      <c r="D2115" s="4"/>
      <c r="E2115" s="4"/>
      <c r="F2115" s="4" t="s">
        <v>371</v>
      </c>
      <c r="G2115" s="6">
        <v>1.75</v>
      </c>
      <c r="H2115" s="7" t="s">
        <v>1606</v>
      </c>
      <c r="I2115" s="4" t="s">
        <v>1869</v>
      </c>
      <c r="J2115" s="4" t="s">
        <v>3486</v>
      </c>
      <c r="K2115" s="8"/>
      <c r="L2115" s="8" t="s">
        <v>33</v>
      </c>
      <c r="M2115" s="9">
        <f t="shared" si="1"/>
        <v>76</v>
      </c>
    </row>
    <row r="2116" ht="12.75" customHeight="1">
      <c r="A2116" s="4">
        <f t="shared" si="2"/>
        <v>2115</v>
      </c>
      <c r="B2116" s="4" t="s">
        <v>4620</v>
      </c>
      <c r="C2116" s="5" t="s">
        <v>4621</v>
      </c>
      <c r="D2116" s="4"/>
      <c r="E2116" s="4"/>
      <c r="F2116" s="4" t="s">
        <v>371</v>
      </c>
      <c r="G2116" s="6">
        <v>1.75</v>
      </c>
      <c r="H2116" s="7" t="s">
        <v>1606</v>
      </c>
      <c r="I2116" s="4" t="s">
        <v>1869</v>
      </c>
      <c r="J2116" s="4" t="s">
        <v>3486</v>
      </c>
      <c r="K2116" s="8"/>
      <c r="L2116" s="8" t="s">
        <v>33</v>
      </c>
      <c r="M2116" s="9">
        <f t="shared" si="1"/>
        <v>72</v>
      </c>
    </row>
    <row r="2117" ht="12.75" customHeight="1">
      <c r="A2117" s="4">
        <f t="shared" si="2"/>
        <v>2116</v>
      </c>
      <c r="B2117" s="4" t="s">
        <v>4622</v>
      </c>
      <c r="C2117" s="5" t="s">
        <v>4623</v>
      </c>
      <c r="D2117" s="4"/>
      <c r="E2117" s="4"/>
      <c r="F2117" s="4" t="s">
        <v>371</v>
      </c>
      <c r="G2117" s="6">
        <v>1.75</v>
      </c>
      <c r="H2117" s="7" t="s">
        <v>1606</v>
      </c>
      <c r="I2117" s="4" t="s">
        <v>1869</v>
      </c>
      <c r="J2117" s="4" t="s">
        <v>3486</v>
      </c>
      <c r="K2117" s="8"/>
      <c r="L2117" s="8" t="s">
        <v>33</v>
      </c>
      <c r="M2117" s="9">
        <f t="shared" si="1"/>
        <v>76</v>
      </c>
    </row>
    <row r="2118" ht="12.75" customHeight="1">
      <c r="A2118" s="4">
        <f t="shared" si="2"/>
        <v>2117</v>
      </c>
      <c r="B2118" s="4" t="s">
        <v>4624</v>
      </c>
      <c r="C2118" s="5" t="s">
        <v>4625</v>
      </c>
      <c r="D2118" s="4"/>
      <c r="E2118" s="4"/>
      <c r="F2118" s="4" t="s">
        <v>371</v>
      </c>
      <c r="G2118" s="21">
        <v>1.75</v>
      </c>
      <c r="H2118" s="7" t="s">
        <v>1606</v>
      </c>
      <c r="I2118" s="4" t="s">
        <v>1869</v>
      </c>
      <c r="J2118" s="4" t="s">
        <v>3486</v>
      </c>
      <c r="K2118" s="8"/>
      <c r="L2118" s="8" t="s">
        <v>33</v>
      </c>
      <c r="M2118" s="9">
        <f t="shared" si="1"/>
        <v>72</v>
      </c>
    </row>
    <row r="2119" ht="12.75" customHeight="1">
      <c r="A2119" s="4">
        <f t="shared" si="2"/>
        <v>2118</v>
      </c>
      <c r="B2119" s="4" t="s">
        <v>4626</v>
      </c>
      <c r="C2119" s="5" t="s">
        <v>4627</v>
      </c>
      <c r="D2119" s="4"/>
      <c r="E2119" s="4"/>
      <c r="F2119" s="4" t="s">
        <v>371</v>
      </c>
      <c r="G2119" s="21">
        <v>1.95</v>
      </c>
      <c r="H2119" s="7" t="s">
        <v>1606</v>
      </c>
      <c r="I2119" s="4" t="s">
        <v>1869</v>
      </c>
      <c r="J2119" s="4" t="s">
        <v>3486</v>
      </c>
      <c r="K2119" s="8"/>
      <c r="L2119" s="8" t="s">
        <v>33</v>
      </c>
      <c r="M2119" s="9">
        <f t="shared" si="1"/>
        <v>76</v>
      </c>
    </row>
    <row r="2120" ht="12.75" customHeight="1">
      <c r="A2120" s="4">
        <f t="shared" si="2"/>
        <v>2119</v>
      </c>
      <c r="B2120" s="4" t="s">
        <v>4628</v>
      </c>
      <c r="C2120" s="5" t="s">
        <v>4629</v>
      </c>
      <c r="D2120" s="4"/>
      <c r="E2120" s="4"/>
      <c r="F2120" s="4" t="s">
        <v>371</v>
      </c>
      <c r="G2120" s="21">
        <v>1.95</v>
      </c>
      <c r="H2120" s="7" t="s">
        <v>1606</v>
      </c>
      <c r="I2120" s="4" t="s">
        <v>1869</v>
      </c>
      <c r="J2120" s="4" t="s">
        <v>3486</v>
      </c>
      <c r="K2120" s="8"/>
      <c r="L2120" s="8" t="s">
        <v>33</v>
      </c>
      <c r="M2120" s="9">
        <f t="shared" si="1"/>
        <v>76</v>
      </c>
    </row>
    <row r="2121" ht="12.75" customHeight="1">
      <c r="A2121" s="4">
        <f t="shared" si="2"/>
        <v>2120</v>
      </c>
      <c r="B2121" s="4" t="s">
        <v>4630</v>
      </c>
      <c r="C2121" s="5" t="s">
        <v>4631</v>
      </c>
      <c r="D2121" s="4"/>
      <c r="E2121" s="4"/>
      <c r="F2121" s="4" t="s">
        <v>371</v>
      </c>
      <c r="G2121" s="21">
        <v>1.95</v>
      </c>
      <c r="H2121" s="7" t="s">
        <v>1606</v>
      </c>
      <c r="I2121" s="4" t="s">
        <v>1869</v>
      </c>
      <c r="J2121" s="4" t="s">
        <v>3486</v>
      </c>
      <c r="K2121" s="8"/>
      <c r="L2121" s="8" t="s">
        <v>33</v>
      </c>
      <c r="M2121" s="9">
        <f t="shared" si="1"/>
        <v>72</v>
      </c>
    </row>
    <row r="2122" ht="12.75" customHeight="1">
      <c r="A2122" s="4">
        <f t="shared" si="2"/>
        <v>2121</v>
      </c>
      <c r="B2122" s="4" t="s">
        <v>4632</v>
      </c>
      <c r="C2122" s="5" t="s">
        <v>4633</v>
      </c>
      <c r="D2122" s="4"/>
      <c r="E2122" s="4"/>
      <c r="F2122" s="4" t="s">
        <v>371</v>
      </c>
      <c r="G2122" s="6">
        <v>1.95</v>
      </c>
      <c r="H2122" s="7" t="s">
        <v>1606</v>
      </c>
      <c r="I2122" s="4" t="s">
        <v>1869</v>
      </c>
      <c r="J2122" s="4" t="s">
        <v>3486</v>
      </c>
      <c r="K2122" s="8"/>
      <c r="L2122" s="8" t="s">
        <v>33</v>
      </c>
      <c r="M2122" s="9">
        <f t="shared" si="1"/>
        <v>72</v>
      </c>
    </row>
    <row r="2123" ht="12.75" customHeight="1">
      <c r="A2123" s="4">
        <f t="shared" si="2"/>
        <v>2122</v>
      </c>
      <c r="B2123" s="4" t="s">
        <v>4634</v>
      </c>
      <c r="C2123" s="5" t="s">
        <v>4635</v>
      </c>
      <c r="D2123" s="4"/>
      <c r="E2123" s="4"/>
      <c r="F2123" s="4" t="s">
        <v>371</v>
      </c>
      <c r="G2123" s="6">
        <v>1.95</v>
      </c>
      <c r="H2123" s="7" t="s">
        <v>1606</v>
      </c>
      <c r="I2123" s="4" t="s">
        <v>1869</v>
      </c>
      <c r="J2123" s="4" t="s">
        <v>3486</v>
      </c>
      <c r="K2123" s="8"/>
      <c r="L2123" s="8" t="s">
        <v>33</v>
      </c>
      <c r="M2123" s="9">
        <f t="shared" si="1"/>
        <v>72</v>
      </c>
    </row>
    <row r="2124" ht="12.75" customHeight="1">
      <c r="A2124" s="4">
        <f t="shared" si="2"/>
        <v>2123</v>
      </c>
      <c r="B2124" s="4" t="s">
        <v>4636</v>
      </c>
      <c r="C2124" s="5" t="s">
        <v>4637</v>
      </c>
      <c r="D2124" s="4"/>
      <c r="E2124" s="4"/>
      <c r="F2124" s="4" t="s">
        <v>371</v>
      </c>
      <c r="G2124" s="6">
        <v>0.75</v>
      </c>
      <c r="H2124" s="7" t="s">
        <v>1606</v>
      </c>
      <c r="I2124" s="4" t="s">
        <v>1869</v>
      </c>
      <c r="J2124" s="4" t="s">
        <v>3486</v>
      </c>
      <c r="K2124" s="8"/>
      <c r="L2124" s="8" t="s">
        <v>33</v>
      </c>
      <c r="M2124" s="9">
        <f t="shared" si="1"/>
        <v>77</v>
      </c>
    </row>
    <row r="2125" ht="12.75" customHeight="1">
      <c r="A2125" s="4">
        <f t="shared" si="2"/>
        <v>2124</v>
      </c>
      <c r="B2125" s="4" t="s">
        <v>4638</v>
      </c>
      <c r="C2125" s="5" t="s">
        <v>4639</v>
      </c>
      <c r="D2125" s="4"/>
      <c r="E2125" s="4"/>
      <c r="F2125" s="4" t="s">
        <v>371</v>
      </c>
      <c r="G2125" s="6">
        <v>0.75</v>
      </c>
      <c r="H2125" s="7" t="s">
        <v>1606</v>
      </c>
      <c r="I2125" s="4" t="s">
        <v>1869</v>
      </c>
      <c r="J2125" s="4" t="s">
        <v>3486</v>
      </c>
      <c r="K2125" s="8"/>
      <c r="L2125" s="8" t="s">
        <v>33</v>
      </c>
      <c r="M2125" s="9">
        <f t="shared" si="1"/>
        <v>73</v>
      </c>
    </row>
    <row r="2126" ht="12.75" customHeight="1">
      <c r="A2126" s="4">
        <f t="shared" si="2"/>
        <v>2125</v>
      </c>
      <c r="B2126" s="4" t="s">
        <v>4640</v>
      </c>
      <c r="C2126" s="5" t="s">
        <v>4641</v>
      </c>
      <c r="D2126" s="4"/>
      <c r="E2126" s="4"/>
      <c r="F2126" s="4" t="s">
        <v>371</v>
      </c>
      <c r="G2126" s="6">
        <v>0.75</v>
      </c>
      <c r="H2126" s="7" t="s">
        <v>1606</v>
      </c>
      <c r="I2126" s="4" t="s">
        <v>1869</v>
      </c>
      <c r="J2126" s="4" t="s">
        <v>3486</v>
      </c>
      <c r="K2126" s="8"/>
      <c r="L2126" s="8" t="s">
        <v>33</v>
      </c>
      <c r="M2126" s="9">
        <f t="shared" si="1"/>
        <v>77</v>
      </c>
    </row>
    <row r="2127" ht="12.75" customHeight="1">
      <c r="A2127" s="4">
        <f t="shared" si="2"/>
        <v>2126</v>
      </c>
      <c r="B2127" s="4" t="s">
        <v>4642</v>
      </c>
      <c r="C2127" s="5" t="s">
        <v>4643</v>
      </c>
      <c r="D2127" s="4"/>
      <c r="E2127" s="4"/>
      <c r="F2127" s="4" t="s">
        <v>371</v>
      </c>
      <c r="G2127" s="21">
        <v>0.75</v>
      </c>
      <c r="H2127" s="7" t="s">
        <v>1606</v>
      </c>
      <c r="I2127" s="4" t="s">
        <v>1869</v>
      </c>
      <c r="J2127" s="4" t="s">
        <v>3486</v>
      </c>
      <c r="K2127" s="8"/>
      <c r="L2127" s="8" t="s">
        <v>33</v>
      </c>
      <c r="M2127" s="9">
        <f t="shared" si="1"/>
        <v>73</v>
      </c>
    </row>
    <row r="2128" ht="12.75" customHeight="1">
      <c r="A2128" s="4">
        <f t="shared" si="2"/>
        <v>2127</v>
      </c>
      <c r="B2128" s="4" t="s">
        <v>4644</v>
      </c>
      <c r="C2128" s="5" t="s">
        <v>4645</v>
      </c>
      <c r="D2128" s="4"/>
      <c r="E2128" s="4"/>
      <c r="F2128" s="4" t="s">
        <v>371</v>
      </c>
      <c r="G2128" s="21">
        <v>0.75</v>
      </c>
      <c r="H2128" s="7" t="s">
        <v>1606</v>
      </c>
      <c r="I2128" s="4" t="s">
        <v>1869</v>
      </c>
      <c r="J2128" s="4" t="s">
        <v>3486</v>
      </c>
      <c r="K2128" s="8"/>
      <c r="L2128" s="8" t="s">
        <v>33</v>
      </c>
      <c r="M2128" s="9">
        <f t="shared" si="1"/>
        <v>77</v>
      </c>
    </row>
    <row r="2129" ht="12.75" customHeight="1">
      <c r="A2129" s="4">
        <f t="shared" si="2"/>
        <v>2128</v>
      </c>
      <c r="B2129" s="4" t="s">
        <v>4646</v>
      </c>
      <c r="C2129" s="5" t="s">
        <v>4647</v>
      </c>
      <c r="D2129" s="4"/>
      <c r="E2129" s="4"/>
      <c r="F2129" s="4" t="s">
        <v>371</v>
      </c>
      <c r="G2129" s="21">
        <v>0.75</v>
      </c>
      <c r="H2129" s="7" t="s">
        <v>1606</v>
      </c>
      <c r="I2129" s="4" t="s">
        <v>1869</v>
      </c>
      <c r="J2129" s="4" t="s">
        <v>3486</v>
      </c>
      <c r="K2129" s="8"/>
      <c r="L2129" s="8" t="s">
        <v>33</v>
      </c>
      <c r="M2129" s="9">
        <f t="shared" si="1"/>
        <v>73</v>
      </c>
    </row>
    <row r="2130" ht="12.75" customHeight="1">
      <c r="A2130" s="4">
        <f t="shared" si="2"/>
        <v>2129</v>
      </c>
      <c r="B2130" s="4" t="s">
        <v>4648</v>
      </c>
      <c r="C2130" s="5" t="s">
        <v>4649</v>
      </c>
      <c r="D2130" s="4"/>
      <c r="E2130" s="4"/>
      <c r="F2130" s="4" t="s">
        <v>371</v>
      </c>
      <c r="G2130" s="6">
        <v>0.75</v>
      </c>
      <c r="H2130" s="7" t="s">
        <v>1606</v>
      </c>
      <c r="I2130" s="4" t="s">
        <v>1869</v>
      </c>
      <c r="J2130" s="4" t="s">
        <v>3486</v>
      </c>
      <c r="K2130" s="8"/>
      <c r="L2130" s="8" t="s">
        <v>33</v>
      </c>
      <c r="M2130" s="9">
        <f t="shared" si="1"/>
        <v>73</v>
      </c>
    </row>
    <row r="2131" ht="12.75" customHeight="1">
      <c r="A2131" s="4">
        <f t="shared" si="2"/>
        <v>2130</v>
      </c>
      <c r="B2131" s="4" t="s">
        <v>4650</v>
      </c>
      <c r="C2131" s="5" t="s">
        <v>4651</v>
      </c>
      <c r="D2131" s="4"/>
      <c r="E2131" s="4"/>
      <c r="F2131" s="4" t="s">
        <v>371</v>
      </c>
      <c r="G2131" s="6">
        <v>1.62</v>
      </c>
      <c r="H2131" s="7" t="s">
        <v>1606</v>
      </c>
      <c r="I2131" s="4" t="s">
        <v>1869</v>
      </c>
      <c r="J2131" s="4" t="s">
        <v>3486</v>
      </c>
      <c r="K2131" s="8"/>
      <c r="L2131" s="8" t="s">
        <v>33</v>
      </c>
      <c r="M2131" s="9">
        <f t="shared" si="1"/>
        <v>76</v>
      </c>
    </row>
    <row r="2132" ht="12.75" customHeight="1">
      <c r="A2132" s="4">
        <f t="shared" si="2"/>
        <v>2131</v>
      </c>
      <c r="B2132" s="4" t="s">
        <v>4652</v>
      </c>
      <c r="C2132" s="5" t="s">
        <v>4653</v>
      </c>
      <c r="D2132" s="4"/>
      <c r="E2132" s="4"/>
      <c r="F2132" s="4" t="s">
        <v>371</v>
      </c>
      <c r="G2132" s="6">
        <v>1.62</v>
      </c>
      <c r="H2132" s="7" t="s">
        <v>1606</v>
      </c>
      <c r="I2132" s="4" t="s">
        <v>1869</v>
      </c>
      <c r="J2132" s="4" t="s">
        <v>3486</v>
      </c>
      <c r="K2132" s="8"/>
      <c r="L2132" s="8" t="s">
        <v>33</v>
      </c>
      <c r="M2132" s="9">
        <f t="shared" si="1"/>
        <v>72</v>
      </c>
    </row>
    <row r="2133" ht="12.75" customHeight="1">
      <c r="A2133" s="4">
        <f t="shared" si="2"/>
        <v>2132</v>
      </c>
      <c r="B2133" s="4" t="s">
        <v>4654</v>
      </c>
      <c r="C2133" s="5" t="s">
        <v>4655</v>
      </c>
      <c r="D2133" s="4"/>
      <c r="E2133" s="4"/>
      <c r="F2133" s="4" t="s">
        <v>371</v>
      </c>
      <c r="G2133" s="6">
        <v>1.62</v>
      </c>
      <c r="H2133" s="7" t="s">
        <v>1606</v>
      </c>
      <c r="I2133" s="4" t="s">
        <v>1869</v>
      </c>
      <c r="J2133" s="4" t="s">
        <v>3486</v>
      </c>
      <c r="K2133" s="8"/>
      <c r="L2133" s="8" t="s">
        <v>33</v>
      </c>
      <c r="M2133" s="9">
        <f t="shared" si="1"/>
        <v>76</v>
      </c>
    </row>
    <row r="2134" ht="12.75" customHeight="1">
      <c r="A2134" s="4">
        <f t="shared" si="2"/>
        <v>2133</v>
      </c>
      <c r="B2134" s="4" t="s">
        <v>4656</v>
      </c>
      <c r="C2134" s="5" t="s">
        <v>4657</v>
      </c>
      <c r="D2134" s="4"/>
      <c r="E2134" s="4"/>
      <c r="F2134" s="4" t="s">
        <v>371</v>
      </c>
      <c r="G2134" s="21">
        <v>1.62</v>
      </c>
      <c r="H2134" s="7" t="s">
        <v>1606</v>
      </c>
      <c r="I2134" s="4" t="s">
        <v>1869</v>
      </c>
      <c r="J2134" s="4" t="s">
        <v>3486</v>
      </c>
      <c r="K2134" s="8"/>
      <c r="L2134" s="8" t="s">
        <v>33</v>
      </c>
      <c r="M2134" s="9">
        <f t="shared" si="1"/>
        <v>72</v>
      </c>
    </row>
    <row r="2135" ht="12.75" customHeight="1">
      <c r="A2135" s="4">
        <f t="shared" si="2"/>
        <v>2134</v>
      </c>
      <c r="B2135" s="4" t="s">
        <v>4658</v>
      </c>
      <c r="C2135" s="5" t="s">
        <v>4659</v>
      </c>
      <c r="D2135" s="4"/>
      <c r="E2135" s="4"/>
      <c r="F2135" s="4" t="s">
        <v>371</v>
      </c>
      <c r="G2135" s="6">
        <v>1.72</v>
      </c>
      <c r="H2135" s="7" t="s">
        <v>1606</v>
      </c>
      <c r="I2135" s="4" t="s">
        <v>1869</v>
      </c>
      <c r="J2135" s="4" t="s">
        <v>3486</v>
      </c>
      <c r="K2135" s="8"/>
      <c r="L2135" s="8" t="s">
        <v>33</v>
      </c>
      <c r="M2135" s="9">
        <f t="shared" si="1"/>
        <v>72</v>
      </c>
    </row>
    <row r="2136" ht="12.75" customHeight="1">
      <c r="A2136" s="4">
        <f t="shared" si="2"/>
        <v>2135</v>
      </c>
      <c r="B2136" s="4" t="s">
        <v>4660</v>
      </c>
      <c r="C2136" s="5" t="s">
        <v>4661</v>
      </c>
      <c r="D2136" s="4"/>
      <c r="E2136" s="4"/>
      <c r="F2136" s="4" t="s">
        <v>371</v>
      </c>
      <c r="G2136" s="6">
        <v>1.46</v>
      </c>
      <c r="H2136" s="7" t="s">
        <v>1606</v>
      </c>
      <c r="I2136" s="4" t="s">
        <v>1869</v>
      </c>
      <c r="J2136" s="4" t="s">
        <v>4662</v>
      </c>
      <c r="K2136" s="8"/>
      <c r="L2136" s="8" t="s">
        <v>33</v>
      </c>
      <c r="M2136" s="9">
        <f t="shared" si="1"/>
        <v>80</v>
      </c>
    </row>
    <row r="2137" ht="12.75" customHeight="1">
      <c r="A2137" s="4">
        <f t="shared" si="2"/>
        <v>2136</v>
      </c>
      <c r="B2137" s="4" t="s">
        <v>4663</v>
      </c>
      <c r="C2137" s="5" t="s">
        <v>4664</v>
      </c>
      <c r="D2137" s="4"/>
      <c r="E2137" s="4"/>
      <c r="F2137" s="4" t="s">
        <v>371</v>
      </c>
      <c r="G2137" s="6">
        <v>1.46</v>
      </c>
      <c r="H2137" s="7" t="s">
        <v>1606</v>
      </c>
      <c r="I2137" s="4" t="s">
        <v>1869</v>
      </c>
      <c r="J2137" s="4" t="s">
        <v>4662</v>
      </c>
      <c r="K2137" s="8"/>
      <c r="L2137" s="8" t="s">
        <v>33</v>
      </c>
      <c r="M2137" s="9">
        <f t="shared" si="1"/>
        <v>80</v>
      </c>
    </row>
    <row r="2138" ht="12.75" customHeight="1">
      <c r="A2138" s="4">
        <f t="shared" si="2"/>
        <v>2137</v>
      </c>
      <c r="B2138" s="4" t="s">
        <v>4665</v>
      </c>
      <c r="C2138" s="5" t="s">
        <v>4666</v>
      </c>
      <c r="D2138" s="4"/>
      <c r="E2138" s="4"/>
      <c r="F2138" s="4" t="s">
        <v>371</v>
      </c>
      <c r="G2138" s="6">
        <v>1.46</v>
      </c>
      <c r="H2138" s="7" t="s">
        <v>1606</v>
      </c>
      <c r="I2138" s="4" t="s">
        <v>1869</v>
      </c>
      <c r="J2138" s="4" t="s">
        <v>4662</v>
      </c>
      <c r="K2138" s="8"/>
      <c r="L2138" s="8" t="s">
        <v>33</v>
      </c>
      <c r="M2138" s="9">
        <f t="shared" si="1"/>
        <v>80</v>
      </c>
    </row>
    <row r="2139" ht="12.75" customHeight="1">
      <c r="A2139" s="4">
        <f t="shared" si="2"/>
        <v>2138</v>
      </c>
      <c r="B2139" s="4" t="s">
        <v>4667</v>
      </c>
      <c r="C2139" s="5" t="s">
        <v>4668</v>
      </c>
      <c r="D2139" s="4"/>
      <c r="E2139" s="4"/>
      <c r="F2139" s="4" t="s">
        <v>371</v>
      </c>
      <c r="G2139" s="6">
        <v>1.46</v>
      </c>
      <c r="H2139" s="7" t="s">
        <v>1606</v>
      </c>
      <c r="I2139" s="4" t="s">
        <v>1869</v>
      </c>
      <c r="J2139" s="4" t="s">
        <v>4662</v>
      </c>
      <c r="K2139" s="8"/>
      <c r="L2139" s="8" t="s">
        <v>33</v>
      </c>
      <c r="M2139" s="9">
        <f t="shared" si="1"/>
        <v>76</v>
      </c>
    </row>
    <row r="2140" ht="12.75" customHeight="1">
      <c r="A2140" s="4">
        <f t="shared" si="2"/>
        <v>2139</v>
      </c>
      <c r="B2140" s="4" t="s">
        <v>4669</v>
      </c>
      <c r="C2140" s="5" t="s">
        <v>4670</v>
      </c>
      <c r="D2140" s="4"/>
      <c r="E2140" s="4"/>
      <c r="F2140" s="4" t="s">
        <v>371</v>
      </c>
      <c r="G2140" s="6">
        <v>1.61</v>
      </c>
      <c r="H2140" s="7" t="s">
        <v>1606</v>
      </c>
      <c r="I2140" s="4" t="s">
        <v>1869</v>
      </c>
      <c r="J2140" s="4" t="s">
        <v>4662</v>
      </c>
      <c r="K2140" s="8"/>
      <c r="L2140" s="8" t="s">
        <v>33</v>
      </c>
      <c r="M2140" s="9">
        <f t="shared" si="1"/>
        <v>80</v>
      </c>
    </row>
    <row r="2141" ht="12.75" customHeight="1">
      <c r="A2141" s="4">
        <f t="shared" si="2"/>
        <v>2140</v>
      </c>
      <c r="B2141" s="4" t="s">
        <v>4671</v>
      </c>
      <c r="C2141" s="5" t="s">
        <v>4672</v>
      </c>
      <c r="D2141" s="4"/>
      <c r="E2141" s="4"/>
      <c r="F2141" s="4" t="s">
        <v>371</v>
      </c>
      <c r="G2141" s="6">
        <v>1.61</v>
      </c>
      <c r="H2141" s="7" t="s">
        <v>1606</v>
      </c>
      <c r="I2141" s="4" t="s">
        <v>1869</v>
      </c>
      <c r="J2141" s="4" t="s">
        <v>4662</v>
      </c>
      <c r="K2141" s="8"/>
      <c r="L2141" s="8" t="s">
        <v>33</v>
      </c>
      <c r="M2141" s="9">
        <f t="shared" si="1"/>
        <v>76</v>
      </c>
    </row>
    <row r="2142" ht="12.75" customHeight="1">
      <c r="A2142" s="4">
        <f t="shared" si="2"/>
        <v>2141</v>
      </c>
      <c r="B2142" s="4" t="s">
        <v>4673</v>
      </c>
      <c r="C2142" s="5" t="s">
        <v>4674</v>
      </c>
      <c r="D2142" s="4"/>
      <c r="E2142" s="4"/>
      <c r="F2142" s="4" t="s">
        <v>371</v>
      </c>
      <c r="G2142" s="6">
        <v>1.61</v>
      </c>
      <c r="H2142" s="7" t="s">
        <v>1606</v>
      </c>
      <c r="I2142" s="4" t="s">
        <v>1869</v>
      </c>
      <c r="J2142" s="4" t="s">
        <v>4662</v>
      </c>
      <c r="K2142" s="8"/>
      <c r="L2142" s="8" t="s">
        <v>33</v>
      </c>
      <c r="M2142" s="9">
        <f t="shared" si="1"/>
        <v>76</v>
      </c>
    </row>
    <row r="2143" ht="12.75" customHeight="1">
      <c r="A2143" s="4">
        <f t="shared" si="2"/>
        <v>2142</v>
      </c>
      <c r="B2143" s="4" t="s">
        <v>4675</v>
      </c>
      <c r="C2143" s="5" t="s">
        <v>4676</v>
      </c>
      <c r="D2143" s="4"/>
      <c r="E2143" s="4"/>
      <c r="F2143" s="4" t="s">
        <v>371</v>
      </c>
      <c r="G2143" s="6">
        <v>1.75</v>
      </c>
      <c r="H2143" s="7" t="s">
        <v>1606</v>
      </c>
      <c r="I2143" s="4" t="s">
        <v>1869</v>
      </c>
      <c r="J2143" s="4" t="s">
        <v>4662</v>
      </c>
      <c r="K2143" s="8"/>
      <c r="L2143" s="8" t="s">
        <v>33</v>
      </c>
      <c r="M2143" s="9">
        <f t="shared" si="1"/>
        <v>76</v>
      </c>
    </row>
    <row r="2144" ht="12.75" customHeight="1">
      <c r="A2144" s="4">
        <f t="shared" si="2"/>
        <v>2143</v>
      </c>
      <c r="B2144" s="4" t="s">
        <v>4677</v>
      </c>
      <c r="C2144" s="5" t="s">
        <v>4678</v>
      </c>
      <c r="D2144" s="4"/>
      <c r="E2144" s="4"/>
      <c r="F2144" s="4" t="s">
        <v>371</v>
      </c>
      <c r="G2144" s="6">
        <v>0.15</v>
      </c>
      <c r="H2144" s="7" t="s">
        <v>1606</v>
      </c>
      <c r="I2144" s="4" t="s">
        <v>1869</v>
      </c>
      <c r="J2144" s="4" t="s">
        <v>4662</v>
      </c>
      <c r="K2144" s="8"/>
      <c r="L2144" s="8" t="s">
        <v>33</v>
      </c>
      <c r="M2144" s="9">
        <f t="shared" si="1"/>
        <v>80</v>
      </c>
    </row>
    <row r="2145" ht="12.75" customHeight="1">
      <c r="A2145" s="4">
        <f t="shared" si="2"/>
        <v>2144</v>
      </c>
      <c r="B2145" s="4" t="s">
        <v>4679</v>
      </c>
      <c r="C2145" s="5" t="s">
        <v>4680</v>
      </c>
      <c r="D2145" s="4"/>
      <c r="E2145" s="4"/>
      <c r="F2145" s="4" t="s">
        <v>371</v>
      </c>
      <c r="G2145" s="6">
        <v>0.15</v>
      </c>
      <c r="H2145" s="7" t="s">
        <v>1606</v>
      </c>
      <c r="I2145" s="4" t="s">
        <v>1869</v>
      </c>
      <c r="J2145" s="4" t="s">
        <v>4662</v>
      </c>
      <c r="K2145" s="8"/>
      <c r="L2145" s="8" t="s">
        <v>33</v>
      </c>
      <c r="M2145" s="9">
        <f t="shared" si="1"/>
        <v>80</v>
      </c>
    </row>
    <row r="2146" ht="12.75" customHeight="1">
      <c r="A2146" s="4">
        <f t="shared" si="2"/>
        <v>2145</v>
      </c>
      <c r="B2146" s="4" t="s">
        <v>4681</v>
      </c>
      <c r="C2146" s="5" t="s">
        <v>4682</v>
      </c>
      <c r="D2146" s="4"/>
      <c r="E2146" s="4"/>
      <c r="F2146" s="4" t="s">
        <v>371</v>
      </c>
      <c r="G2146" s="6">
        <v>0.15</v>
      </c>
      <c r="H2146" s="7" t="s">
        <v>1606</v>
      </c>
      <c r="I2146" s="4" t="s">
        <v>1869</v>
      </c>
      <c r="J2146" s="4" t="s">
        <v>4662</v>
      </c>
      <c r="K2146" s="8"/>
      <c r="L2146" s="8" t="s">
        <v>33</v>
      </c>
      <c r="M2146" s="9">
        <f t="shared" si="1"/>
        <v>76</v>
      </c>
    </row>
    <row r="2147" ht="12.75" customHeight="1">
      <c r="A2147" s="4">
        <f t="shared" si="2"/>
        <v>2146</v>
      </c>
      <c r="B2147" s="4" t="s">
        <v>4683</v>
      </c>
      <c r="C2147" s="5" t="s">
        <v>4684</v>
      </c>
      <c r="D2147" s="4"/>
      <c r="E2147" s="4"/>
      <c r="F2147" s="4" t="s">
        <v>371</v>
      </c>
      <c r="G2147" s="6">
        <v>0.19</v>
      </c>
      <c r="H2147" s="7" t="s">
        <v>1606</v>
      </c>
      <c r="I2147" s="4" t="s">
        <v>1869</v>
      </c>
      <c r="J2147" s="4" t="s">
        <v>4662</v>
      </c>
      <c r="K2147" s="8"/>
      <c r="L2147" s="8" t="s">
        <v>33</v>
      </c>
      <c r="M2147" s="9">
        <f t="shared" si="1"/>
        <v>78</v>
      </c>
    </row>
    <row r="2148" ht="12.75" customHeight="1">
      <c r="A2148" s="4">
        <f t="shared" si="2"/>
        <v>2147</v>
      </c>
      <c r="B2148" s="4" t="s">
        <v>4685</v>
      </c>
      <c r="C2148" s="5" t="s">
        <v>4686</v>
      </c>
      <c r="D2148" s="4"/>
      <c r="E2148" s="4"/>
      <c r="F2148" s="4" t="s">
        <v>371</v>
      </c>
      <c r="G2148" s="6">
        <v>0.2</v>
      </c>
      <c r="H2148" s="7" t="s">
        <v>1606</v>
      </c>
      <c r="I2148" s="4" t="s">
        <v>1869</v>
      </c>
      <c r="J2148" s="4" t="s">
        <v>4662</v>
      </c>
      <c r="K2148" s="8"/>
      <c r="L2148" s="8" t="s">
        <v>33</v>
      </c>
      <c r="M2148" s="9">
        <f t="shared" si="1"/>
        <v>80</v>
      </c>
    </row>
    <row r="2149" ht="12.75" customHeight="1">
      <c r="A2149" s="4">
        <f t="shared" si="2"/>
        <v>2148</v>
      </c>
      <c r="B2149" s="4" t="s">
        <v>4687</v>
      </c>
      <c r="C2149" s="5" t="s">
        <v>4688</v>
      </c>
      <c r="D2149" s="4"/>
      <c r="E2149" s="4"/>
      <c r="F2149" s="4" t="s">
        <v>371</v>
      </c>
      <c r="G2149" s="6">
        <v>0.2</v>
      </c>
      <c r="H2149" s="7" t="s">
        <v>1606</v>
      </c>
      <c r="I2149" s="4" t="s">
        <v>1869</v>
      </c>
      <c r="J2149" s="4" t="s">
        <v>4662</v>
      </c>
      <c r="K2149" s="8"/>
      <c r="L2149" s="8" t="s">
        <v>33</v>
      </c>
      <c r="M2149" s="9">
        <f t="shared" si="1"/>
        <v>76</v>
      </c>
    </row>
    <row r="2150" ht="12.75" customHeight="1">
      <c r="A2150" s="4">
        <f t="shared" si="2"/>
        <v>2149</v>
      </c>
      <c r="B2150" s="4" t="s">
        <v>4689</v>
      </c>
      <c r="C2150" s="5" t="s">
        <v>4690</v>
      </c>
      <c r="D2150" s="4"/>
      <c r="E2150" s="4"/>
      <c r="F2150" s="4" t="s">
        <v>371</v>
      </c>
      <c r="G2150" s="6">
        <v>0.2</v>
      </c>
      <c r="H2150" s="7" t="s">
        <v>1606</v>
      </c>
      <c r="I2150" s="4" t="s">
        <v>1869</v>
      </c>
      <c r="J2150" s="4" t="s">
        <v>4662</v>
      </c>
      <c r="K2150" s="8"/>
      <c r="L2150" s="8" t="s">
        <v>33</v>
      </c>
      <c r="M2150" s="9">
        <f t="shared" si="1"/>
        <v>76</v>
      </c>
    </row>
    <row r="2151" ht="12.75" customHeight="1">
      <c r="A2151" s="4">
        <f t="shared" si="2"/>
        <v>2150</v>
      </c>
      <c r="B2151" s="4" t="s">
        <v>4691</v>
      </c>
      <c r="C2151" s="5" t="s">
        <v>4692</v>
      </c>
      <c r="D2151" s="4"/>
      <c r="E2151" s="4"/>
      <c r="F2151" s="4" t="s">
        <v>371</v>
      </c>
      <c r="G2151" s="6">
        <v>0.2</v>
      </c>
      <c r="H2151" s="7" t="s">
        <v>1606</v>
      </c>
      <c r="I2151" s="4" t="s">
        <v>1869</v>
      </c>
      <c r="J2151" s="4" t="s">
        <v>4662</v>
      </c>
      <c r="K2151" s="8"/>
      <c r="L2151" s="8" t="s">
        <v>33</v>
      </c>
      <c r="M2151" s="9">
        <f t="shared" si="1"/>
        <v>78</v>
      </c>
    </row>
    <row r="2152" ht="12.75" customHeight="1">
      <c r="A2152" s="4">
        <f t="shared" si="2"/>
        <v>2151</v>
      </c>
      <c r="B2152" s="4" t="s">
        <v>4693</v>
      </c>
      <c r="C2152" s="5" t="s">
        <v>4694</v>
      </c>
      <c r="D2152" s="4"/>
      <c r="E2152" s="4"/>
      <c r="F2152" s="4" t="s">
        <v>371</v>
      </c>
      <c r="G2152" s="6">
        <v>2.78</v>
      </c>
      <c r="H2152" s="7" t="s">
        <v>1606</v>
      </c>
      <c r="I2152" s="4" t="s">
        <v>1869</v>
      </c>
      <c r="J2152" s="4" t="s">
        <v>4662</v>
      </c>
      <c r="K2152" s="8"/>
      <c r="L2152" s="8" t="s">
        <v>33</v>
      </c>
      <c r="M2152" s="9">
        <f t="shared" si="1"/>
        <v>80</v>
      </c>
    </row>
    <row r="2153" ht="12.75" customHeight="1">
      <c r="A2153" s="4">
        <f t="shared" si="2"/>
        <v>2152</v>
      </c>
      <c r="B2153" s="4" t="s">
        <v>4695</v>
      </c>
      <c r="C2153" s="5" t="s">
        <v>4696</v>
      </c>
      <c r="D2153" s="4"/>
      <c r="E2153" s="4"/>
      <c r="F2153" s="4" t="s">
        <v>371</v>
      </c>
      <c r="G2153" s="6">
        <v>2.78</v>
      </c>
      <c r="H2153" s="7" t="s">
        <v>1606</v>
      </c>
      <c r="I2153" s="4" t="s">
        <v>1869</v>
      </c>
      <c r="J2153" s="4" t="s">
        <v>4662</v>
      </c>
      <c r="K2153" s="8"/>
      <c r="L2153" s="8" t="s">
        <v>33</v>
      </c>
      <c r="M2153" s="9">
        <f t="shared" si="1"/>
        <v>80</v>
      </c>
    </row>
    <row r="2154" ht="12.75" customHeight="1">
      <c r="A2154" s="4">
        <f t="shared" si="2"/>
        <v>2153</v>
      </c>
      <c r="B2154" s="4" t="s">
        <v>4697</v>
      </c>
      <c r="C2154" s="5" t="s">
        <v>4698</v>
      </c>
      <c r="D2154" s="4"/>
      <c r="E2154" s="4"/>
      <c r="F2154" s="4" t="s">
        <v>371</v>
      </c>
      <c r="G2154" s="6">
        <v>2.78</v>
      </c>
      <c r="H2154" s="7" t="s">
        <v>1606</v>
      </c>
      <c r="I2154" s="4" t="s">
        <v>1869</v>
      </c>
      <c r="J2154" s="4" t="s">
        <v>4662</v>
      </c>
      <c r="K2154" s="8"/>
      <c r="L2154" s="8" t="s">
        <v>33</v>
      </c>
      <c r="M2154" s="9">
        <f t="shared" si="1"/>
        <v>76</v>
      </c>
    </row>
    <row r="2155" ht="12.75" customHeight="1">
      <c r="A2155" s="4">
        <f t="shared" si="2"/>
        <v>2154</v>
      </c>
      <c r="B2155" s="4" t="s">
        <v>4699</v>
      </c>
      <c r="C2155" s="5" t="s">
        <v>4700</v>
      </c>
      <c r="D2155" s="4"/>
      <c r="E2155" s="4"/>
      <c r="F2155" s="4" t="s">
        <v>371</v>
      </c>
      <c r="G2155" s="6">
        <v>2.85</v>
      </c>
      <c r="H2155" s="7" t="s">
        <v>1606</v>
      </c>
      <c r="I2155" s="4" t="s">
        <v>1869</v>
      </c>
      <c r="J2155" s="4" t="s">
        <v>4662</v>
      </c>
      <c r="K2155" s="8"/>
      <c r="L2155" s="8" t="s">
        <v>33</v>
      </c>
      <c r="M2155" s="9">
        <f t="shared" si="1"/>
        <v>80</v>
      </c>
    </row>
    <row r="2156" ht="12.75" customHeight="1">
      <c r="A2156" s="4">
        <f t="shared" si="2"/>
        <v>2155</v>
      </c>
      <c r="B2156" s="4" t="s">
        <v>4701</v>
      </c>
      <c r="C2156" s="5" t="s">
        <v>4702</v>
      </c>
      <c r="D2156" s="4"/>
      <c r="E2156" s="4"/>
      <c r="F2156" s="4" t="s">
        <v>371</v>
      </c>
      <c r="G2156" s="6">
        <v>2.78</v>
      </c>
      <c r="H2156" s="7" t="s">
        <v>1606</v>
      </c>
      <c r="I2156" s="4" t="s">
        <v>1869</v>
      </c>
      <c r="J2156" s="4" t="s">
        <v>4662</v>
      </c>
      <c r="K2156" s="8"/>
      <c r="L2156" s="8" t="s">
        <v>33</v>
      </c>
      <c r="M2156" s="9">
        <f t="shared" si="1"/>
        <v>76</v>
      </c>
    </row>
    <row r="2157" ht="12.75" customHeight="1">
      <c r="A2157" s="4">
        <f t="shared" si="2"/>
        <v>2156</v>
      </c>
      <c r="B2157" s="4" t="s">
        <v>4703</v>
      </c>
      <c r="C2157" s="5" t="s">
        <v>4704</v>
      </c>
      <c r="D2157" s="4"/>
      <c r="E2157" s="4"/>
      <c r="F2157" s="4" t="s">
        <v>371</v>
      </c>
      <c r="G2157" s="6">
        <v>2.93</v>
      </c>
      <c r="H2157" s="7" t="s">
        <v>1606</v>
      </c>
      <c r="I2157" s="4" t="s">
        <v>1869</v>
      </c>
      <c r="J2157" s="4" t="s">
        <v>4662</v>
      </c>
      <c r="K2157" s="8"/>
      <c r="L2157" s="8" t="s">
        <v>33</v>
      </c>
      <c r="M2157" s="9">
        <f t="shared" si="1"/>
        <v>80</v>
      </c>
    </row>
    <row r="2158" ht="12.75" customHeight="1">
      <c r="A2158" s="4">
        <f t="shared" si="2"/>
        <v>2157</v>
      </c>
      <c r="B2158" s="4" t="s">
        <v>4705</v>
      </c>
      <c r="C2158" s="5" t="s">
        <v>4706</v>
      </c>
      <c r="D2158" s="4"/>
      <c r="E2158" s="4"/>
      <c r="F2158" s="4" t="s">
        <v>371</v>
      </c>
      <c r="G2158" s="6">
        <v>2.95</v>
      </c>
      <c r="H2158" s="7" t="s">
        <v>1606</v>
      </c>
      <c r="I2158" s="4" t="s">
        <v>1869</v>
      </c>
      <c r="J2158" s="4" t="s">
        <v>4662</v>
      </c>
      <c r="K2158" s="8"/>
      <c r="L2158" s="8" t="s">
        <v>33</v>
      </c>
      <c r="M2158" s="9">
        <f t="shared" si="1"/>
        <v>76</v>
      </c>
    </row>
    <row r="2159" ht="12.75" customHeight="1">
      <c r="A2159" s="4">
        <f t="shared" si="2"/>
        <v>2158</v>
      </c>
      <c r="B2159" s="4" t="s">
        <v>4707</v>
      </c>
      <c r="C2159" s="5" t="s">
        <v>4708</v>
      </c>
      <c r="D2159" s="4"/>
      <c r="E2159" s="4"/>
      <c r="F2159" s="4" t="s">
        <v>371</v>
      </c>
      <c r="G2159" s="6">
        <v>3.1</v>
      </c>
      <c r="H2159" s="7" t="s">
        <v>1606</v>
      </c>
      <c r="I2159" s="4" t="s">
        <v>1869</v>
      </c>
      <c r="J2159" s="4" t="s">
        <v>4662</v>
      </c>
      <c r="K2159" s="8"/>
      <c r="L2159" s="8" t="s">
        <v>33</v>
      </c>
      <c r="M2159" s="9">
        <f t="shared" si="1"/>
        <v>76</v>
      </c>
    </row>
    <row r="2160" ht="12.75" customHeight="1">
      <c r="A2160" s="4">
        <f t="shared" si="2"/>
        <v>2159</v>
      </c>
      <c r="B2160" s="4" t="s">
        <v>4709</v>
      </c>
      <c r="C2160" s="5" t="s">
        <v>4710</v>
      </c>
      <c r="D2160" s="4"/>
      <c r="E2160" s="4"/>
      <c r="F2160" s="4" t="s">
        <v>371</v>
      </c>
      <c r="G2160" s="6">
        <v>0.24</v>
      </c>
      <c r="H2160" s="7" t="s">
        <v>1606</v>
      </c>
      <c r="I2160" s="4" t="s">
        <v>1869</v>
      </c>
      <c r="J2160" s="4" t="s">
        <v>4662</v>
      </c>
      <c r="K2160" s="8"/>
      <c r="L2160" s="8" t="s">
        <v>33</v>
      </c>
      <c r="M2160" s="9">
        <f t="shared" si="1"/>
        <v>80</v>
      </c>
    </row>
    <row r="2161" ht="12.75" customHeight="1">
      <c r="A2161" s="4">
        <f t="shared" si="2"/>
        <v>2160</v>
      </c>
      <c r="B2161" s="4" t="s">
        <v>4711</v>
      </c>
      <c r="C2161" s="5" t="s">
        <v>4712</v>
      </c>
      <c r="D2161" s="4"/>
      <c r="E2161" s="4"/>
      <c r="F2161" s="4" t="s">
        <v>371</v>
      </c>
      <c r="G2161" s="6">
        <v>0.24</v>
      </c>
      <c r="H2161" s="7" t="s">
        <v>1606</v>
      </c>
      <c r="I2161" s="4" t="s">
        <v>1869</v>
      </c>
      <c r="J2161" s="4" t="s">
        <v>4662</v>
      </c>
      <c r="K2161" s="8"/>
      <c r="L2161" s="8" t="s">
        <v>33</v>
      </c>
      <c r="M2161" s="9">
        <f t="shared" si="1"/>
        <v>80</v>
      </c>
    </row>
    <row r="2162" ht="12.75" customHeight="1">
      <c r="A2162" s="4">
        <f t="shared" si="2"/>
        <v>2161</v>
      </c>
      <c r="B2162" s="4" t="s">
        <v>4713</v>
      </c>
      <c r="C2162" s="5" t="s">
        <v>4714</v>
      </c>
      <c r="D2162" s="4"/>
      <c r="E2162" s="4"/>
      <c r="F2162" s="4" t="s">
        <v>371</v>
      </c>
      <c r="G2162" s="6">
        <v>0.24</v>
      </c>
      <c r="H2162" s="7" t="s">
        <v>1606</v>
      </c>
      <c r="I2162" s="4" t="s">
        <v>1869</v>
      </c>
      <c r="J2162" s="4" t="s">
        <v>4662</v>
      </c>
      <c r="K2162" s="8"/>
      <c r="L2162" s="8" t="s">
        <v>33</v>
      </c>
      <c r="M2162" s="9">
        <f t="shared" si="1"/>
        <v>76</v>
      </c>
    </row>
    <row r="2163" ht="12.75" customHeight="1">
      <c r="A2163" s="4">
        <f t="shared" si="2"/>
        <v>2162</v>
      </c>
      <c r="B2163" s="4" t="s">
        <v>4715</v>
      </c>
      <c r="C2163" s="5" t="s">
        <v>4716</v>
      </c>
      <c r="D2163" s="4"/>
      <c r="E2163" s="4"/>
      <c r="F2163" s="4" t="s">
        <v>371</v>
      </c>
      <c r="G2163" s="6">
        <v>0.24</v>
      </c>
      <c r="H2163" s="7" t="s">
        <v>1606</v>
      </c>
      <c r="I2163" s="4" t="s">
        <v>1869</v>
      </c>
      <c r="J2163" s="4" t="s">
        <v>4662</v>
      </c>
      <c r="K2163" s="8"/>
      <c r="L2163" s="8" t="s">
        <v>33</v>
      </c>
      <c r="M2163" s="9">
        <f t="shared" si="1"/>
        <v>80</v>
      </c>
    </row>
    <row r="2164" ht="12.75" customHeight="1">
      <c r="A2164" s="4">
        <f t="shared" si="2"/>
        <v>2163</v>
      </c>
      <c r="B2164" s="4" t="s">
        <v>4717</v>
      </c>
      <c r="C2164" s="5" t="s">
        <v>4718</v>
      </c>
      <c r="D2164" s="4"/>
      <c r="E2164" s="4"/>
      <c r="F2164" s="4" t="s">
        <v>371</v>
      </c>
      <c r="G2164" s="6">
        <v>0.24</v>
      </c>
      <c r="H2164" s="7" t="s">
        <v>1606</v>
      </c>
      <c r="I2164" s="4" t="s">
        <v>1869</v>
      </c>
      <c r="J2164" s="4" t="s">
        <v>4662</v>
      </c>
      <c r="K2164" s="8"/>
      <c r="L2164" s="8" t="s">
        <v>33</v>
      </c>
      <c r="M2164" s="9">
        <f t="shared" si="1"/>
        <v>76</v>
      </c>
    </row>
    <row r="2165" ht="12.75" customHeight="1">
      <c r="A2165" s="4">
        <f t="shared" si="2"/>
        <v>2164</v>
      </c>
      <c r="B2165" s="4" t="s">
        <v>4719</v>
      </c>
      <c r="C2165" s="5" t="s">
        <v>4720</v>
      </c>
      <c r="D2165" s="4"/>
      <c r="E2165" s="4"/>
      <c r="F2165" s="4" t="s">
        <v>371</v>
      </c>
      <c r="G2165" s="6">
        <v>0.3</v>
      </c>
      <c r="H2165" s="7" t="s">
        <v>1606</v>
      </c>
      <c r="I2165" s="4" t="s">
        <v>1869</v>
      </c>
      <c r="J2165" s="4" t="s">
        <v>4662</v>
      </c>
      <c r="K2165" s="8"/>
      <c r="L2165" s="8" t="s">
        <v>33</v>
      </c>
      <c r="M2165" s="9">
        <f t="shared" si="1"/>
        <v>80</v>
      </c>
    </row>
    <row r="2166" ht="12.75" customHeight="1">
      <c r="A2166" s="4">
        <f t="shared" si="2"/>
        <v>2165</v>
      </c>
      <c r="B2166" s="4" t="s">
        <v>4721</v>
      </c>
      <c r="C2166" s="5" t="s">
        <v>4722</v>
      </c>
      <c r="D2166" s="4"/>
      <c r="E2166" s="4"/>
      <c r="F2166" s="4" t="s">
        <v>371</v>
      </c>
      <c r="G2166" s="6">
        <v>0.3</v>
      </c>
      <c r="H2166" s="7" t="s">
        <v>1606</v>
      </c>
      <c r="I2166" s="4" t="s">
        <v>1869</v>
      </c>
      <c r="J2166" s="4" t="s">
        <v>4662</v>
      </c>
      <c r="K2166" s="8"/>
      <c r="L2166" s="8" t="s">
        <v>33</v>
      </c>
      <c r="M2166" s="9">
        <f t="shared" si="1"/>
        <v>76</v>
      </c>
    </row>
    <row r="2167" ht="12.75" customHeight="1">
      <c r="A2167" s="4">
        <f t="shared" si="2"/>
        <v>2166</v>
      </c>
      <c r="B2167" s="4" t="s">
        <v>4723</v>
      </c>
      <c r="C2167" s="5" t="s">
        <v>4724</v>
      </c>
      <c r="D2167" s="4"/>
      <c r="E2167" s="4"/>
      <c r="F2167" s="4" t="s">
        <v>371</v>
      </c>
      <c r="G2167" s="6">
        <v>0.3</v>
      </c>
      <c r="H2167" s="7" t="s">
        <v>1606</v>
      </c>
      <c r="I2167" s="4" t="s">
        <v>1869</v>
      </c>
      <c r="J2167" s="4" t="s">
        <v>4662</v>
      </c>
      <c r="K2167" s="8"/>
      <c r="L2167" s="8" t="s">
        <v>33</v>
      </c>
      <c r="M2167" s="9">
        <f t="shared" si="1"/>
        <v>76</v>
      </c>
    </row>
    <row r="2168" ht="12.75" customHeight="1">
      <c r="A2168" s="4">
        <f t="shared" si="2"/>
        <v>2167</v>
      </c>
      <c r="B2168" s="4" t="s">
        <v>4725</v>
      </c>
      <c r="C2168" s="5" t="s">
        <v>4726</v>
      </c>
      <c r="D2168" s="4"/>
      <c r="E2168" s="4"/>
      <c r="F2168" s="4" t="s">
        <v>371</v>
      </c>
      <c r="G2168" s="6">
        <v>0.24</v>
      </c>
      <c r="H2168" s="7" t="s">
        <v>1606</v>
      </c>
      <c r="I2168" s="4" t="s">
        <v>1869</v>
      </c>
      <c r="J2168" s="4" t="s">
        <v>4662</v>
      </c>
      <c r="K2168" s="8"/>
      <c r="L2168" s="8" t="s">
        <v>33</v>
      </c>
      <c r="M2168" s="9">
        <f t="shared" si="1"/>
        <v>76</v>
      </c>
    </row>
    <row r="2169" ht="12.75" customHeight="1">
      <c r="A2169" s="4">
        <f t="shared" si="2"/>
        <v>2168</v>
      </c>
      <c r="B2169" s="4" t="s">
        <v>4727</v>
      </c>
      <c r="C2169" s="5" t="s">
        <v>4728</v>
      </c>
      <c r="D2169" s="4"/>
      <c r="E2169" s="4"/>
      <c r="F2169" s="4" t="s">
        <v>371</v>
      </c>
      <c r="G2169" s="6">
        <v>0.24</v>
      </c>
      <c r="H2169" s="7" t="s">
        <v>1606</v>
      </c>
      <c r="I2169" s="4" t="s">
        <v>1869</v>
      </c>
      <c r="J2169" s="4" t="s">
        <v>4662</v>
      </c>
      <c r="K2169" s="8"/>
      <c r="L2169" s="8" t="s">
        <v>33</v>
      </c>
      <c r="M2169" s="9">
        <f t="shared" si="1"/>
        <v>76</v>
      </c>
    </row>
    <row r="2170" ht="12.75" customHeight="1">
      <c r="A2170" s="4">
        <f t="shared" si="2"/>
        <v>2169</v>
      </c>
      <c r="B2170" s="4" t="s">
        <v>4729</v>
      </c>
      <c r="C2170" s="5" t="s">
        <v>4730</v>
      </c>
      <c r="D2170" s="4"/>
      <c r="E2170" s="4"/>
      <c r="F2170" s="4" t="s">
        <v>371</v>
      </c>
      <c r="G2170" s="6">
        <v>0.24</v>
      </c>
      <c r="H2170" s="7" t="s">
        <v>1606</v>
      </c>
      <c r="I2170" s="4" t="s">
        <v>1869</v>
      </c>
      <c r="J2170" s="4" t="s">
        <v>4662</v>
      </c>
      <c r="K2170" s="8"/>
      <c r="L2170" s="8" t="s">
        <v>33</v>
      </c>
      <c r="M2170" s="9">
        <f t="shared" si="1"/>
        <v>78</v>
      </c>
    </row>
    <row r="2171" ht="12.75" customHeight="1">
      <c r="A2171" s="4">
        <f t="shared" si="2"/>
        <v>2170</v>
      </c>
      <c r="B2171" s="4" t="s">
        <v>4731</v>
      </c>
      <c r="C2171" s="5" t="s">
        <v>4732</v>
      </c>
      <c r="D2171" s="4"/>
      <c r="E2171" s="4"/>
      <c r="F2171" s="4" t="s">
        <v>371</v>
      </c>
      <c r="G2171" s="6">
        <v>0.24</v>
      </c>
      <c r="H2171" s="7" t="s">
        <v>1606</v>
      </c>
      <c r="I2171" s="4" t="s">
        <v>1869</v>
      </c>
      <c r="J2171" s="4" t="s">
        <v>4662</v>
      </c>
      <c r="K2171" s="8"/>
      <c r="L2171" s="8" t="s">
        <v>33</v>
      </c>
      <c r="M2171" s="9">
        <f t="shared" si="1"/>
        <v>77</v>
      </c>
    </row>
    <row r="2172" ht="12.75" customHeight="1">
      <c r="A2172" s="4">
        <f t="shared" si="2"/>
        <v>2171</v>
      </c>
      <c r="B2172" s="4" t="s">
        <v>4733</v>
      </c>
      <c r="C2172" s="5" t="s">
        <v>4734</v>
      </c>
      <c r="D2172" s="4"/>
      <c r="E2172" s="4"/>
      <c r="F2172" s="4" t="s">
        <v>371</v>
      </c>
      <c r="G2172" s="6">
        <v>0.24</v>
      </c>
      <c r="H2172" s="7" t="s">
        <v>1606</v>
      </c>
      <c r="I2172" s="4" t="s">
        <v>1869</v>
      </c>
      <c r="J2172" s="4" t="s">
        <v>4662</v>
      </c>
      <c r="K2172" s="8"/>
      <c r="L2172" s="8" t="s">
        <v>33</v>
      </c>
      <c r="M2172" s="9">
        <f t="shared" si="1"/>
        <v>78</v>
      </c>
    </row>
    <row r="2173" ht="12.75" customHeight="1">
      <c r="A2173" s="4">
        <f t="shared" si="2"/>
        <v>2172</v>
      </c>
      <c r="B2173" s="4" t="s">
        <v>4735</v>
      </c>
      <c r="C2173" s="5" t="s">
        <v>4736</v>
      </c>
      <c r="D2173" s="4"/>
      <c r="E2173" s="4"/>
      <c r="F2173" s="4" t="s">
        <v>371</v>
      </c>
      <c r="G2173" s="6">
        <v>2.32</v>
      </c>
      <c r="H2173" s="7" t="s">
        <v>1606</v>
      </c>
      <c r="I2173" s="4" t="s">
        <v>1869</v>
      </c>
      <c r="J2173" s="4" t="s">
        <v>4662</v>
      </c>
      <c r="K2173" s="8"/>
      <c r="L2173" s="8" t="s">
        <v>33</v>
      </c>
      <c r="M2173" s="9">
        <f t="shared" si="1"/>
        <v>80</v>
      </c>
    </row>
    <row r="2174" ht="12.75" customHeight="1">
      <c r="A2174" s="4">
        <f t="shared" si="2"/>
        <v>2173</v>
      </c>
      <c r="B2174" s="4" t="s">
        <v>4737</v>
      </c>
      <c r="C2174" s="5" t="s">
        <v>4738</v>
      </c>
      <c r="D2174" s="4"/>
      <c r="E2174" s="4"/>
      <c r="F2174" s="4" t="s">
        <v>371</v>
      </c>
      <c r="G2174" s="6">
        <v>2.32</v>
      </c>
      <c r="H2174" s="7" t="s">
        <v>1606</v>
      </c>
      <c r="I2174" s="4" t="s">
        <v>1869</v>
      </c>
      <c r="J2174" s="4" t="s">
        <v>4662</v>
      </c>
      <c r="K2174" s="8"/>
      <c r="L2174" s="8" t="s">
        <v>33</v>
      </c>
      <c r="M2174" s="9">
        <f t="shared" si="1"/>
        <v>77</v>
      </c>
    </row>
    <row r="2175" ht="12.75" customHeight="1">
      <c r="A2175" s="4">
        <f t="shared" si="2"/>
        <v>2174</v>
      </c>
      <c r="B2175" s="4" t="s">
        <v>4739</v>
      </c>
      <c r="C2175" s="5" t="s">
        <v>4740</v>
      </c>
      <c r="D2175" s="4"/>
      <c r="E2175" s="4"/>
      <c r="F2175" s="4" t="s">
        <v>371</v>
      </c>
      <c r="G2175" s="6">
        <v>2.32</v>
      </c>
      <c r="H2175" s="7" t="s">
        <v>1606</v>
      </c>
      <c r="I2175" s="4" t="s">
        <v>1869</v>
      </c>
      <c r="J2175" s="4" t="s">
        <v>4662</v>
      </c>
      <c r="K2175" s="8"/>
      <c r="L2175" s="8" t="s">
        <v>33</v>
      </c>
      <c r="M2175" s="9">
        <f t="shared" si="1"/>
        <v>77</v>
      </c>
    </row>
    <row r="2176" ht="12.75" customHeight="1">
      <c r="A2176" s="4">
        <f t="shared" si="2"/>
        <v>2175</v>
      </c>
      <c r="B2176" s="4" t="s">
        <v>4741</v>
      </c>
      <c r="C2176" s="5" t="s">
        <v>4742</v>
      </c>
      <c r="D2176" s="4"/>
      <c r="E2176" s="4"/>
      <c r="F2176" s="4" t="s">
        <v>371</v>
      </c>
      <c r="G2176" s="6">
        <v>2.32</v>
      </c>
      <c r="H2176" s="7" t="s">
        <v>1606</v>
      </c>
      <c r="I2176" s="4" t="s">
        <v>1869</v>
      </c>
      <c r="J2176" s="4" t="s">
        <v>4662</v>
      </c>
      <c r="K2176" s="8"/>
      <c r="L2176" s="8" t="s">
        <v>33</v>
      </c>
      <c r="M2176" s="9">
        <f t="shared" si="1"/>
        <v>76</v>
      </c>
    </row>
    <row r="2177" ht="12.75" customHeight="1">
      <c r="A2177" s="4">
        <f t="shared" si="2"/>
        <v>2176</v>
      </c>
      <c r="B2177" s="4" t="s">
        <v>4743</v>
      </c>
      <c r="C2177" s="5" t="s">
        <v>4744</v>
      </c>
      <c r="D2177" s="4"/>
      <c r="E2177" s="4"/>
      <c r="F2177" s="4" t="s">
        <v>371</v>
      </c>
      <c r="G2177" s="6">
        <v>2.32</v>
      </c>
      <c r="H2177" s="7" t="s">
        <v>1606</v>
      </c>
      <c r="I2177" s="4" t="s">
        <v>1869</v>
      </c>
      <c r="J2177" s="4" t="s">
        <v>4662</v>
      </c>
      <c r="K2177" s="8"/>
      <c r="L2177" s="8" t="s">
        <v>33</v>
      </c>
      <c r="M2177" s="9">
        <f t="shared" si="1"/>
        <v>80</v>
      </c>
    </row>
    <row r="2178" ht="12.75" customHeight="1">
      <c r="A2178" s="4">
        <f t="shared" si="2"/>
        <v>2177</v>
      </c>
      <c r="B2178" s="4" t="s">
        <v>4745</v>
      </c>
      <c r="C2178" s="5" t="s">
        <v>4746</v>
      </c>
      <c r="D2178" s="4"/>
      <c r="E2178" s="4"/>
      <c r="F2178" s="4" t="s">
        <v>371</v>
      </c>
      <c r="G2178" s="6">
        <v>2.32</v>
      </c>
      <c r="H2178" s="7" t="s">
        <v>1606</v>
      </c>
      <c r="I2178" s="4" t="s">
        <v>1869</v>
      </c>
      <c r="J2178" s="4" t="s">
        <v>4662</v>
      </c>
      <c r="K2178" s="8"/>
      <c r="L2178" s="8" t="s">
        <v>33</v>
      </c>
      <c r="M2178" s="9">
        <f t="shared" si="1"/>
        <v>76</v>
      </c>
    </row>
    <row r="2179" ht="12.75" customHeight="1">
      <c r="A2179" s="4">
        <f t="shared" si="2"/>
        <v>2178</v>
      </c>
      <c r="B2179" s="4" t="s">
        <v>4747</v>
      </c>
      <c r="C2179" s="5" t="s">
        <v>4748</v>
      </c>
      <c r="D2179" s="4"/>
      <c r="E2179" s="4"/>
      <c r="F2179" s="4" t="s">
        <v>371</v>
      </c>
      <c r="G2179" s="6">
        <v>2.42</v>
      </c>
      <c r="H2179" s="7" t="s">
        <v>1606</v>
      </c>
      <c r="I2179" s="4" t="s">
        <v>1869</v>
      </c>
      <c r="J2179" s="4" t="s">
        <v>4662</v>
      </c>
      <c r="K2179" s="8"/>
      <c r="L2179" s="8" t="s">
        <v>33</v>
      </c>
      <c r="M2179" s="9">
        <f t="shared" si="1"/>
        <v>80</v>
      </c>
    </row>
    <row r="2180" ht="12.75" customHeight="1">
      <c r="A2180" s="4">
        <f t="shared" si="2"/>
        <v>2179</v>
      </c>
      <c r="B2180" s="4" t="s">
        <v>4749</v>
      </c>
      <c r="C2180" s="5" t="s">
        <v>4750</v>
      </c>
      <c r="D2180" s="4"/>
      <c r="E2180" s="4"/>
      <c r="F2180" s="4" t="s">
        <v>371</v>
      </c>
      <c r="G2180" s="6">
        <v>2.42</v>
      </c>
      <c r="H2180" s="7" t="s">
        <v>1606</v>
      </c>
      <c r="I2180" s="4" t="s">
        <v>1869</v>
      </c>
      <c r="J2180" s="4" t="s">
        <v>4662</v>
      </c>
      <c r="K2180" s="8"/>
      <c r="L2180" s="8" t="s">
        <v>33</v>
      </c>
      <c r="M2180" s="9">
        <f t="shared" si="1"/>
        <v>80</v>
      </c>
    </row>
    <row r="2181" ht="12.75" customHeight="1">
      <c r="A2181" s="4">
        <f t="shared" si="2"/>
        <v>2180</v>
      </c>
      <c r="B2181" s="4" t="s">
        <v>4751</v>
      </c>
      <c r="C2181" s="5" t="s">
        <v>4752</v>
      </c>
      <c r="D2181" s="4"/>
      <c r="E2181" s="4"/>
      <c r="F2181" s="4" t="s">
        <v>371</v>
      </c>
      <c r="G2181" s="6">
        <v>2.59</v>
      </c>
      <c r="H2181" s="7" t="s">
        <v>1606</v>
      </c>
      <c r="I2181" s="4" t="s">
        <v>1869</v>
      </c>
      <c r="J2181" s="4" t="s">
        <v>4662</v>
      </c>
      <c r="K2181" s="8"/>
      <c r="L2181" s="8" t="s">
        <v>33</v>
      </c>
      <c r="M2181" s="9">
        <f t="shared" si="1"/>
        <v>76</v>
      </c>
    </row>
    <row r="2182" ht="12.75" customHeight="1">
      <c r="A2182" s="4">
        <f t="shared" si="2"/>
        <v>2181</v>
      </c>
      <c r="B2182" s="4" t="s">
        <v>4753</v>
      </c>
      <c r="C2182" s="5" t="s">
        <v>4754</v>
      </c>
      <c r="D2182" s="4"/>
      <c r="E2182" s="4"/>
      <c r="F2182" s="4" t="s">
        <v>371</v>
      </c>
      <c r="G2182" s="21">
        <v>1.98</v>
      </c>
      <c r="H2182" s="7" t="s">
        <v>1606</v>
      </c>
      <c r="I2182" s="4" t="s">
        <v>1869</v>
      </c>
      <c r="J2182" s="4" t="s">
        <v>4662</v>
      </c>
      <c r="K2182" s="8"/>
      <c r="L2182" s="8" t="s">
        <v>33</v>
      </c>
      <c r="M2182" s="9">
        <f t="shared" si="1"/>
        <v>76</v>
      </c>
    </row>
    <row r="2183" ht="12.75" customHeight="1">
      <c r="A2183" s="4">
        <f t="shared" si="2"/>
        <v>2182</v>
      </c>
      <c r="B2183" s="4" t="s">
        <v>4755</v>
      </c>
      <c r="C2183" s="5" t="s">
        <v>4756</v>
      </c>
      <c r="D2183" s="4"/>
      <c r="E2183" s="4"/>
      <c r="F2183" s="4" t="s">
        <v>371</v>
      </c>
      <c r="G2183" s="21">
        <v>1.46</v>
      </c>
      <c r="H2183" s="7" t="s">
        <v>1606</v>
      </c>
      <c r="I2183" s="4" t="s">
        <v>1869</v>
      </c>
      <c r="J2183" s="4" t="s">
        <v>4662</v>
      </c>
      <c r="K2183" s="8"/>
      <c r="L2183" s="8" t="s">
        <v>33</v>
      </c>
      <c r="M2183" s="9">
        <f t="shared" si="1"/>
        <v>78</v>
      </c>
    </row>
    <row r="2184" ht="12.75" customHeight="1">
      <c r="A2184" s="4">
        <f t="shared" si="2"/>
        <v>2183</v>
      </c>
      <c r="B2184" s="4" t="s">
        <v>4757</v>
      </c>
      <c r="C2184" s="5" t="s">
        <v>4758</v>
      </c>
      <c r="D2184" s="4"/>
      <c r="E2184" s="4"/>
      <c r="F2184" s="4" t="s">
        <v>371</v>
      </c>
      <c r="G2184" s="6">
        <v>1.46</v>
      </c>
      <c r="H2184" s="7" t="s">
        <v>1606</v>
      </c>
      <c r="I2184" s="4" t="s">
        <v>1869</v>
      </c>
      <c r="J2184" s="4" t="s">
        <v>4662</v>
      </c>
      <c r="K2184" s="8"/>
      <c r="L2184" s="8" t="s">
        <v>33</v>
      </c>
      <c r="M2184" s="9">
        <f t="shared" si="1"/>
        <v>77</v>
      </c>
    </row>
    <row r="2185" ht="12.75" customHeight="1">
      <c r="A2185" s="4">
        <f t="shared" si="2"/>
        <v>2184</v>
      </c>
      <c r="B2185" s="4" t="s">
        <v>4759</v>
      </c>
      <c r="C2185" s="5" t="s">
        <v>4760</v>
      </c>
      <c r="D2185" s="4"/>
      <c r="E2185" s="4"/>
      <c r="F2185" s="4" t="s">
        <v>371</v>
      </c>
      <c r="G2185" s="6">
        <v>1.46</v>
      </c>
      <c r="H2185" s="7" t="s">
        <v>1606</v>
      </c>
      <c r="I2185" s="4" t="s">
        <v>1869</v>
      </c>
      <c r="J2185" s="4" t="s">
        <v>4662</v>
      </c>
      <c r="K2185" s="8"/>
      <c r="L2185" s="8" t="s">
        <v>33</v>
      </c>
      <c r="M2185" s="9">
        <f t="shared" si="1"/>
        <v>78</v>
      </c>
    </row>
    <row r="2186" ht="12.75" customHeight="1">
      <c r="A2186" s="4">
        <f t="shared" si="2"/>
        <v>2185</v>
      </c>
      <c r="B2186" s="4" t="s">
        <v>4761</v>
      </c>
      <c r="C2186" s="5" t="s">
        <v>4762</v>
      </c>
      <c r="D2186" s="4"/>
      <c r="E2186" s="4"/>
      <c r="F2186" s="4" t="s">
        <v>371</v>
      </c>
      <c r="G2186" s="6">
        <v>1.46</v>
      </c>
      <c r="H2186" s="7" t="s">
        <v>1606</v>
      </c>
      <c r="I2186" s="4" t="s">
        <v>1869</v>
      </c>
      <c r="J2186" s="4" t="s">
        <v>4662</v>
      </c>
      <c r="K2186" s="8"/>
      <c r="L2186" s="8" t="s">
        <v>33</v>
      </c>
      <c r="M2186" s="9">
        <f t="shared" si="1"/>
        <v>77</v>
      </c>
    </row>
    <row r="2187" ht="12.75" customHeight="1">
      <c r="A2187" s="4">
        <f t="shared" si="2"/>
        <v>2186</v>
      </c>
      <c r="B2187" s="4" t="s">
        <v>4763</v>
      </c>
      <c r="C2187" s="5" t="s">
        <v>4764</v>
      </c>
      <c r="D2187" s="4"/>
      <c r="E2187" s="4"/>
      <c r="F2187" s="4" t="s">
        <v>371</v>
      </c>
      <c r="G2187" s="6">
        <v>1.46</v>
      </c>
      <c r="H2187" s="7" t="s">
        <v>1606</v>
      </c>
      <c r="I2187" s="4" t="s">
        <v>1869</v>
      </c>
      <c r="J2187" s="4" t="s">
        <v>4662</v>
      </c>
      <c r="K2187" s="8"/>
      <c r="L2187" s="8" t="s">
        <v>33</v>
      </c>
      <c r="M2187" s="9">
        <f t="shared" si="1"/>
        <v>78</v>
      </c>
    </row>
    <row r="2188" ht="12.75" customHeight="1">
      <c r="A2188" s="4">
        <f t="shared" si="2"/>
        <v>2187</v>
      </c>
      <c r="B2188" s="4" t="s">
        <v>4765</v>
      </c>
      <c r="C2188" s="5" t="s">
        <v>4766</v>
      </c>
      <c r="D2188" s="4"/>
      <c r="E2188" s="4"/>
      <c r="F2188" s="4" t="s">
        <v>371</v>
      </c>
      <c r="G2188" s="21">
        <v>1.46</v>
      </c>
      <c r="H2188" s="7" t="s">
        <v>1606</v>
      </c>
      <c r="I2188" s="4" t="s">
        <v>1869</v>
      </c>
      <c r="J2188" s="4" t="s">
        <v>4662</v>
      </c>
      <c r="K2188" s="8"/>
      <c r="L2188" s="8" t="s">
        <v>33</v>
      </c>
      <c r="M2188" s="9">
        <f t="shared" si="1"/>
        <v>77</v>
      </c>
    </row>
    <row r="2189" ht="12.75" customHeight="1">
      <c r="A2189" s="4">
        <f t="shared" si="2"/>
        <v>2188</v>
      </c>
      <c r="B2189" s="4" t="s">
        <v>4767</v>
      </c>
      <c r="C2189" s="5" t="s">
        <v>4768</v>
      </c>
      <c r="D2189" s="4"/>
      <c r="E2189" s="4"/>
      <c r="F2189" s="4" t="s">
        <v>371</v>
      </c>
      <c r="G2189" s="21">
        <v>1.46</v>
      </c>
      <c r="H2189" s="7" t="s">
        <v>1606</v>
      </c>
      <c r="I2189" s="4" t="s">
        <v>1869</v>
      </c>
      <c r="J2189" s="4" t="s">
        <v>4662</v>
      </c>
      <c r="K2189" s="8"/>
      <c r="L2189" s="8" t="s">
        <v>33</v>
      </c>
      <c r="M2189" s="9">
        <f t="shared" si="1"/>
        <v>77</v>
      </c>
    </row>
    <row r="2190" ht="12.75" customHeight="1">
      <c r="A2190" s="4">
        <f t="shared" si="2"/>
        <v>2189</v>
      </c>
      <c r="B2190" s="4" t="s">
        <v>4769</v>
      </c>
      <c r="C2190" s="5" t="s">
        <v>4770</v>
      </c>
      <c r="D2190" s="4"/>
      <c r="E2190" s="4"/>
      <c r="F2190" s="4" t="s">
        <v>371</v>
      </c>
      <c r="G2190" s="6">
        <v>3.45</v>
      </c>
      <c r="H2190" s="7" t="s">
        <v>1606</v>
      </c>
      <c r="I2190" s="4" t="s">
        <v>1869</v>
      </c>
      <c r="J2190" s="4" t="s">
        <v>4662</v>
      </c>
      <c r="K2190" s="8"/>
      <c r="L2190" s="8" t="s">
        <v>33</v>
      </c>
      <c r="M2190" s="9">
        <f t="shared" si="1"/>
        <v>80</v>
      </c>
    </row>
    <row r="2191" ht="12.75" customHeight="1">
      <c r="A2191" s="4">
        <f t="shared" si="2"/>
        <v>2190</v>
      </c>
      <c r="B2191" s="4" t="s">
        <v>4771</v>
      </c>
      <c r="C2191" s="5" t="s">
        <v>4772</v>
      </c>
      <c r="D2191" s="4"/>
      <c r="E2191" s="4"/>
      <c r="F2191" s="4" t="s">
        <v>371</v>
      </c>
      <c r="G2191" s="6">
        <v>3.45</v>
      </c>
      <c r="H2191" s="7" t="s">
        <v>1606</v>
      </c>
      <c r="I2191" s="4" t="s">
        <v>1869</v>
      </c>
      <c r="J2191" s="4" t="s">
        <v>4662</v>
      </c>
      <c r="K2191" s="8"/>
      <c r="L2191" s="8" t="s">
        <v>33</v>
      </c>
      <c r="M2191" s="9">
        <f t="shared" si="1"/>
        <v>76</v>
      </c>
    </row>
    <row r="2192" ht="12.75" customHeight="1">
      <c r="A2192" s="4">
        <f t="shared" si="2"/>
        <v>2191</v>
      </c>
      <c r="B2192" s="4" t="s">
        <v>4773</v>
      </c>
      <c r="C2192" s="5" t="s">
        <v>4774</v>
      </c>
      <c r="D2192" s="4"/>
      <c r="E2192" s="4"/>
      <c r="F2192" s="4" t="s">
        <v>371</v>
      </c>
      <c r="G2192" s="6">
        <v>3.65</v>
      </c>
      <c r="H2192" s="7" t="s">
        <v>1606</v>
      </c>
      <c r="I2192" s="4" t="s">
        <v>1869</v>
      </c>
      <c r="J2192" s="4" t="s">
        <v>4662</v>
      </c>
      <c r="K2192" s="8"/>
      <c r="L2192" s="8" t="s">
        <v>33</v>
      </c>
      <c r="M2192" s="9">
        <f t="shared" si="1"/>
        <v>80</v>
      </c>
    </row>
    <row r="2193" ht="12.75" customHeight="1">
      <c r="A2193" s="4">
        <f t="shared" si="2"/>
        <v>2192</v>
      </c>
      <c r="B2193" s="4" t="s">
        <v>4775</v>
      </c>
      <c r="C2193" s="5" t="s">
        <v>4776</v>
      </c>
      <c r="D2193" s="4"/>
      <c r="E2193" s="4"/>
      <c r="F2193" s="4" t="s">
        <v>371</v>
      </c>
      <c r="G2193" s="6">
        <v>3.45</v>
      </c>
      <c r="H2193" s="7" t="s">
        <v>1606</v>
      </c>
      <c r="I2193" s="4" t="s">
        <v>1869</v>
      </c>
      <c r="J2193" s="4" t="s">
        <v>4662</v>
      </c>
      <c r="K2193" s="8"/>
      <c r="L2193" s="8" t="s">
        <v>33</v>
      </c>
      <c r="M2193" s="9">
        <f t="shared" si="1"/>
        <v>76</v>
      </c>
    </row>
    <row r="2194" ht="12.75" customHeight="1">
      <c r="A2194" s="4">
        <f t="shared" si="2"/>
        <v>2193</v>
      </c>
      <c r="B2194" s="4" t="s">
        <v>4777</v>
      </c>
      <c r="C2194" s="5" t="s">
        <v>4778</v>
      </c>
      <c r="D2194" s="4"/>
      <c r="E2194" s="4"/>
      <c r="F2194" s="4" t="s">
        <v>371</v>
      </c>
      <c r="G2194" s="6">
        <v>3.85</v>
      </c>
      <c r="H2194" s="7" t="s">
        <v>1606</v>
      </c>
      <c r="I2194" s="4" t="s">
        <v>1869</v>
      </c>
      <c r="J2194" s="4" t="s">
        <v>4662</v>
      </c>
      <c r="K2194" s="8"/>
      <c r="L2194" s="8" t="s">
        <v>33</v>
      </c>
      <c r="M2194" s="9">
        <f t="shared" si="1"/>
        <v>76</v>
      </c>
    </row>
    <row r="2195" ht="12.75" customHeight="1">
      <c r="A2195" s="4">
        <f t="shared" si="2"/>
        <v>2194</v>
      </c>
      <c r="B2195" s="4" t="s">
        <v>4779</v>
      </c>
      <c r="C2195" s="5" t="s">
        <v>4780</v>
      </c>
      <c r="D2195" s="4"/>
      <c r="E2195" s="4"/>
      <c r="F2195" s="4" t="s">
        <v>371</v>
      </c>
      <c r="G2195" s="6">
        <v>0.63</v>
      </c>
      <c r="H2195" s="7" t="s">
        <v>1606</v>
      </c>
      <c r="I2195" s="4" t="s">
        <v>1869</v>
      </c>
      <c r="J2195" s="5" t="s">
        <v>4781</v>
      </c>
      <c r="K2195" s="8"/>
      <c r="L2195" s="8" t="s">
        <v>33</v>
      </c>
      <c r="M2195" s="9">
        <f t="shared" si="1"/>
        <v>69</v>
      </c>
    </row>
    <row r="2196" ht="12.75" customHeight="1">
      <c r="A2196" s="4">
        <f t="shared" si="2"/>
        <v>2195</v>
      </c>
      <c r="B2196" s="4" t="s">
        <v>4782</v>
      </c>
      <c r="C2196" s="5" t="s">
        <v>4783</v>
      </c>
      <c r="D2196" s="4"/>
      <c r="E2196" s="4"/>
      <c r="F2196" s="4" t="s">
        <v>371</v>
      </c>
      <c r="G2196" s="6">
        <v>0.81</v>
      </c>
      <c r="H2196" s="7" t="s">
        <v>1606</v>
      </c>
      <c r="I2196" s="4" t="s">
        <v>1869</v>
      </c>
      <c r="J2196" s="4" t="s">
        <v>4781</v>
      </c>
      <c r="K2196" s="8"/>
      <c r="L2196" s="8" t="s">
        <v>33</v>
      </c>
      <c r="M2196" s="9">
        <f t="shared" si="1"/>
        <v>69</v>
      </c>
    </row>
    <row r="2197" ht="12.75" customHeight="1">
      <c r="A2197" s="4">
        <f t="shared" si="2"/>
        <v>2196</v>
      </c>
      <c r="B2197" s="4" t="s">
        <v>4784</v>
      </c>
      <c r="C2197" s="5" t="s">
        <v>4785</v>
      </c>
      <c r="D2197" s="4"/>
      <c r="E2197" s="4"/>
      <c r="F2197" s="4" t="s">
        <v>371</v>
      </c>
      <c r="G2197" s="6">
        <v>0.81</v>
      </c>
      <c r="H2197" s="7" t="s">
        <v>1606</v>
      </c>
      <c r="I2197" s="4" t="s">
        <v>1869</v>
      </c>
      <c r="J2197" s="4" t="s">
        <v>4781</v>
      </c>
      <c r="K2197" s="8"/>
      <c r="L2197" s="8" t="s">
        <v>33</v>
      </c>
      <c r="M2197" s="9">
        <f t="shared" si="1"/>
        <v>65</v>
      </c>
    </row>
    <row r="2198" ht="12.75" customHeight="1">
      <c r="A2198" s="4">
        <f t="shared" si="2"/>
        <v>2197</v>
      </c>
      <c r="B2198" s="4" t="s">
        <v>4786</v>
      </c>
      <c r="C2198" s="5" t="s">
        <v>4787</v>
      </c>
      <c r="D2198" s="4"/>
      <c r="E2198" s="4"/>
      <c r="F2198" s="4" t="s">
        <v>371</v>
      </c>
      <c r="G2198" s="6">
        <v>1.08</v>
      </c>
      <c r="H2198" s="7" t="s">
        <v>1606</v>
      </c>
      <c r="I2198" s="4" t="s">
        <v>1869</v>
      </c>
      <c r="J2198" s="4" t="s">
        <v>4781</v>
      </c>
      <c r="K2198" s="8"/>
      <c r="L2198" s="8" t="s">
        <v>33</v>
      </c>
      <c r="M2198" s="9">
        <f t="shared" si="1"/>
        <v>65</v>
      </c>
    </row>
    <row r="2199" ht="12.75" customHeight="1">
      <c r="A2199" s="4">
        <f t="shared" si="2"/>
        <v>2198</v>
      </c>
      <c r="B2199" s="4" t="s">
        <v>4788</v>
      </c>
      <c r="C2199" s="5" t="s">
        <v>4789</v>
      </c>
      <c r="D2199" s="4"/>
      <c r="E2199" s="4"/>
      <c r="F2199" s="4" t="s">
        <v>371</v>
      </c>
      <c r="G2199" s="6">
        <v>1.62</v>
      </c>
      <c r="H2199" s="7" t="s">
        <v>1606</v>
      </c>
      <c r="I2199" s="4" t="s">
        <v>1869</v>
      </c>
      <c r="J2199" s="4" t="s">
        <v>4781</v>
      </c>
      <c r="K2199" s="8"/>
      <c r="L2199" s="8" t="s">
        <v>33</v>
      </c>
      <c r="M2199" s="9">
        <f t="shared" si="1"/>
        <v>65</v>
      </c>
    </row>
    <row r="2200" ht="12.75" customHeight="1">
      <c r="A2200" s="4">
        <f t="shared" si="2"/>
        <v>2199</v>
      </c>
      <c r="B2200" s="4" t="s">
        <v>4790</v>
      </c>
      <c r="C2200" s="5" t="s">
        <v>4791</v>
      </c>
      <c r="D2200" s="4"/>
      <c r="E2200" s="4"/>
      <c r="F2200" s="4" t="s">
        <v>371</v>
      </c>
      <c r="G2200" s="21">
        <v>0.27</v>
      </c>
      <c r="H2200" s="7" t="s">
        <v>1606</v>
      </c>
      <c r="I2200" s="4" t="s">
        <v>1869</v>
      </c>
      <c r="J2200" s="4" t="s">
        <v>4781</v>
      </c>
      <c r="K2200" s="8"/>
      <c r="L2200" s="8" t="s">
        <v>33</v>
      </c>
      <c r="M2200" s="9">
        <f t="shared" si="1"/>
        <v>69</v>
      </c>
    </row>
    <row r="2201" ht="12.75" customHeight="1">
      <c r="A2201" s="4">
        <f t="shared" si="2"/>
        <v>2200</v>
      </c>
      <c r="B2201" s="4" t="s">
        <v>4792</v>
      </c>
      <c r="C2201" s="5" t="s">
        <v>4793</v>
      </c>
      <c r="D2201" s="4"/>
      <c r="E2201" s="4"/>
      <c r="F2201" s="4" t="s">
        <v>371</v>
      </c>
      <c r="G2201" s="21">
        <v>0.27</v>
      </c>
      <c r="H2201" s="7" t="s">
        <v>1606</v>
      </c>
      <c r="I2201" s="4" t="s">
        <v>1869</v>
      </c>
      <c r="J2201" s="4" t="s">
        <v>4781</v>
      </c>
      <c r="K2201" s="8"/>
      <c r="L2201" s="8" t="s">
        <v>33</v>
      </c>
      <c r="M2201" s="9">
        <f t="shared" si="1"/>
        <v>69</v>
      </c>
    </row>
    <row r="2202" ht="12.75" customHeight="1">
      <c r="A2202" s="4">
        <f t="shared" si="2"/>
        <v>2201</v>
      </c>
      <c r="B2202" s="4" t="s">
        <v>4794</v>
      </c>
      <c r="C2202" s="5" t="s">
        <v>4795</v>
      </c>
      <c r="D2202" s="4"/>
      <c r="E2202" s="4"/>
      <c r="F2202" s="4" t="s">
        <v>371</v>
      </c>
      <c r="G2202" s="21">
        <v>0.41</v>
      </c>
      <c r="H2202" s="7" t="s">
        <v>1606</v>
      </c>
      <c r="I2202" s="4" t="s">
        <v>1869</v>
      </c>
      <c r="J2202" s="4" t="s">
        <v>4781</v>
      </c>
      <c r="K2202" s="8"/>
      <c r="L2202" s="8" t="s">
        <v>33</v>
      </c>
      <c r="M2202" s="9">
        <f t="shared" si="1"/>
        <v>69</v>
      </c>
    </row>
    <row r="2203" ht="12.75" customHeight="1">
      <c r="A2203" s="4">
        <f t="shared" si="2"/>
        <v>2202</v>
      </c>
      <c r="B2203" s="4" t="s">
        <v>4796</v>
      </c>
      <c r="C2203" s="5" t="s">
        <v>4797</v>
      </c>
      <c r="D2203" s="4"/>
      <c r="E2203" s="4"/>
      <c r="F2203" s="4" t="s">
        <v>371</v>
      </c>
      <c r="G2203" s="6">
        <v>0.32</v>
      </c>
      <c r="H2203" s="7" t="s">
        <v>1606</v>
      </c>
      <c r="I2203" s="4" t="s">
        <v>1869</v>
      </c>
      <c r="J2203" s="4" t="s">
        <v>4781</v>
      </c>
      <c r="K2203" s="8"/>
      <c r="L2203" s="8" t="s">
        <v>33</v>
      </c>
      <c r="M2203" s="9">
        <f t="shared" si="1"/>
        <v>65</v>
      </c>
    </row>
    <row r="2204" ht="12.75" customHeight="1">
      <c r="A2204" s="4">
        <f t="shared" si="2"/>
        <v>2203</v>
      </c>
      <c r="B2204" s="4" t="s">
        <v>4798</v>
      </c>
      <c r="C2204" s="5" t="s">
        <v>4799</v>
      </c>
      <c r="D2204" s="4"/>
      <c r="E2204" s="4"/>
      <c r="F2204" s="4" t="s">
        <v>371</v>
      </c>
      <c r="G2204" s="6">
        <v>4.59</v>
      </c>
      <c r="H2204" s="7" t="s">
        <v>1606</v>
      </c>
      <c r="I2204" s="4" t="s">
        <v>1869</v>
      </c>
      <c r="J2204" s="4" t="s">
        <v>4781</v>
      </c>
      <c r="K2204" s="8"/>
      <c r="L2204" s="8" t="s">
        <v>33</v>
      </c>
      <c r="M2204" s="9">
        <f t="shared" si="1"/>
        <v>69</v>
      </c>
    </row>
    <row r="2205" ht="12.75" customHeight="1">
      <c r="A2205" s="4">
        <f t="shared" si="2"/>
        <v>2204</v>
      </c>
      <c r="B2205" s="4" t="s">
        <v>4800</v>
      </c>
      <c r="C2205" s="5" t="s">
        <v>4801</v>
      </c>
      <c r="D2205" s="4"/>
      <c r="E2205" s="4"/>
      <c r="F2205" s="4" t="s">
        <v>371</v>
      </c>
      <c r="G2205" s="6">
        <v>0.68</v>
      </c>
      <c r="H2205" s="7" t="s">
        <v>1606</v>
      </c>
      <c r="I2205" s="4" t="s">
        <v>1869</v>
      </c>
      <c r="J2205" s="4" t="s">
        <v>4781</v>
      </c>
      <c r="K2205" s="8"/>
      <c r="L2205" s="8" t="s">
        <v>33</v>
      </c>
      <c r="M2205" s="9">
        <f t="shared" si="1"/>
        <v>69</v>
      </c>
    </row>
    <row r="2206" ht="12.75" customHeight="1">
      <c r="A2206" s="4">
        <f t="shared" si="2"/>
        <v>2205</v>
      </c>
      <c r="B2206" s="4" t="s">
        <v>4802</v>
      </c>
      <c r="C2206" s="5" t="s">
        <v>4803</v>
      </c>
      <c r="D2206" s="4"/>
      <c r="E2206" s="4"/>
      <c r="F2206" s="4" t="s">
        <v>371</v>
      </c>
      <c r="G2206" s="6">
        <v>0.68</v>
      </c>
      <c r="H2206" s="7" t="s">
        <v>1606</v>
      </c>
      <c r="I2206" s="4" t="s">
        <v>1869</v>
      </c>
      <c r="J2206" s="4" t="s">
        <v>4781</v>
      </c>
      <c r="K2206" s="8"/>
      <c r="L2206" s="8" t="s">
        <v>33</v>
      </c>
      <c r="M2206" s="9">
        <f t="shared" si="1"/>
        <v>65</v>
      </c>
    </row>
    <row r="2207" ht="12.75" customHeight="1">
      <c r="A2207" s="4">
        <f t="shared" si="2"/>
        <v>2206</v>
      </c>
      <c r="B2207" s="4" t="s">
        <v>4804</v>
      </c>
      <c r="C2207" s="5" t="s">
        <v>4805</v>
      </c>
      <c r="D2207" s="4"/>
      <c r="E2207" s="4"/>
      <c r="F2207" s="4" t="s">
        <v>371</v>
      </c>
      <c r="G2207" s="6">
        <v>0.68</v>
      </c>
      <c r="H2207" s="7" t="s">
        <v>1606</v>
      </c>
      <c r="I2207" s="4" t="s">
        <v>1869</v>
      </c>
      <c r="J2207" s="4" t="s">
        <v>4781</v>
      </c>
      <c r="K2207" s="8"/>
      <c r="L2207" s="8" t="s">
        <v>33</v>
      </c>
      <c r="M2207" s="9">
        <f t="shared" si="1"/>
        <v>65</v>
      </c>
    </row>
    <row r="2208" ht="12.75" customHeight="1">
      <c r="A2208" s="4">
        <f t="shared" si="2"/>
        <v>2207</v>
      </c>
      <c r="B2208" s="4" t="s">
        <v>4806</v>
      </c>
      <c r="C2208" s="5" t="s">
        <v>4807</v>
      </c>
      <c r="D2208" s="4"/>
      <c r="E2208" s="4"/>
      <c r="F2208" s="4" t="s">
        <v>371</v>
      </c>
      <c r="G2208" s="6">
        <v>1.35</v>
      </c>
      <c r="H2208" s="7" t="s">
        <v>1606</v>
      </c>
      <c r="I2208" s="4" t="s">
        <v>1869</v>
      </c>
      <c r="J2208" s="4" t="s">
        <v>4781</v>
      </c>
      <c r="K2208" s="8"/>
      <c r="L2208" s="8" t="s">
        <v>33</v>
      </c>
      <c r="M2208" s="9">
        <f t="shared" si="1"/>
        <v>69</v>
      </c>
    </row>
    <row r="2209" ht="12.75" customHeight="1">
      <c r="A2209" s="4">
        <f t="shared" si="2"/>
        <v>2208</v>
      </c>
      <c r="B2209" s="4" t="s">
        <v>4808</v>
      </c>
      <c r="C2209" s="5" t="s">
        <v>4809</v>
      </c>
      <c r="D2209" s="4"/>
      <c r="E2209" s="4"/>
      <c r="F2209" s="4" t="s">
        <v>371</v>
      </c>
      <c r="G2209" s="6">
        <v>1.89</v>
      </c>
      <c r="H2209" s="7" t="s">
        <v>1606</v>
      </c>
      <c r="I2209" s="4" t="s">
        <v>1869</v>
      </c>
      <c r="J2209" s="4" t="s">
        <v>4781</v>
      </c>
      <c r="K2209" s="8"/>
      <c r="L2209" s="8" t="s">
        <v>33</v>
      </c>
      <c r="M2209" s="9">
        <f t="shared" si="1"/>
        <v>69</v>
      </c>
    </row>
    <row r="2210" ht="12.75" customHeight="1">
      <c r="A2210" s="4">
        <f t="shared" si="2"/>
        <v>2209</v>
      </c>
      <c r="B2210" s="4" t="s">
        <v>4810</v>
      </c>
      <c r="C2210" s="5" t="s">
        <v>4811</v>
      </c>
      <c r="D2210" s="4"/>
      <c r="E2210" s="4"/>
      <c r="F2210" s="4" t="s">
        <v>371</v>
      </c>
      <c r="G2210" s="6">
        <v>1.62</v>
      </c>
      <c r="H2210" s="7" t="s">
        <v>1606</v>
      </c>
      <c r="I2210" s="4" t="s">
        <v>1869</v>
      </c>
      <c r="J2210" s="4" t="s">
        <v>4781</v>
      </c>
      <c r="K2210" s="8"/>
      <c r="L2210" s="8" t="s">
        <v>33</v>
      </c>
      <c r="M2210" s="9">
        <f t="shared" si="1"/>
        <v>65</v>
      </c>
    </row>
    <row r="2211" ht="12.75" customHeight="1">
      <c r="A2211" s="4">
        <f t="shared" si="2"/>
        <v>2210</v>
      </c>
      <c r="B2211" s="4" t="s">
        <v>4812</v>
      </c>
      <c r="C2211" s="5" t="s">
        <v>4813</v>
      </c>
      <c r="D2211" s="4"/>
      <c r="E2211" s="4"/>
      <c r="F2211" s="4" t="s">
        <v>22</v>
      </c>
      <c r="G2211" s="6">
        <v>2.43</v>
      </c>
      <c r="H2211" s="7" t="s">
        <v>1606</v>
      </c>
      <c r="I2211" s="4" t="s">
        <v>1869</v>
      </c>
      <c r="J2211" s="4" t="s">
        <v>4781</v>
      </c>
      <c r="K2211" s="8"/>
      <c r="L2211" s="8" t="s">
        <v>33</v>
      </c>
      <c r="M2211" s="9">
        <f t="shared" si="1"/>
        <v>65</v>
      </c>
    </row>
    <row r="2212" ht="12.75" customHeight="1">
      <c r="A2212" s="4">
        <f t="shared" si="2"/>
        <v>2211</v>
      </c>
      <c r="B2212" s="4" t="s">
        <v>4814</v>
      </c>
      <c r="C2212" s="5" t="s">
        <v>4815</v>
      </c>
      <c r="D2212" s="4"/>
      <c r="E2212" s="4"/>
      <c r="F2212" s="4" t="s">
        <v>371</v>
      </c>
      <c r="G2212" s="6">
        <v>3.24</v>
      </c>
      <c r="H2212" s="7" t="s">
        <v>1606</v>
      </c>
      <c r="I2212" s="4" t="s">
        <v>1869</v>
      </c>
      <c r="J2212" s="4" t="s">
        <v>4781</v>
      </c>
      <c r="K2212" s="8"/>
      <c r="L2212" s="8" t="s">
        <v>33</v>
      </c>
      <c r="M2212" s="9">
        <f t="shared" si="1"/>
        <v>65</v>
      </c>
    </row>
    <row r="2213" ht="12.75" customHeight="1">
      <c r="A2213" s="4">
        <f t="shared" si="2"/>
        <v>2212</v>
      </c>
      <c r="B2213" s="4" t="s">
        <v>4816</v>
      </c>
      <c r="C2213" s="5" t="s">
        <v>4817</v>
      </c>
      <c r="D2213" s="4"/>
      <c r="E2213" s="4"/>
      <c r="F2213" s="4" t="s">
        <v>22</v>
      </c>
      <c r="G2213" s="6">
        <v>109.19</v>
      </c>
      <c r="H2213" s="7" t="s">
        <v>1606</v>
      </c>
      <c r="I2213" s="4" t="s">
        <v>2423</v>
      </c>
      <c r="J2213" s="4" t="s">
        <v>2424</v>
      </c>
      <c r="K2213" s="8"/>
      <c r="L2213" s="8" t="s">
        <v>33</v>
      </c>
      <c r="M2213" s="9">
        <f t="shared" si="1"/>
        <v>43</v>
      </c>
    </row>
    <row r="2214" ht="12.75" customHeight="1">
      <c r="A2214" s="4">
        <f t="shared" si="2"/>
        <v>2213</v>
      </c>
      <c r="B2214" s="4" t="s">
        <v>4818</v>
      </c>
      <c r="C2214" s="5" t="s">
        <v>4819</v>
      </c>
      <c r="D2214" s="4"/>
      <c r="E2214" s="4"/>
      <c r="F2214" s="4" t="s">
        <v>22</v>
      </c>
      <c r="G2214" s="6">
        <v>109.19</v>
      </c>
      <c r="H2214" s="7" t="s">
        <v>1606</v>
      </c>
      <c r="I2214" s="4" t="s">
        <v>2423</v>
      </c>
      <c r="J2214" s="4" t="s">
        <v>2424</v>
      </c>
      <c r="K2214" s="8"/>
      <c r="L2214" s="8" t="s">
        <v>33</v>
      </c>
      <c r="M2214" s="9">
        <f t="shared" si="1"/>
        <v>43</v>
      </c>
    </row>
    <row r="2215" ht="12.75" customHeight="1">
      <c r="A2215" s="4">
        <f t="shared" si="2"/>
        <v>2214</v>
      </c>
      <c r="B2215" s="4" t="s">
        <v>4820</v>
      </c>
      <c r="C2215" s="5" t="s">
        <v>4821</v>
      </c>
      <c r="D2215" s="4"/>
      <c r="E2215" s="4"/>
      <c r="F2215" s="4" t="s">
        <v>22</v>
      </c>
      <c r="G2215" s="6">
        <v>53.49</v>
      </c>
      <c r="H2215" s="7" t="s">
        <v>1606</v>
      </c>
      <c r="I2215" s="4" t="s">
        <v>2423</v>
      </c>
      <c r="J2215" s="4" t="s">
        <v>2424</v>
      </c>
      <c r="K2215" s="8"/>
      <c r="L2215" s="8" t="s">
        <v>33</v>
      </c>
      <c r="M2215" s="9">
        <f t="shared" si="1"/>
        <v>42</v>
      </c>
    </row>
    <row r="2216" ht="12.75" customHeight="1">
      <c r="A2216" s="4">
        <f t="shared" si="2"/>
        <v>2215</v>
      </c>
      <c r="B2216" s="4" t="s">
        <v>4822</v>
      </c>
      <c r="C2216" s="5" t="s">
        <v>4823</v>
      </c>
      <c r="D2216" s="4"/>
      <c r="E2216" s="4"/>
      <c r="F2216" s="4" t="s">
        <v>22</v>
      </c>
      <c r="G2216" s="6">
        <v>1.42</v>
      </c>
      <c r="H2216" s="7" t="s">
        <v>1606</v>
      </c>
      <c r="I2216" s="4" t="s">
        <v>2423</v>
      </c>
      <c r="J2216" s="4" t="s">
        <v>2424</v>
      </c>
      <c r="K2216" s="8"/>
      <c r="L2216" s="8" t="s">
        <v>4824</v>
      </c>
      <c r="M2216" s="9">
        <f t="shared" si="1"/>
        <v>18</v>
      </c>
    </row>
    <row r="2217" ht="12.75" customHeight="1">
      <c r="A2217" s="4">
        <f t="shared" si="2"/>
        <v>2216</v>
      </c>
      <c r="B2217" s="4" t="s">
        <v>4825</v>
      </c>
      <c r="C2217" s="5" t="s">
        <v>4826</v>
      </c>
      <c r="D2217" s="4"/>
      <c r="E2217" s="4"/>
      <c r="F2217" s="4" t="s">
        <v>22</v>
      </c>
      <c r="G2217" s="6">
        <v>1.28</v>
      </c>
      <c r="H2217" s="7" t="s">
        <v>1606</v>
      </c>
      <c r="I2217" s="4" t="s">
        <v>2423</v>
      </c>
      <c r="J2217" s="4" t="s">
        <v>2424</v>
      </c>
      <c r="K2217" s="8"/>
      <c r="L2217" s="8" t="s">
        <v>4824</v>
      </c>
      <c r="M2217" s="9">
        <f t="shared" si="1"/>
        <v>19</v>
      </c>
    </row>
    <row r="2218" ht="12.75" customHeight="1">
      <c r="A2218" s="4">
        <f t="shared" si="2"/>
        <v>2217</v>
      </c>
      <c r="B2218" s="4" t="s">
        <v>4827</v>
      </c>
      <c r="C2218" s="5" t="s">
        <v>4828</v>
      </c>
      <c r="D2218" s="4"/>
      <c r="E2218" s="4"/>
      <c r="F2218" s="4" t="s">
        <v>22</v>
      </c>
      <c r="G2218" s="6">
        <v>8.65</v>
      </c>
      <c r="H2218" s="7" t="s">
        <v>1606</v>
      </c>
      <c r="I2218" s="4" t="s">
        <v>2423</v>
      </c>
      <c r="J2218" s="4" t="s">
        <v>2424</v>
      </c>
      <c r="K2218" s="8"/>
      <c r="L2218" s="8" t="s">
        <v>4824</v>
      </c>
      <c r="M2218" s="9">
        <f t="shared" si="1"/>
        <v>17</v>
      </c>
    </row>
    <row r="2219" ht="12.75" customHeight="1">
      <c r="A2219" s="4">
        <f t="shared" si="2"/>
        <v>2218</v>
      </c>
      <c r="B2219" s="4" t="s">
        <v>4829</v>
      </c>
      <c r="C2219" s="5" t="s">
        <v>4830</v>
      </c>
      <c r="D2219" s="4"/>
      <c r="E2219" s="4"/>
      <c r="F2219" s="4" t="s">
        <v>22</v>
      </c>
      <c r="G2219" s="6">
        <v>3.04</v>
      </c>
      <c r="H2219" s="7" t="s">
        <v>1606</v>
      </c>
      <c r="I2219" s="4" t="s">
        <v>2423</v>
      </c>
      <c r="J2219" s="4" t="s">
        <v>2424</v>
      </c>
      <c r="K2219" s="8"/>
      <c r="L2219" s="8" t="s">
        <v>4831</v>
      </c>
      <c r="M2219" s="9">
        <f t="shared" si="1"/>
        <v>28</v>
      </c>
    </row>
    <row r="2220" ht="12.75" customHeight="1">
      <c r="A2220" s="4">
        <f t="shared" si="2"/>
        <v>2219</v>
      </c>
      <c r="B2220" s="4" t="s">
        <v>4832</v>
      </c>
      <c r="C2220" s="5" t="s">
        <v>4833</v>
      </c>
      <c r="D2220" s="4"/>
      <c r="E2220" s="4"/>
      <c r="F2220" s="4" t="s">
        <v>22</v>
      </c>
      <c r="G2220" s="6">
        <v>5.06</v>
      </c>
      <c r="H2220" s="7" t="s">
        <v>1606</v>
      </c>
      <c r="I2220" s="4" t="s">
        <v>2423</v>
      </c>
      <c r="J2220" s="4" t="s">
        <v>2424</v>
      </c>
      <c r="K2220" s="8"/>
      <c r="L2220" s="8" t="s">
        <v>4831</v>
      </c>
      <c r="M2220" s="9">
        <f t="shared" si="1"/>
        <v>20</v>
      </c>
    </row>
    <row r="2221" ht="12.75" customHeight="1">
      <c r="A2221" s="4">
        <f t="shared" si="2"/>
        <v>2220</v>
      </c>
      <c r="B2221" s="4" t="s">
        <v>4834</v>
      </c>
      <c r="C2221" s="5" t="s">
        <v>4835</v>
      </c>
      <c r="D2221" s="4"/>
      <c r="E2221" s="4"/>
      <c r="F2221" s="4" t="s">
        <v>22</v>
      </c>
      <c r="G2221" s="6">
        <v>3.22</v>
      </c>
      <c r="H2221" s="7" t="s">
        <v>1606</v>
      </c>
      <c r="I2221" s="4" t="s">
        <v>2028</v>
      </c>
      <c r="J2221" s="4" t="s">
        <v>2029</v>
      </c>
      <c r="K2221" s="8"/>
      <c r="L2221" s="8" t="s">
        <v>33</v>
      </c>
      <c r="M2221" s="9">
        <f t="shared" si="1"/>
        <v>42</v>
      </c>
    </row>
    <row r="2222" ht="12.75" customHeight="1">
      <c r="A2222" s="4">
        <f t="shared" si="2"/>
        <v>2221</v>
      </c>
      <c r="B2222" s="4" t="s">
        <v>4836</v>
      </c>
      <c r="C2222" s="5" t="s">
        <v>4837</v>
      </c>
      <c r="D2222" s="4"/>
      <c r="E2222" s="4"/>
      <c r="F2222" s="4" t="s">
        <v>1694</v>
      </c>
      <c r="G2222" s="6">
        <v>9.28</v>
      </c>
      <c r="H2222" s="7" t="s">
        <v>1606</v>
      </c>
      <c r="I2222" s="4" t="s">
        <v>2044</v>
      </c>
      <c r="J2222" s="4" t="s">
        <v>2045</v>
      </c>
      <c r="K2222" s="8"/>
      <c r="L2222" s="8" t="s">
        <v>3356</v>
      </c>
      <c r="M2222" s="9">
        <f t="shared" si="1"/>
        <v>43</v>
      </c>
    </row>
    <row r="2223" ht="12.75" customHeight="1">
      <c r="A2223" s="4">
        <f t="shared" si="2"/>
        <v>2222</v>
      </c>
      <c r="B2223" s="4" t="s">
        <v>4838</v>
      </c>
      <c r="C2223" s="5" t="s">
        <v>4839</v>
      </c>
      <c r="D2223" s="4"/>
      <c r="E2223" s="4"/>
      <c r="F2223" s="4" t="s">
        <v>1694</v>
      </c>
      <c r="G2223" s="6">
        <v>61.08</v>
      </c>
      <c r="H2223" s="7" t="s">
        <v>1606</v>
      </c>
      <c r="I2223" s="4" t="s">
        <v>2044</v>
      </c>
      <c r="J2223" s="4" t="s">
        <v>2045</v>
      </c>
      <c r="K2223" s="8"/>
      <c r="L2223" s="8" t="s">
        <v>3356</v>
      </c>
      <c r="M2223" s="9">
        <f t="shared" si="1"/>
        <v>39</v>
      </c>
    </row>
    <row r="2224" ht="12.75" customHeight="1">
      <c r="A2224" s="4">
        <f t="shared" si="2"/>
        <v>2223</v>
      </c>
      <c r="B2224" s="4" t="s">
        <v>4840</v>
      </c>
      <c r="C2224" s="5" t="s">
        <v>4841</v>
      </c>
      <c r="D2224" s="4"/>
      <c r="E2224" s="4"/>
      <c r="F2224" s="4" t="s">
        <v>22</v>
      </c>
      <c r="G2224" s="6">
        <v>36.5</v>
      </c>
      <c r="H2224" s="7" t="s">
        <v>1606</v>
      </c>
      <c r="I2224" s="4" t="s">
        <v>2044</v>
      </c>
      <c r="J2224" s="4" t="s">
        <v>3655</v>
      </c>
      <c r="K2224" s="8"/>
      <c r="L2224" s="8" t="s">
        <v>4842</v>
      </c>
      <c r="M2224" s="9">
        <f t="shared" si="1"/>
        <v>77</v>
      </c>
    </row>
    <row r="2225" ht="12.75" customHeight="1">
      <c r="A2225" s="4">
        <f t="shared" si="2"/>
        <v>2224</v>
      </c>
      <c r="B2225" s="4" t="s">
        <v>4843</v>
      </c>
      <c r="C2225" s="5" t="s">
        <v>4844</v>
      </c>
      <c r="D2225" s="4"/>
      <c r="E2225" s="4"/>
      <c r="F2225" s="4" t="s">
        <v>22</v>
      </c>
      <c r="G2225" s="6">
        <v>2.16</v>
      </c>
      <c r="H2225" s="7" t="s">
        <v>1606</v>
      </c>
      <c r="I2225" s="4" t="s">
        <v>2044</v>
      </c>
      <c r="J2225" s="4" t="s">
        <v>3655</v>
      </c>
      <c r="K2225" s="8"/>
      <c r="L2225" s="8" t="s">
        <v>4845</v>
      </c>
      <c r="M2225" s="9">
        <f t="shared" si="1"/>
        <v>32</v>
      </c>
    </row>
    <row r="2226" ht="12.75" customHeight="1">
      <c r="A2226" s="4">
        <f t="shared" si="2"/>
        <v>2225</v>
      </c>
      <c r="B2226" s="4" t="s">
        <v>4846</v>
      </c>
      <c r="C2226" s="5" t="s">
        <v>4847</v>
      </c>
      <c r="D2226" s="4"/>
      <c r="E2226" s="4"/>
      <c r="F2226" s="4" t="s">
        <v>22</v>
      </c>
      <c r="G2226" s="6">
        <v>2.16</v>
      </c>
      <c r="H2226" s="7" t="s">
        <v>1606</v>
      </c>
      <c r="I2226" s="4" t="s">
        <v>2044</v>
      </c>
      <c r="J2226" s="4" t="s">
        <v>3655</v>
      </c>
      <c r="K2226" s="8"/>
      <c r="L2226" s="8" t="s">
        <v>4845</v>
      </c>
      <c r="M2226" s="9">
        <f t="shared" si="1"/>
        <v>28</v>
      </c>
    </row>
    <row r="2227" ht="12.75" customHeight="1">
      <c r="A2227" s="4">
        <f t="shared" si="2"/>
        <v>2226</v>
      </c>
      <c r="B2227" s="4" t="s">
        <v>4848</v>
      </c>
      <c r="C2227" s="5" t="s">
        <v>4849</v>
      </c>
      <c r="D2227" s="4"/>
      <c r="E2227" s="4"/>
      <c r="F2227" s="4" t="s">
        <v>22</v>
      </c>
      <c r="G2227" s="6">
        <v>2.16</v>
      </c>
      <c r="H2227" s="7" t="s">
        <v>1606</v>
      </c>
      <c r="I2227" s="4" t="s">
        <v>2044</v>
      </c>
      <c r="J2227" s="4" t="s">
        <v>3655</v>
      </c>
      <c r="K2227" s="8"/>
      <c r="L2227" s="8" t="s">
        <v>4845</v>
      </c>
      <c r="M2227" s="9">
        <f t="shared" si="1"/>
        <v>30</v>
      </c>
    </row>
    <row r="2228" ht="12.75" customHeight="1">
      <c r="A2228" s="4">
        <f t="shared" si="2"/>
        <v>2227</v>
      </c>
      <c r="B2228" s="4" t="s">
        <v>4850</v>
      </c>
      <c r="C2228" s="5" t="s">
        <v>4851</v>
      </c>
      <c r="D2228" s="4"/>
      <c r="E2228" s="4"/>
      <c r="F2228" s="4" t="s">
        <v>22</v>
      </c>
      <c r="G2228" s="6">
        <v>2.16</v>
      </c>
      <c r="H2228" s="7" t="s">
        <v>1606</v>
      </c>
      <c r="I2228" s="4" t="s">
        <v>2044</v>
      </c>
      <c r="J2228" s="4" t="s">
        <v>3655</v>
      </c>
      <c r="K2228" s="8"/>
      <c r="L2228" s="8" t="s">
        <v>4845</v>
      </c>
      <c r="M2228" s="9">
        <f t="shared" si="1"/>
        <v>28</v>
      </c>
    </row>
    <row r="2229" ht="12.75" customHeight="1">
      <c r="A2229" s="4">
        <f t="shared" si="2"/>
        <v>2228</v>
      </c>
      <c r="B2229" s="4" t="s">
        <v>4852</v>
      </c>
      <c r="C2229" s="5" t="s">
        <v>4853</v>
      </c>
      <c r="D2229" s="4"/>
      <c r="E2229" s="4"/>
      <c r="F2229" s="4" t="s">
        <v>22</v>
      </c>
      <c r="G2229" s="6">
        <v>2.16</v>
      </c>
      <c r="H2229" s="7" t="s">
        <v>1606</v>
      </c>
      <c r="I2229" s="4" t="s">
        <v>2044</v>
      </c>
      <c r="J2229" s="4" t="s">
        <v>3655</v>
      </c>
      <c r="K2229" s="8"/>
      <c r="L2229" s="8" t="s">
        <v>4845</v>
      </c>
      <c r="M2229" s="9">
        <f t="shared" si="1"/>
        <v>34</v>
      </c>
    </row>
    <row r="2230" ht="12.75" customHeight="1">
      <c r="A2230" s="4">
        <f t="shared" si="2"/>
        <v>2229</v>
      </c>
      <c r="B2230" s="4" t="s">
        <v>4854</v>
      </c>
      <c r="C2230" s="5" t="s">
        <v>4855</v>
      </c>
      <c r="D2230" s="4"/>
      <c r="E2230" s="4"/>
      <c r="F2230" s="4" t="s">
        <v>22</v>
      </c>
      <c r="G2230" s="6">
        <v>2.16</v>
      </c>
      <c r="H2230" s="7" t="s">
        <v>1606</v>
      </c>
      <c r="I2230" s="4" t="s">
        <v>2044</v>
      </c>
      <c r="J2230" s="4" t="s">
        <v>3655</v>
      </c>
      <c r="K2230" s="8"/>
      <c r="L2230" s="8" t="s">
        <v>4845</v>
      </c>
      <c r="M2230" s="9">
        <f t="shared" si="1"/>
        <v>29</v>
      </c>
    </row>
    <row r="2231" ht="12.75" customHeight="1">
      <c r="A2231" s="4">
        <f t="shared" si="2"/>
        <v>2230</v>
      </c>
      <c r="B2231" s="4" t="s">
        <v>4856</v>
      </c>
      <c r="C2231" s="5" t="s">
        <v>4857</v>
      </c>
      <c r="D2231" s="4"/>
      <c r="E2231" s="4"/>
      <c r="F2231" s="4" t="s">
        <v>22</v>
      </c>
      <c r="G2231" s="6">
        <v>2.16</v>
      </c>
      <c r="H2231" s="7" t="s">
        <v>1606</v>
      </c>
      <c r="I2231" s="4" t="s">
        <v>2044</v>
      </c>
      <c r="J2231" s="4" t="s">
        <v>3655</v>
      </c>
      <c r="K2231" s="8"/>
      <c r="L2231" s="8" t="s">
        <v>4845</v>
      </c>
      <c r="M2231" s="9">
        <f t="shared" si="1"/>
        <v>29</v>
      </c>
    </row>
    <row r="2232" ht="12.75" customHeight="1">
      <c r="A2232" s="4">
        <f t="shared" si="2"/>
        <v>2231</v>
      </c>
      <c r="B2232" s="4" t="s">
        <v>4858</v>
      </c>
      <c r="C2232" s="5" t="s">
        <v>4859</v>
      </c>
      <c r="D2232" s="4"/>
      <c r="E2232" s="4"/>
      <c r="F2232" s="4" t="s">
        <v>22</v>
      </c>
      <c r="G2232" s="6">
        <v>2.16</v>
      </c>
      <c r="H2232" s="7" t="s">
        <v>1606</v>
      </c>
      <c r="I2232" s="4" t="s">
        <v>2044</v>
      </c>
      <c r="J2232" s="4" t="s">
        <v>3655</v>
      </c>
      <c r="K2232" s="8"/>
      <c r="L2232" s="8" t="s">
        <v>4845</v>
      </c>
      <c r="M2232" s="9">
        <f t="shared" si="1"/>
        <v>28</v>
      </c>
    </row>
    <row r="2233" ht="12.75" customHeight="1">
      <c r="A2233" s="4">
        <f t="shared" si="2"/>
        <v>2232</v>
      </c>
      <c r="B2233" s="4" t="s">
        <v>4860</v>
      </c>
      <c r="C2233" s="5" t="s">
        <v>4861</v>
      </c>
      <c r="D2233" s="4"/>
      <c r="E2233" s="4"/>
      <c r="F2233" s="4" t="s">
        <v>22</v>
      </c>
      <c r="G2233" s="6">
        <v>2.16</v>
      </c>
      <c r="H2233" s="7" t="s">
        <v>1606</v>
      </c>
      <c r="I2233" s="4" t="s">
        <v>2044</v>
      </c>
      <c r="J2233" s="4" t="s">
        <v>3655</v>
      </c>
      <c r="K2233" s="8"/>
      <c r="L2233" s="8" t="s">
        <v>4845</v>
      </c>
      <c r="M2233" s="9">
        <f t="shared" si="1"/>
        <v>29</v>
      </c>
    </row>
    <row r="2234" ht="12.75" customHeight="1">
      <c r="A2234" s="4">
        <f t="shared" si="2"/>
        <v>2233</v>
      </c>
      <c r="B2234" s="4" t="s">
        <v>4862</v>
      </c>
      <c r="C2234" s="5" t="s">
        <v>4863</v>
      </c>
      <c r="D2234" s="4"/>
      <c r="E2234" s="4"/>
      <c r="F2234" s="4" t="s">
        <v>3522</v>
      </c>
      <c r="G2234" s="6">
        <v>98.49</v>
      </c>
      <c r="H2234" s="7" t="s">
        <v>1606</v>
      </c>
      <c r="I2234" s="4" t="s">
        <v>2044</v>
      </c>
      <c r="J2234" s="4" t="s">
        <v>2045</v>
      </c>
      <c r="K2234" s="8"/>
      <c r="L2234" s="8" t="s">
        <v>2745</v>
      </c>
      <c r="M2234" s="9">
        <f t="shared" si="1"/>
        <v>59</v>
      </c>
    </row>
    <row r="2235" ht="12.75" customHeight="1">
      <c r="A2235" s="4">
        <f t="shared" si="2"/>
        <v>2234</v>
      </c>
      <c r="B2235" s="4" t="s">
        <v>4864</v>
      </c>
      <c r="C2235" s="5" t="s">
        <v>4865</v>
      </c>
      <c r="D2235" s="4"/>
      <c r="E2235" s="4"/>
      <c r="F2235" s="4" t="s">
        <v>1694</v>
      </c>
      <c r="G2235" s="6">
        <v>14.05</v>
      </c>
      <c r="H2235" s="7" t="s">
        <v>1606</v>
      </c>
      <c r="I2235" s="4" t="s">
        <v>2044</v>
      </c>
      <c r="J2235" s="4" t="s">
        <v>4380</v>
      </c>
      <c r="K2235" s="8"/>
      <c r="L2235" s="8" t="s">
        <v>3356</v>
      </c>
      <c r="M2235" s="9">
        <f t="shared" si="1"/>
        <v>41</v>
      </c>
    </row>
    <row r="2236" ht="12.75" customHeight="1">
      <c r="A2236" s="4">
        <f t="shared" si="2"/>
        <v>2235</v>
      </c>
      <c r="B2236" s="4" t="s">
        <v>4866</v>
      </c>
      <c r="C2236" s="5" t="s">
        <v>4867</v>
      </c>
      <c r="D2236" s="4"/>
      <c r="E2236" s="4"/>
      <c r="F2236" s="4" t="s">
        <v>1694</v>
      </c>
      <c r="G2236" s="6">
        <v>45.95</v>
      </c>
      <c r="H2236" s="7" t="s">
        <v>1606</v>
      </c>
      <c r="I2236" s="4" t="s">
        <v>2044</v>
      </c>
      <c r="J2236" s="4" t="s">
        <v>2045</v>
      </c>
      <c r="K2236" s="8"/>
      <c r="L2236" s="8" t="s">
        <v>3356</v>
      </c>
      <c r="M2236" s="9">
        <f t="shared" si="1"/>
        <v>51</v>
      </c>
    </row>
    <row r="2237" ht="12.75" customHeight="1">
      <c r="A2237" s="4">
        <f t="shared" si="2"/>
        <v>2236</v>
      </c>
      <c r="B2237" s="4" t="s">
        <v>4868</v>
      </c>
      <c r="C2237" s="5" t="s">
        <v>4869</v>
      </c>
      <c r="D2237" s="4"/>
      <c r="E2237" s="4"/>
      <c r="F2237" s="4" t="s">
        <v>1694</v>
      </c>
      <c r="G2237" s="6">
        <v>26.46</v>
      </c>
      <c r="H2237" s="7" t="s">
        <v>1606</v>
      </c>
      <c r="I2237" s="4" t="s">
        <v>2044</v>
      </c>
      <c r="J2237" s="4" t="s">
        <v>4380</v>
      </c>
      <c r="K2237" s="8"/>
      <c r="L2237" s="8" t="s">
        <v>3356</v>
      </c>
      <c r="M2237" s="9">
        <f t="shared" si="1"/>
        <v>36</v>
      </c>
    </row>
    <row r="2238" ht="12.75" customHeight="1">
      <c r="A2238" s="4">
        <f t="shared" si="2"/>
        <v>2237</v>
      </c>
      <c r="B2238" s="4" t="s">
        <v>4870</v>
      </c>
      <c r="C2238" s="5" t="s">
        <v>4871</v>
      </c>
      <c r="D2238" s="4"/>
      <c r="E2238" s="4"/>
      <c r="F2238" s="4" t="s">
        <v>1694</v>
      </c>
      <c r="G2238" s="6">
        <v>26.46</v>
      </c>
      <c r="H2238" s="7" t="s">
        <v>1606</v>
      </c>
      <c r="I2238" s="4" t="s">
        <v>2044</v>
      </c>
      <c r="J2238" s="4" t="s">
        <v>4380</v>
      </c>
      <c r="K2238" s="8"/>
      <c r="L2238" s="8" t="s">
        <v>3356</v>
      </c>
      <c r="M2238" s="9">
        <f t="shared" si="1"/>
        <v>41</v>
      </c>
    </row>
    <row r="2239" ht="12.75" customHeight="1">
      <c r="A2239" s="4">
        <f t="shared" si="2"/>
        <v>2238</v>
      </c>
      <c r="B2239" s="4" t="s">
        <v>4872</v>
      </c>
      <c r="C2239" s="5" t="s">
        <v>4873</v>
      </c>
      <c r="D2239" s="4"/>
      <c r="E2239" s="4"/>
      <c r="F2239" s="4" t="s">
        <v>1694</v>
      </c>
      <c r="G2239" s="6">
        <v>27.57</v>
      </c>
      <c r="H2239" s="7" t="s">
        <v>1606</v>
      </c>
      <c r="I2239" s="4" t="s">
        <v>2044</v>
      </c>
      <c r="J2239" s="4" t="s">
        <v>2045</v>
      </c>
      <c r="K2239" s="8"/>
      <c r="L2239" s="8" t="s">
        <v>3356</v>
      </c>
      <c r="M2239" s="9">
        <f t="shared" si="1"/>
        <v>54</v>
      </c>
    </row>
    <row r="2240" ht="12.75" customHeight="1">
      <c r="A2240" s="4">
        <f t="shared" si="2"/>
        <v>2239</v>
      </c>
      <c r="B2240" s="4" t="s">
        <v>4874</v>
      </c>
      <c r="C2240" s="5" t="s">
        <v>4875</v>
      </c>
      <c r="D2240" s="4"/>
      <c r="E2240" s="4"/>
      <c r="F2240" s="4" t="s">
        <v>1694</v>
      </c>
      <c r="G2240" s="6">
        <v>27.57</v>
      </c>
      <c r="H2240" s="7" t="s">
        <v>1606</v>
      </c>
      <c r="I2240" s="4" t="s">
        <v>2044</v>
      </c>
      <c r="J2240" s="4" t="s">
        <v>2045</v>
      </c>
      <c r="K2240" s="8"/>
      <c r="L2240" s="8" t="s">
        <v>3356</v>
      </c>
      <c r="M2240" s="9">
        <f t="shared" si="1"/>
        <v>53</v>
      </c>
    </row>
    <row r="2241" ht="12.75" customHeight="1">
      <c r="A2241" s="4">
        <f t="shared" si="2"/>
        <v>2240</v>
      </c>
      <c r="B2241" s="4" t="s">
        <v>4876</v>
      </c>
      <c r="C2241" s="5" t="s">
        <v>4877</v>
      </c>
      <c r="D2241" s="4"/>
      <c r="E2241" s="4"/>
      <c r="F2241" s="4" t="s">
        <v>1694</v>
      </c>
      <c r="G2241" s="6">
        <v>27.57</v>
      </c>
      <c r="H2241" s="7" t="s">
        <v>1606</v>
      </c>
      <c r="I2241" s="4" t="s">
        <v>2044</v>
      </c>
      <c r="J2241" s="4" t="s">
        <v>2045</v>
      </c>
      <c r="K2241" s="8"/>
      <c r="L2241" s="8" t="s">
        <v>3356</v>
      </c>
      <c r="M2241" s="9">
        <f t="shared" si="1"/>
        <v>51</v>
      </c>
    </row>
    <row r="2242" ht="12.75" customHeight="1">
      <c r="A2242" s="4">
        <f t="shared" si="2"/>
        <v>2241</v>
      </c>
      <c r="B2242" s="4" t="s">
        <v>4878</v>
      </c>
      <c r="C2242" s="5" t="s">
        <v>4879</v>
      </c>
      <c r="D2242" s="4"/>
      <c r="E2242" s="4"/>
      <c r="F2242" s="4" t="s">
        <v>22</v>
      </c>
      <c r="G2242" s="6">
        <v>98.88</v>
      </c>
      <c r="H2242" s="7" t="s">
        <v>1606</v>
      </c>
      <c r="I2242" s="4" t="s">
        <v>2044</v>
      </c>
      <c r="J2242" s="4" t="s">
        <v>2045</v>
      </c>
      <c r="K2242" s="8"/>
      <c r="L2242" s="8" t="s">
        <v>4880</v>
      </c>
      <c r="M2242" s="9">
        <f t="shared" si="1"/>
        <v>35</v>
      </c>
    </row>
    <row r="2243" ht="12.75" customHeight="1">
      <c r="A2243" s="4">
        <f t="shared" si="2"/>
        <v>2242</v>
      </c>
      <c r="B2243" s="4" t="s">
        <v>4881</v>
      </c>
      <c r="C2243" s="5" t="s">
        <v>4882</v>
      </c>
      <c r="D2243" s="4"/>
      <c r="E2243" s="4"/>
      <c r="F2243" s="4" t="s">
        <v>22</v>
      </c>
      <c r="G2243" s="6">
        <v>4.53</v>
      </c>
      <c r="H2243" s="7" t="s">
        <v>1606</v>
      </c>
      <c r="I2243" s="4" t="s">
        <v>17</v>
      </c>
      <c r="J2243" s="4" t="s">
        <v>2593</v>
      </c>
      <c r="K2243" s="8"/>
      <c r="L2243" s="8" t="s">
        <v>2594</v>
      </c>
      <c r="M2243" s="9">
        <f t="shared" si="1"/>
        <v>64</v>
      </c>
    </row>
    <row r="2244" ht="12.75" customHeight="1">
      <c r="A2244" s="4">
        <f t="shared" si="2"/>
        <v>2243</v>
      </c>
      <c r="B2244" s="4" t="s">
        <v>4883</v>
      </c>
      <c r="C2244" s="5" t="s">
        <v>4884</v>
      </c>
      <c r="D2244" s="4"/>
      <c r="E2244" s="4"/>
      <c r="F2244" s="4" t="s">
        <v>22</v>
      </c>
      <c r="G2244" s="6">
        <v>8.11</v>
      </c>
      <c r="H2244" s="7" t="s">
        <v>1606</v>
      </c>
      <c r="I2244" s="4" t="s">
        <v>1773</v>
      </c>
      <c r="J2244" s="4" t="s">
        <v>1774</v>
      </c>
      <c r="K2244" s="8"/>
      <c r="L2244" s="8" t="s">
        <v>3551</v>
      </c>
      <c r="M2244" s="9">
        <f t="shared" si="1"/>
        <v>54</v>
      </c>
    </row>
    <row r="2245" ht="12.75" customHeight="1">
      <c r="A2245" s="4">
        <f t="shared" si="2"/>
        <v>2244</v>
      </c>
      <c r="B2245" s="4" t="s">
        <v>4885</v>
      </c>
      <c r="C2245" s="5" t="s">
        <v>4886</v>
      </c>
      <c r="D2245" s="4"/>
      <c r="E2245" s="4"/>
      <c r="F2245" s="4" t="s">
        <v>22</v>
      </c>
      <c r="G2245" s="6">
        <v>3.84</v>
      </c>
      <c r="H2245" s="7" t="s">
        <v>1606</v>
      </c>
      <c r="I2245" s="4" t="s">
        <v>1773</v>
      </c>
      <c r="J2245" s="4" t="s">
        <v>1774</v>
      </c>
      <c r="K2245" s="8"/>
      <c r="L2245" s="8" t="s">
        <v>3551</v>
      </c>
      <c r="M2245" s="9">
        <f t="shared" si="1"/>
        <v>52</v>
      </c>
    </row>
    <row r="2246" ht="12.75" customHeight="1">
      <c r="A2246" s="4">
        <f t="shared" si="2"/>
        <v>2245</v>
      </c>
      <c r="B2246" s="4" t="s">
        <v>4887</v>
      </c>
      <c r="C2246" s="5" t="s">
        <v>4888</v>
      </c>
      <c r="D2246" s="4"/>
      <c r="E2246" s="4"/>
      <c r="F2246" s="4" t="s">
        <v>22</v>
      </c>
      <c r="G2246" s="6">
        <v>3.89</v>
      </c>
      <c r="H2246" s="7" t="s">
        <v>1606</v>
      </c>
      <c r="I2246" s="4" t="s">
        <v>1773</v>
      </c>
      <c r="J2246" s="4" t="s">
        <v>1774</v>
      </c>
      <c r="K2246" s="8"/>
      <c r="L2246" s="8" t="s">
        <v>3551</v>
      </c>
      <c r="M2246" s="9">
        <f t="shared" si="1"/>
        <v>54</v>
      </c>
    </row>
    <row r="2247" ht="12.75" customHeight="1">
      <c r="A2247" s="4">
        <f t="shared" si="2"/>
        <v>2246</v>
      </c>
      <c r="B2247" s="4" t="s">
        <v>4889</v>
      </c>
      <c r="C2247" s="5" t="s">
        <v>4890</v>
      </c>
      <c r="D2247" s="4"/>
      <c r="E2247" s="4"/>
      <c r="F2247" s="4" t="s">
        <v>22</v>
      </c>
      <c r="G2247" s="6">
        <v>4.7</v>
      </c>
      <c r="H2247" s="7" t="s">
        <v>1606</v>
      </c>
      <c r="I2247" s="4" t="s">
        <v>1773</v>
      </c>
      <c r="J2247" s="4" t="s">
        <v>1774</v>
      </c>
      <c r="K2247" s="8"/>
      <c r="L2247" s="8" t="s">
        <v>3551</v>
      </c>
      <c r="M2247" s="9">
        <f t="shared" si="1"/>
        <v>52</v>
      </c>
    </row>
    <row r="2248" ht="12.75" customHeight="1">
      <c r="A2248" s="4">
        <f t="shared" si="2"/>
        <v>2247</v>
      </c>
      <c r="B2248" s="4" t="s">
        <v>4891</v>
      </c>
      <c r="C2248" s="5" t="s">
        <v>4892</v>
      </c>
      <c r="D2248" s="4"/>
      <c r="E2248" s="4"/>
      <c r="F2248" s="4" t="s">
        <v>22</v>
      </c>
      <c r="G2248" s="6">
        <v>4.7</v>
      </c>
      <c r="H2248" s="7" t="s">
        <v>1606</v>
      </c>
      <c r="I2248" s="4" t="s">
        <v>1773</v>
      </c>
      <c r="J2248" s="4" t="s">
        <v>1774</v>
      </c>
      <c r="K2248" s="8"/>
      <c r="L2248" s="8" t="s">
        <v>3551</v>
      </c>
      <c r="M2248" s="9">
        <f t="shared" si="1"/>
        <v>54</v>
      </c>
    </row>
    <row r="2249" ht="12.75" customHeight="1">
      <c r="A2249" s="4">
        <f t="shared" si="2"/>
        <v>2248</v>
      </c>
      <c r="B2249" s="4" t="s">
        <v>4893</v>
      </c>
      <c r="C2249" s="5" t="s">
        <v>4894</v>
      </c>
      <c r="D2249" s="4"/>
      <c r="E2249" s="4"/>
      <c r="F2249" s="4" t="s">
        <v>22</v>
      </c>
      <c r="G2249" s="6">
        <v>3.54</v>
      </c>
      <c r="H2249" s="7" t="s">
        <v>1606</v>
      </c>
      <c r="I2249" s="4" t="s">
        <v>1773</v>
      </c>
      <c r="J2249" s="4" t="s">
        <v>1774</v>
      </c>
      <c r="K2249" s="8"/>
      <c r="L2249" s="8" t="s">
        <v>3551</v>
      </c>
      <c r="M2249" s="9">
        <f t="shared" si="1"/>
        <v>54</v>
      </c>
    </row>
    <row r="2250" ht="12.75" customHeight="1">
      <c r="A2250" s="4">
        <f t="shared" si="2"/>
        <v>2249</v>
      </c>
      <c r="B2250" s="4" t="s">
        <v>4895</v>
      </c>
      <c r="C2250" s="5" t="s">
        <v>4896</v>
      </c>
      <c r="D2250" s="4"/>
      <c r="E2250" s="4"/>
      <c r="F2250" s="4" t="s">
        <v>22</v>
      </c>
      <c r="G2250" s="6">
        <v>3.54</v>
      </c>
      <c r="H2250" s="7" t="s">
        <v>1606</v>
      </c>
      <c r="I2250" s="4" t="s">
        <v>1773</v>
      </c>
      <c r="J2250" s="4" t="s">
        <v>1774</v>
      </c>
      <c r="K2250" s="8"/>
      <c r="L2250" s="8" t="s">
        <v>3551</v>
      </c>
      <c r="M2250" s="9">
        <f t="shared" si="1"/>
        <v>56</v>
      </c>
    </row>
    <row r="2251" ht="12.75" customHeight="1">
      <c r="A2251" s="4">
        <f t="shared" si="2"/>
        <v>2250</v>
      </c>
      <c r="B2251" s="4" t="s">
        <v>4897</v>
      </c>
      <c r="C2251" s="5" t="s">
        <v>4898</v>
      </c>
      <c r="D2251" s="4"/>
      <c r="E2251" s="4"/>
      <c r="F2251" s="4" t="s">
        <v>22</v>
      </c>
      <c r="G2251" s="6">
        <v>4.32</v>
      </c>
      <c r="H2251" s="7" t="s">
        <v>1606</v>
      </c>
      <c r="I2251" s="4" t="s">
        <v>1773</v>
      </c>
      <c r="J2251" s="4" t="s">
        <v>1774</v>
      </c>
      <c r="K2251" s="8"/>
      <c r="L2251" s="8" t="s">
        <v>3551</v>
      </c>
      <c r="M2251" s="9">
        <f t="shared" si="1"/>
        <v>52</v>
      </c>
    </row>
    <row r="2252" ht="12.75" customHeight="1">
      <c r="A2252" s="4">
        <f t="shared" si="2"/>
        <v>2251</v>
      </c>
      <c r="B2252" s="4" t="s">
        <v>4899</v>
      </c>
      <c r="C2252" s="5" t="s">
        <v>4900</v>
      </c>
      <c r="D2252" s="4"/>
      <c r="E2252" s="4"/>
      <c r="F2252" s="4" t="s">
        <v>22</v>
      </c>
      <c r="G2252" s="6">
        <v>4.32</v>
      </c>
      <c r="H2252" s="7" t="s">
        <v>1606</v>
      </c>
      <c r="I2252" s="4" t="s">
        <v>1773</v>
      </c>
      <c r="J2252" s="4" t="s">
        <v>1774</v>
      </c>
      <c r="K2252" s="8"/>
      <c r="L2252" s="8" t="s">
        <v>3551</v>
      </c>
      <c r="M2252" s="9">
        <f t="shared" si="1"/>
        <v>54</v>
      </c>
    </row>
    <row r="2253" ht="12.75" customHeight="1">
      <c r="A2253" s="4">
        <f t="shared" si="2"/>
        <v>2252</v>
      </c>
      <c r="B2253" s="4" t="s">
        <v>4901</v>
      </c>
      <c r="C2253" s="5" t="s">
        <v>4902</v>
      </c>
      <c r="D2253" s="4"/>
      <c r="E2253" s="4"/>
      <c r="F2253" s="4" t="s">
        <v>22</v>
      </c>
      <c r="G2253" s="22">
        <v>4.86</v>
      </c>
      <c r="H2253" s="7" t="s">
        <v>1606</v>
      </c>
      <c r="I2253" s="4" t="s">
        <v>1773</v>
      </c>
      <c r="J2253" s="4" t="s">
        <v>1774</v>
      </c>
      <c r="K2253" s="8"/>
      <c r="L2253" s="8" t="s">
        <v>3551</v>
      </c>
      <c r="M2253" s="9">
        <f t="shared" si="1"/>
        <v>52</v>
      </c>
    </row>
    <row r="2254" ht="12.75" customHeight="1">
      <c r="A2254" s="4">
        <f t="shared" si="2"/>
        <v>2253</v>
      </c>
      <c r="B2254" s="4" t="s">
        <v>4903</v>
      </c>
      <c r="C2254" s="5" t="s">
        <v>4904</v>
      </c>
      <c r="D2254" s="4"/>
      <c r="E2254" s="4"/>
      <c r="F2254" s="4" t="s">
        <v>22</v>
      </c>
      <c r="G2254" s="6">
        <v>4.84</v>
      </c>
      <c r="H2254" s="7" t="s">
        <v>1606</v>
      </c>
      <c r="I2254" s="4" t="s">
        <v>1773</v>
      </c>
      <c r="J2254" s="4" t="s">
        <v>1774</v>
      </c>
      <c r="K2254" s="8"/>
      <c r="L2254" s="8" t="s">
        <v>3551</v>
      </c>
      <c r="M2254" s="9">
        <f t="shared" si="1"/>
        <v>54</v>
      </c>
    </row>
    <row r="2255" ht="12.75" customHeight="1">
      <c r="A2255" s="4">
        <f t="shared" si="2"/>
        <v>2254</v>
      </c>
      <c r="B2255" s="4" t="s">
        <v>4905</v>
      </c>
      <c r="C2255" s="5" t="s">
        <v>4906</v>
      </c>
      <c r="D2255" s="4"/>
      <c r="E2255" s="4"/>
      <c r="F2255" s="4" t="s">
        <v>22</v>
      </c>
      <c r="G2255" s="6">
        <v>6.22</v>
      </c>
      <c r="H2255" s="7" t="s">
        <v>1606</v>
      </c>
      <c r="I2255" s="4" t="s">
        <v>1773</v>
      </c>
      <c r="J2255" s="4" t="s">
        <v>1774</v>
      </c>
      <c r="K2255" s="8"/>
      <c r="L2255" s="8" t="s">
        <v>3551</v>
      </c>
      <c r="M2255" s="9">
        <f t="shared" si="1"/>
        <v>52</v>
      </c>
    </row>
    <row r="2256" ht="12.75" customHeight="1">
      <c r="A2256" s="4">
        <f t="shared" si="2"/>
        <v>2255</v>
      </c>
      <c r="B2256" s="4" t="s">
        <v>4907</v>
      </c>
      <c r="C2256" s="5" t="s">
        <v>4908</v>
      </c>
      <c r="D2256" s="4"/>
      <c r="E2256" s="4"/>
      <c r="F2256" s="4" t="s">
        <v>22</v>
      </c>
      <c r="G2256" s="6">
        <v>6.14</v>
      </c>
      <c r="H2256" s="7" t="s">
        <v>1606</v>
      </c>
      <c r="I2256" s="4" t="s">
        <v>1773</v>
      </c>
      <c r="J2256" s="4" t="s">
        <v>1774</v>
      </c>
      <c r="K2256" s="8"/>
      <c r="L2256" s="8" t="s">
        <v>3551</v>
      </c>
      <c r="M2256" s="9">
        <f t="shared" si="1"/>
        <v>54</v>
      </c>
    </row>
    <row r="2257" ht="12.75" customHeight="1">
      <c r="A2257" s="4">
        <f t="shared" si="2"/>
        <v>2256</v>
      </c>
      <c r="B2257" s="4" t="s">
        <v>4909</v>
      </c>
      <c r="C2257" s="5" t="s">
        <v>4910</v>
      </c>
      <c r="D2257" s="4"/>
      <c r="E2257" s="4"/>
      <c r="F2257" s="4" t="s">
        <v>1772</v>
      </c>
      <c r="G2257" s="6">
        <v>5.68</v>
      </c>
      <c r="H2257" s="7" t="s">
        <v>1606</v>
      </c>
      <c r="I2257" s="4" t="s">
        <v>2748</v>
      </c>
      <c r="J2257" s="4" t="s">
        <v>4911</v>
      </c>
      <c r="K2257" s="8"/>
      <c r="L2257" s="8" t="s">
        <v>4912</v>
      </c>
      <c r="M2257" s="9">
        <f t="shared" si="1"/>
        <v>57</v>
      </c>
    </row>
    <row r="2258" ht="12.75" customHeight="1">
      <c r="A2258" s="4">
        <f t="shared" si="2"/>
        <v>2257</v>
      </c>
      <c r="B2258" s="4" t="s">
        <v>4913</v>
      </c>
      <c r="C2258" s="5" t="s">
        <v>4914</v>
      </c>
      <c r="D2258" s="4"/>
      <c r="E2258" s="4"/>
      <c r="F2258" s="4" t="s">
        <v>22</v>
      </c>
      <c r="G2258" s="6">
        <v>100.0</v>
      </c>
      <c r="H2258" s="7" t="s">
        <v>1606</v>
      </c>
      <c r="I2258" s="4" t="s">
        <v>1746</v>
      </c>
      <c r="J2258" s="4" t="s">
        <v>4915</v>
      </c>
      <c r="K2258" s="8"/>
      <c r="L2258" s="8" t="s">
        <v>4916</v>
      </c>
      <c r="M2258" s="9">
        <f t="shared" si="1"/>
        <v>17</v>
      </c>
    </row>
    <row r="2259" ht="12.75" customHeight="1">
      <c r="A2259" s="4">
        <f t="shared" si="2"/>
        <v>2258</v>
      </c>
      <c r="B2259" s="4" t="s">
        <v>4917</v>
      </c>
      <c r="C2259" s="5" t="s">
        <v>4918</v>
      </c>
      <c r="D2259" s="4"/>
      <c r="E2259" s="4"/>
      <c r="F2259" s="4" t="s">
        <v>22</v>
      </c>
      <c r="G2259" s="6">
        <v>24.3</v>
      </c>
      <c r="H2259" s="7" t="s">
        <v>1606</v>
      </c>
      <c r="I2259" s="4" t="s">
        <v>1773</v>
      </c>
      <c r="J2259" s="4" t="s">
        <v>1774</v>
      </c>
      <c r="K2259" s="8"/>
      <c r="L2259" s="8" t="s">
        <v>33</v>
      </c>
      <c r="M2259" s="9">
        <f t="shared" si="1"/>
        <v>33</v>
      </c>
    </row>
    <row r="2260" ht="12.75" customHeight="1">
      <c r="A2260" s="4">
        <f t="shared" si="2"/>
        <v>2259</v>
      </c>
      <c r="B2260" s="4" t="s">
        <v>4919</v>
      </c>
      <c r="C2260" s="5" t="s">
        <v>4920</v>
      </c>
      <c r="D2260" s="4"/>
      <c r="E2260" s="4"/>
      <c r="F2260" s="4" t="s">
        <v>22</v>
      </c>
      <c r="G2260" s="6">
        <v>47.0</v>
      </c>
      <c r="H2260" s="7" t="s">
        <v>1606</v>
      </c>
      <c r="I2260" s="4" t="s">
        <v>1773</v>
      </c>
      <c r="J2260" s="4" t="s">
        <v>1774</v>
      </c>
      <c r="K2260" s="8"/>
      <c r="L2260" s="8" t="s">
        <v>33</v>
      </c>
      <c r="M2260" s="9">
        <f t="shared" si="1"/>
        <v>34</v>
      </c>
    </row>
    <row r="2261" ht="12.75" customHeight="1">
      <c r="A2261" s="4">
        <f t="shared" si="2"/>
        <v>2260</v>
      </c>
      <c r="B2261" s="4" t="s">
        <v>4921</v>
      </c>
      <c r="C2261" s="5" t="s">
        <v>4922</v>
      </c>
      <c r="D2261" s="4"/>
      <c r="E2261" s="4"/>
      <c r="F2261" s="4" t="s">
        <v>22</v>
      </c>
      <c r="G2261" s="6">
        <v>6.76</v>
      </c>
      <c r="H2261" s="7" t="s">
        <v>1606</v>
      </c>
      <c r="I2261" s="4" t="s">
        <v>1574</v>
      </c>
      <c r="J2261" s="4" t="s">
        <v>1758</v>
      </c>
      <c r="K2261" s="8"/>
      <c r="L2261" s="8" t="s">
        <v>3412</v>
      </c>
      <c r="M2261" s="9">
        <f t="shared" si="1"/>
        <v>58</v>
      </c>
    </row>
    <row r="2262" ht="12.75" customHeight="1">
      <c r="A2262" s="4">
        <f t="shared" si="2"/>
        <v>2261</v>
      </c>
      <c r="B2262" s="4" t="s">
        <v>4923</v>
      </c>
      <c r="C2262" s="5" t="s">
        <v>4924</v>
      </c>
      <c r="D2262" s="4"/>
      <c r="E2262" s="4"/>
      <c r="F2262" s="4" t="s">
        <v>22</v>
      </c>
      <c r="G2262" s="6">
        <v>1.21</v>
      </c>
      <c r="H2262" s="7" t="s">
        <v>1606</v>
      </c>
      <c r="I2262" s="4" t="s">
        <v>1574</v>
      </c>
      <c r="J2262" s="4" t="s">
        <v>2501</v>
      </c>
      <c r="K2262" s="8"/>
      <c r="L2262" s="8" t="s">
        <v>3412</v>
      </c>
      <c r="M2262" s="9">
        <f t="shared" si="1"/>
        <v>30</v>
      </c>
    </row>
    <row r="2263" ht="12.75" customHeight="1">
      <c r="A2263" s="4">
        <f t="shared" si="2"/>
        <v>2262</v>
      </c>
      <c r="B2263" s="4" t="s">
        <v>4925</v>
      </c>
      <c r="C2263" s="5" t="s">
        <v>4926</v>
      </c>
      <c r="D2263" s="4"/>
      <c r="E2263" s="4"/>
      <c r="F2263" s="4" t="s">
        <v>22</v>
      </c>
      <c r="G2263" s="6">
        <v>0.64</v>
      </c>
      <c r="H2263" s="7" t="s">
        <v>1606</v>
      </c>
      <c r="I2263" s="4" t="s">
        <v>1574</v>
      </c>
      <c r="J2263" s="4" t="s">
        <v>830</v>
      </c>
      <c r="K2263" s="8"/>
      <c r="L2263" s="8" t="s">
        <v>2169</v>
      </c>
      <c r="M2263" s="9">
        <f t="shared" si="1"/>
        <v>41</v>
      </c>
    </row>
    <row r="2264" ht="12.75" customHeight="1">
      <c r="A2264" s="4">
        <f t="shared" si="2"/>
        <v>2263</v>
      </c>
      <c r="B2264" s="4" t="s">
        <v>4927</v>
      </c>
      <c r="C2264" s="5" t="s">
        <v>4928</v>
      </c>
      <c r="D2264" s="4"/>
      <c r="E2264" s="4"/>
      <c r="F2264" s="4" t="s">
        <v>22</v>
      </c>
      <c r="G2264" s="6">
        <v>1.88</v>
      </c>
      <c r="H2264" s="7" t="s">
        <v>1606</v>
      </c>
      <c r="I2264" s="4" t="s">
        <v>1574</v>
      </c>
      <c r="J2264" s="4" t="s">
        <v>830</v>
      </c>
      <c r="K2264" s="8"/>
      <c r="L2264" s="8" t="s">
        <v>2169</v>
      </c>
      <c r="M2264" s="9">
        <f t="shared" si="1"/>
        <v>36</v>
      </c>
    </row>
    <row r="2265" ht="12.75" customHeight="1">
      <c r="A2265" s="4">
        <f t="shared" si="2"/>
        <v>2264</v>
      </c>
      <c r="B2265" s="4" t="s">
        <v>4929</v>
      </c>
      <c r="C2265" s="5" t="s">
        <v>4930</v>
      </c>
      <c r="D2265" s="4"/>
      <c r="E2265" s="4"/>
      <c r="F2265" s="4" t="s">
        <v>22</v>
      </c>
      <c r="G2265" s="6">
        <v>0.9</v>
      </c>
      <c r="H2265" s="7" t="s">
        <v>1606</v>
      </c>
      <c r="I2265" s="4" t="s">
        <v>1574</v>
      </c>
      <c r="J2265" s="4" t="s">
        <v>830</v>
      </c>
      <c r="K2265" s="8"/>
      <c r="L2265" s="8" t="s">
        <v>2169</v>
      </c>
      <c r="M2265" s="9">
        <f t="shared" si="1"/>
        <v>43</v>
      </c>
    </row>
    <row r="2266" ht="12.75" customHeight="1">
      <c r="A2266" s="4">
        <f t="shared" si="2"/>
        <v>2265</v>
      </c>
      <c r="B2266" s="4" t="s">
        <v>4931</v>
      </c>
      <c r="C2266" s="5" t="s">
        <v>4932</v>
      </c>
      <c r="D2266" s="4"/>
      <c r="E2266" s="4"/>
      <c r="F2266" s="4" t="s">
        <v>22</v>
      </c>
      <c r="G2266" s="6">
        <v>3.36</v>
      </c>
      <c r="H2266" s="7" t="s">
        <v>1606</v>
      </c>
      <c r="I2266" s="4" t="s">
        <v>1574</v>
      </c>
      <c r="J2266" s="4" t="s">
        <v>830</v>
      </c>
      <c r="K2266" s="8"/>
      <c r="L2266" s="8" t="s">
        <v>2169</v>
      </c>
      <c r="M2266" s="9">
        <f t="shared" si="1"/>
        <v>78</v>
      </c>
    </row>
    <row r="2267" ht="12.75" customHeight="1">
      <c r="A2267" s="4">
        <f t="shared" si="2"/>
        <v>2266</v>
      </c>
      <c r="B2267" s="4" t="s">
        <v>4933</v>
      </c>
      <c r="C2267" s="5" t="s">
        <v>4934</v>
      </c>
      <c r="D2267" s="4"/>
      <c r="E2267" s="4"/>
      <c r="F2267" s="4" t="s">
        <v>22</v>
      </c>
      <c r="G2267" s="6">
        <v>0.37</v>
      </c>
      <c r="H2267" s="7" t="s">
        <v>1606</v>
      </c>
      <c r="I2267" s="4" t="s">
        <v>1574</v>
      </c>
      <c r="J2267" s="4" t="s">
        <v>830</v>
      </c>
      <c r="K2267" s="8"/>
      <c r="L2267" s="4" t="s">
        <v>2152</v>
      </c>
      <c r="M2267" s="9">
        <f t="shared" si="1"/>
        <v>43</v>
      </c>
    </row>
    <row r="2268" ht="12.75" customHeight="1">
      <c r="A2268" s="4">
        <f t="shared" si="2"/>
        <v>2267</v>
      </c>
      <c r="B2268" s="4" t="s">
        <v>4935</v>
      </c>
      <c r="C2268" s="5" t="s">
        <v>4936</v>
      </c>
      <c r="D2268" s="4"/>
      <c r="E2268" s="4"/>
      <c r="F2268" s="4" t="s">
        <v>22</v>
      </c>
      <c r="G2268" s="6">
        <v>40.54</v>
      </c>
      <c r="H2268" s="7" t="s">
        <v>1606</v>
      </c>
      <c r="I2268" s="4" t="s">
        <v>1816</v>
      </c>
      <c r="J2268" s="4" t="s">
        <v>4937</v>
      </c>
      <c r="K2268" s="8"/>
      <c r="L2268" s="8" t="s">
        <v>33</v>
      </c>
      <c r="M2268" s="9">
        <f t="shared" si="1"/>
        <v>49</v>
      </c>
    </row>
    <row r="2269" ht="12.75" customHeight="1">
      <c r="A2269" s="4">
        <f t="shared" si="2"/>
        <v>2268</v>
      </c>
      <c r="B2269" s="4" t="s">
        <v>4938</v>
      </c>
      <c r="C2269" s="5" t="s">
        <v>4939</v>
      </c>
      <c r="D2269" s="4"/>
      <c r="E2269" s="4"/>
      <c r="F2269" s="4" t="s">
        <v>22</v>
      </c>
      <c r="G2269" s="6">
        <v>750.0</v>
      </c>
      <c r="H2269" s="7" t="s">
        <v>1606</v>
      </c>
      <c r="I2269" s="4" t="s">
        <v>1816</v>
      </c>
      <c r="J2269" s="4" t="s">
        <v>4937</v>
      </c>
      <c r="K2269" s="8"/>
      <c r="L2269" s="8" t="s">
        <v>33</v>
      </c>
      <c r="M2269" s="9">
        <f t="shared" si="1"/>
        <v>59</v>
      </c>
    </row>
    <row r="2270" ht="12.75" customHeight="1">
      <c r="A2270" s="4">
        <f t="shared" si="2"/>
        <v>2269</v>
      </c>
      <c r="B2270" s="4" t="s">
        <v>4940</v>
      </c>
      <c r="C2270" s="5" t="s">
        <v>4941</v>
      </c>
      <c r="D2270" s="4"/>
      <c r="E2270" s="4"/>
      <c r="F2270" s="4" t="s">
        <v>22</v>
      </c>
      <c r="G2270" s="6">
        <v>10.95</v>
      </c>
      <c r="H2270" s="7" t="s">
        <v>1606</v>
      </c>
      <c r="I2270" s="4" t="s">
        <v>1704</v>
      </c>
      <c r="J2270" s="4" t="s">
        <v>1856</v>
      </c>
      <c r="K2270" s="8"/>
      <c r="L2270" s="8" t="s">
        <v>4195</v>
      </c>
      <c r="M2270" s="9">
        <f t="shared" si="1"/>
        <v>56</v>
      </c>
    </row>
    <row r="2271" ht="12.75" customHeight="1">
      <c r="A2271" s="4">
        <f t="shared" si="2"/>
        <v>2270</v>
      </c>
      <c r="B2271" s="4" t="s">
        <v>4942</v>
      </c>
      <c r="C2271" s="5" t="s">
        <v>4943</v>
      </c>
      <c r="D2271" s="4"/>
      <c r="E2271" s="4"/>
      <c r="F2271" s="4" t="s">
        <v>22</v>
      </c>
      <c r="G2271" s="6">
        <v>54.05</v>
      </c>
      <c r="H2271" s="7" t="s">
        <v>1606</v>
      </c>
      <c r="I2271" s="4" t="s">
        <v>1816</v>
      </c>
      <c r="J2271" s="4" t="s">
        <v>4937</v>
      </c>
      <c r="K2271" s="8"/>
      <c r="L2271" s="8" t="s">
        <v>33</v>
      </c>
      <c r="M2271" s="9">
        <f t="shared" si="1"/>
        <v>37</v>
      </c>
    </row>
    <row r="2272" ht="12.75" customHeight="1">
      <c r="A2272" s="4">
        <f t="shared" si="2"/>
        <v>2271</v>
      </c>
      <c r="B2272" s="4" t="s">
        <v>4944</v>
      </c>
      <c r="C2272" s="5" t="s">
        <v>4945</v>
      </c>
      <c r="D2272" s="4"/>
      <c r="E2272" s="4"/>
      <c r="F2272" s="4" t="s">
        <v>22</v>
      </c>
      <c r="G2272" s="6">
        <v>77.47</v>
      </c>
      <c r="H2272" s="7" t="s">
        <v>1606</v>
      </c>
      <c r="I2272" s="4" t="s">
        <v>1816</v>
      </c>
      <c r="J2272" s="4" t="s">
        <v>4937</v>
      </c>
      <c r="K2272" s="8"/>
      <c r="L2272" s="8" t="s">
        <v>33</v>
      </c>
      <c r="M2272" s="9">
        <f t="shared" si="1"/>
        <v>45</v>
      </c>
    </row>
    <row r="2273" ht="12.75" customHeight="1">
      <c r="A2273" s="4">
        <f t="shared" si="2"/>
        <v>2272</v>
      </c>
      <c r="B2273" s="4" t="s">
        <v>4946</v>
      </c>
      <c r="C2273" s="5" t="s">
        <v>4947</v>
      </c>
      <c r="D2273" s="4"/>
      <c r="E2273" s="4"/>
      <c r="F2273" s="4" t="s">
        <v>22</v>
      </c>
      <c r="G2273" s="6">
        <v>66.22</v>
      </c>
      <c r="H2273" s="7" t="s">
        <v>1606</v>
      </c>
      <c r="I2273" s="4" t="s">
        <v>1816</v>
      </c>
      <c r="J2273" s="4" t="s">
        <v>4937</v>
      </c>
      <c r="K2273" s="8"/>
      <c r="L2273" s="8" t="s">
        <v>33</v>
      </c>
      <c r="M2273" s="9">
        <f t="shared" si="1"/>
        <v>44</v>
      </c>
    </row>
    <row r="2274" ht="12.75" customHeight="1">
      <c r="A2274" s="4">
        <f t="shared" si="2"/>
        <v>2273</v>
      </c>
      <c r="B2274" s="4" t="s">
        <v>4948</v>
      </c>
      <c r="C2274" s="5" t="s">
        <v>4949</v>
      </c>
      <c r="D2274" s="4"/>
      <c r="E2274" s="4"/>
      <c r="F2274" s="4" t="s">
        <v>22</v>
      </c>
      <c r="G2274" s="6">
        <v>54.05</v>
      </c>
      <c r="H2274" s="7" t="s">
        <v>1606</v>
      </c>
      <c r="I2274" s="4" t="s">
        <v>1816</v>
      </c>
      <c r="J2274" s="4" t="s">
        <v>4937</v>
      </c>
      <c r="K2274" s="8"/>
      <c r="L2274" s="8" t="s">
        <v>33</v>
      </c>
      <c r="M2274" s="9">
        <f t="shared" si="1"/>
        <v>48</v>
      </c>
    </row>
    <row r="2275" ht="12.75" customHeight="1">
      <c r="A2275" s="4">
        <f t="shared" si="2"/>
        <v>2274</v>
      </c>
      <c r="B2275" s="4" t="s">
        <v>4950</v>
      </c>
      <c r="C2275" s="5" t="s">
        <v>4951</v>
      </c>
      <c r="D2275" s="4"/>
      <c r="E2275" s="4"/>
      <c r="F2275" s="4" t="s">
        <v>22</v>
      </c>
      <c r="G2275" s="6">
        <v>282.4</v>
      </c>
      <c r="H2275" s="7" t="s">
        <v>1606</v>
      </c>
      <c r="I2275" s="4" t="s">
        <v>1816</v>
      </c>
      <c r="J2275" s="4" t="s">
        <v>4937</v>
      </c>
      <c r="K2275" s="8"/>
      <c r="L2275" s="8" t="s">
        <v>33</v>
      </c>
      <c r="M2275" s="9">
        <f t="shared" si="1"/>
        <v>53</v>
      </c>
    </row>
    <row r="2276" ht="12.75" customHeight="1">
      <c r="A2276" s="4">
        <f t="shared" si="2"/>
        <v>2275</v>
      </c>
      <c r="B2276" s="4" t="s">
        <v>4952</v>
      </c>
      <c r="C2276" s="5" t="s">
        <v>4953</v>
      </c>
      <c r="D2276" s="4"/>
      <c r="E2276" s="4"/>
      <c r="F2276" s="4" t="s">
        <v>22</v>
      </c>
      <c r="G2276" s="6">
        <v>468.08</v>
      </c>
      <c r="H2276" s="7" t="s">
        <v>1606</v>
      </c>
      <c r="I2276" s="4" t="s">
        <v>1816</v>
      </c>
      <c r="J2276" s="4" t="s">
        <v>4937</v>
      </c>
      <c r="K2276" s="8"/>
      <c r="L2276" s="8" t="s">
        <v>33</v>
      </c>
      <c r="M2276" s="9">
        <f t="shared" si="1"/>
        <v>53</v>
      </c>
    </row>
    <row r="2277" ht="12.75" customHeight="1">
      <c r="A2277" s="4">
        <f t="shared" si="2"/>
        <v>2276</v>
      </c>
      <c r="B2277" s="4" t="s">
        <v>4954</v>
      </c>
      <c r="C2277" s="5" t="s">
        <v>4955</v>
      </c>
      <c r="D2277" s="4"/>
      <c r="E2277" s="4"/>
      <c r="F2277" s="4" t="s">
        <v>22</v>
      </c>
      <c r="G2277" s="6">
        <v>485.6</v>
      </c>
      <c r="H2277" s="7" t="s">
        <v>1606</v>
      </c>
      <c r="I2277" s="4" t="s">
        <v>1816</v>
      </c>
      <c r="J2277" s="4" t="s">
        <v>4937</v>
      </c>
      <c r="K2277" s="8"/>
      <c r="L2277" s="8" t="s">
        <v>33</v>
      </c>
      <c r="M2277" s="9">
        <f t="shared" si="1"/>
        <v>53</v>
      </c>
    </row>
    <row r="2278" ht="12.75" customHeight="1">
      <c r="A2278" s="4">
        <f t="shared" si="2"/>
        <v>2277</v>
      </c>
      <c r="B2278" s="4" t="s">
        <v>4956</v>
      </c>
      <c r="C2278" s="5" t="s">
        <v>4957</v>
      </c>
      <c r="D2278" s="4"/>
      <c r="E2278" s="4"/>
      <c r="F2278" s="4" t="s">
        <v>22</v>
      </c>
      <c r="G2278" s="6">
        <v>75.68</v>
      </c>
      <c r="H2278" s="7" t="s">
        <v>1606</v>
      </c>
      <c r="I2278" s="4" t="s">
        <v>1816</v>
      </c>
      <c r="J2278" s="4" t="s">
        <v>4937</v>
      </c>
      <c r="K2278" s="8"/>
      <c r="L2278" s="8" t="s">
        <v>33</v>
      </c>
      <c r="M2278" s="9">
        <f t="shared" si="1"/>
        <v>46</v>
      </c>
    </row>
    <row r="2279" ht="12.75" customHeight="1">
      <c r="A2279" s="4">
        <f t="shared" si="2"/>
        <v>2278</v>
      </c>
      <c r="B2279" s="4" t="s">
        <v>4958</v>
      </c>
      <c r="C2279" s="5" t="s">
        <v>4959</v>
      </c>
      <c r="D2279" s="4"/>
      <c r="E2279" s="4"/>
      <c r="F2279" s="4" t="s">
        <v>22</v>
      </c>
      <c r="G2279" s="6">
        <v>65.5</v>
      </c>
      <c r="H2279" s="7" t="s">
        <v>1606</v>
      </c>
      <c r="I2279" s="4" t="s">
        <v>1816</v>
      </c>
      <c r="J2279" s="4" t="s">
        <v>4937</v>
      </c>
      <c r="K2279" s="8"/>
      <c r="L2279" s="8" t="s">
        <v>33</v>
      </c>
      <c r="M2279" s="9">
        <f t="shared" si="1"/>
        <v>54</v>
      </c>
    </row>
    <row r="2280" ht="12.75" customHeight="1">
      <c r="A2280" s="4">
        <f t="shared" si="2"/>
        <v>2279</v>
      </c>
      <c r="B2280" s="4" t="s">
        <v>4960</v>
      </c>
      <c r="C2280" s="5" t="s">
        <v>4961</v>
      </c>
      <c r="D2280" s="4"/>
      <c r="E2280" s="4"/>
      <c r="F2280" s="4" t="s">
        <v>22</v>
      </c>
      <c r="G2280" s="6">
        <v>75.8</v>
      </c>
      <c r="H2280" s="7" t="s">
        <v>1606</v>
      </c>
      <c r="I2280" s="4" t="s">
        <v>1816</v>
      </c>
      <c r="J2280" s="4" t="s">
        <v>4937</v>
      </c>
      <c r="K2280" s="8"/>
      <c r="L2280" s="8" t="s">
        <v>33</v>
      </c>
      <c r="M2280" s="9">
        <f t="shared" si="1"/>
        <v>52</v>
      </c>
    </row>
    <row r="2281" ht="12.75" customHeight="1">
      <c r="A2281" s="4">
        <f t="shared" si="2"/>
        <v>2280</v>
      </c>
      <c r="B2281" s="4" t="s">
        <v>4962</v>
      </c>
      <c r="C2281" s="5" t="s">
        <v>4963</v>
      </c>
      <c r="D2281" s="4"/>
      <c r="E2281" s="4"/>
      <c r="F2281" s="4" t="s">
        <v>22</v>
      </c>
      <c r="G2281" s="21">
        <v>501.39</v>
      </c>
      <c r="H2281" s="7" t="s">
        <v>1606</v>
      </c>
      <c r="I2281" s="4" t="s">
        <v>1816</v>
      </c>
      <c r="J2281" s="4" t="s">
        <v>4937</v>
      </c>
      <c r="K2281" s="8"/>
      <c r="L2281" s="8" t="s">
        <v>33</v>
      </c>
      <c r="M2281" s="9">
        <f t="shared" si="1"/>
        <v>51</v>
      </c>
    </row>
    <row r="2282" ht="12.75" customHeight="1">
      <c r="A2282" s="4">
        <f t="shared" si="2"/>
        <v>2281</v>
      </c>
      <c r="B2282" s="4" t="s">
        <v>4964</v>
      </c>
      <c r="C2282" s="5" t="s">
        <v>4965</v>
      </c>
      <c r="D2282" s="4"/>
      <c r="E2282" s="4"/>
      <c r="F2282" s="4" t="s">
        <v>22</v>
      </c>
      <c r="G2282" s="6">
        <v>95.5</v>
      </c>
      <c r="H2282" s="7" t="s">
        <v>1606</v>
      </c>
      <c r="I2282" s="4" t="s">
        <v>1816</v>
      </c>
      <c r="J2282" s="4" t="s">
        <v>4937</v>
      </c>
      <c r="K2282" s="8"/>
      <c r="L2282" s="8" t="s">
        <v>33</v>
      </c>
      <c r="M2282" s="9">
        <f t="shared" si="1"/>
        <v>53</v>
      </c>
    </row>
    <row r="2283" ht="12.75" customHeight="1">
      <c r="A2283" s="4">
        <f t="shared" si="2"/>
        <v>2282</v>
      </c>
      <c r="B2283" s="4" t="s">
        <v>4966</v>
      </c>
      <c r="C2283" s="5" t="s">
        <v>4967</v>
      </c>
      <c r="D2283" s="4"/>
      <c r="E2283" s="4"/>
      <c r="F2283" s="4" t="s">
        <v>22</v>
      </c>
      <c r="G2283" s="6">
        <v>162.16</v>
      </c>
      <c r="H2283" s="7" t="s">
        <v>1606</v>
      </c>
      <c r="I2283" s="4" t="s">
        <v>1816</v>
      </c>
      <c r="J2283" s="4" t="s">
        <v>4937</v>
      </c>
      <c r="K2283" s="8"/>
      <c r="L2283" s="8" t="s">
        <v>33</v>
      </c>
      <c r="M2283" s="9">
        <f t="shared" si="1"/>
        <v>53</v>
      </c>
    </row>
    <row r="2284" ht="12.75" customHeight="1">
      <c r="A2284" s="4">
        <f t="shared" si="2"/>
        <v>2283</v>
      </c>
      <c r="B2284" s="4" t="s">
        <v>4968</v>
      </c>
      <c r="C2284" s="5" t="s">
        <v>4969</v>
      </c>
      <c r="D2284" s="4"/>
      <c r="E2284" s="4"/>
      <c r="F2284" s="4" t="s">
        <v>22</v>
      </c>
      <c r="G2284" s="6">
        <v>93.13</v>
      </c>
      <c r="H2284" s="7" t="s">
        <v>1606</v>
      </c>
      <c r="I2284" s="4" t="s">
        <v>1816</v>
      </c>
      <c r="J2284" s="4" t="s">
        <v>4937</v>
      </c>
      <c r="K2284" s="8"/>
      <c r="L2284" s="8" t="s">
        <v>33</v>
      </c>
      <c r="M2284" s="9">
        <f t="shared" si="1"/>
        <v>52</v>
      </c>
    </row>
    <row r="2285" ht="12.75" customHeight="1">
      <c r="A2285" s="4">
        <f t="shared" si="2"/>
        <v>2284</v>
      </c>
      <c r="B2285" s="4" t="s">
        <v>4970</v>
      </c>
      <c r="C2285" s="5" t="s">
        <v>4971</v>
      </c>
      <c r="D2285" s="4"/>
      <c r="E2285" s="4"/>
      <c r="F2285" s="4" t="s">
        <v>22</v>
      </c>
      <c r="G2285" s="6">
        <v>37.84</v>
      </c>
      <c r="H2285" s="7" t="s">
        <v>1606</v>
      </c>
      <c r="I2285" s="4" t="s">
        <v>1816</v>
      </c>
      <c r="J2285" s="4" t="s">
        <v>4937</v>
      </c>
      <c r="K2285" s="8"/>
      <c r="L2285" s="8" t="s">
        <v>33</v>
      </c>
      <c r="M2285" s="9">
        <f t="shared" si="1"/>
        <v>49</v>
      </c>
    </row>
    <row r="2286" ht="12.75" customHeight="1">
      <c r="A2286" s="4">
        <f t="shared" si="2"/>
        <v>2285</v>
      </c>
      <c r="B2286" s="4" t="s">
        <v>4972</v>
      </c>
      <c r="C2286" s="5" t="s">
        <v>4973</v>
      </c>
      <c r="D2286" s="4"/>
      <c r="E2286" s="4"/>
      <c r="F2286" s="4" t="s">
        <v>1791</v>
      </c>
      <c r="G2286" s="21">
        <v>81.08</v>
      </c>
      <c r="H2286" s="7" t="s">
        <v>1606</v>
      </c>
      <c r="I2286" s="4" t="s">
        <v>2819</v>
      </c>
      <c r="J2286" s="4" t="s">
        <v>1544</v>
      </c>
      <c r="K2286" s="8"/>
      <c r="L2286" s="8" t="s">
        <v>33</v>
      </c>
      <c r="M2286" s="9">
        <f t="shared" si="1"/>
        <v>45</v>
      </c>
    </row>
    <row r="2287" ht="12.75" customHeight="1">
      <c r="A2287" s="4">
        <f t="shared" si="2"/>
        <v>2286</v>
      </c>
      <c r="B2287" s="4" t="s">
        <v>4974</v>
      </c>
      <c r="C2287" s="5" t="s">
        <v>4975</v>
      </c>
      <c r="D2287" s="4"/>
      <c r="E2287" s="4"/>
      <c r="F2287" s="4" t="s">
        <v>1791</v>
      </c>
      <c r="G2287" s="6">
        <v>81.08</v>
      </c>
      <c r="H2287" s="7" t="s">
        <v>1606</v>
      </c>
      <c r="I2287" s="4" t="s">
        <v>2819</v>
      </c>
      <c r="J2287" s="4" t="s">
        <v>1544</v>
      </c>
      <c r="K2287" s="8"/>
      <c r="L2287" s="8" t="s">
        <v>33</v>
      </c>
      <c r="M2287" s="9">
        <f t="shared" si="1"/>
        <v>45</v>
      </c>
    </row>
    <row r="2288" ht="12.75" customHeight="1">
      <c r="A2288" s="4">
        <f t="shared" si="2"/>
        <v>2287</v>
      </c>
      <c r="B2288" s="4" t="s">
        <v>4976</v>
      </c>
      <c r="C2288" s="5" t="s">
        <v>4977</v>
      </c>
      <c r="D2288" s="4"/>
      <c r="E2288" s="4"/>
      <c r="F2288" s="4" t="s">
        <v>22</v>
      </c>
      <c r="G2288" s="21">
        <v>883.67</v>
      </c>
      <c r="H2288" s="7" t="s">
        <v>1606</v>
      </c>
      <c r="I2288" s="4" t="s">
        <v>1816</v>
      </c>
      <c r="J2288" s="4" t="s">
        <v>4978</v>
      </c>
      <c r="K2288" s="8"/>
      <c r="L2288" s="8" t="s">
        <v>4979</v>
      </c>
      <c r="M2288" s="9">
        <f t="shared" si="1"/>
        <v>43</v>
      </c>
    </row>
    <row r="2289" ht="12.75" customHeight="1">
      <c r="A2289" s="4">
        <f t="shared" si="2"/>
        <v>2288</v>
      </c>
      <c r="B2289" s="4" t="s">
        <v>4980</v>
      </c>
      <c r="C2289" s="5" t="s">
        <v>4981</v>
      </c>
      <c r="D2289" s="4"/>
      <c r="E2289" s="4"/>
      <c r="F2289" s="4" t="s">
        <v>22</v>
      </c>
      <c r="G2289" s="6">
        <v>1095.06</v>
      </c>
      <c r="H2289" s="7" t="s">
        <v>1606</v>
      </c>
      <c r="I2289" s="4" t="s">
        <v>1816</v>
      </c>
      <c r="J2289" s="4" t="s">
        <v>4978</v>
      </c>
      <c r="K2289" s="8"/>
      <c r="L2289" s="8" t="s">
        <v>4979</v>
      </c>
      <c r="M2289" s="9">
        <f t="shared" si="1"/>
        <v>43</v>
      </c>
    </row>
    <row r="2290" ht="12.75" customHeight="1">
      <c r="A2290" s="4">
        <f t="shared" si="2"/>
        <v>2289</v>
      </c>
      <c r="B2290" s="4" t="s">
        <v>4982</v>
      </c>
      <c r="C2290" s="5" t="s">
        <v>4983</v>
      </c>
      <c r="D2290" s="4"/>
      <c r="E2290" s="4"/>
      <c r="F2290" s="4" t="s">
        <v>22</v>
      </c>
      <c r="G2290" s="6">
        <v>266.95</v>
      </c>
      <c r="H2290" s="7" t="s">
        <v>1606</v>
      </c>
      <c r="I2290" s="4" t="s">
        <v>1816</v>
      </c>
      <c r="J2290" s="4" t="s">
        <v>4978</v>
      </c>
      <c r="K2290" s="8"/>
      <c r="L2290" s="8" t="s">
        <v>4979</v>
      </c>
      <c r="M2290" s="9">
        <f t="shared" si="1"/>
        <v>42</v>
      </c>
    </row>
    <row r="2291" ht="12.75" customHeight="1">
      <c r="A2291" s="4">
        <f t="shared" si="2"/>
        <v>2290</v>
      </c>
      <c r="B2291" s="4" t="s">
        <v>4984</v>
      </c>
      <c r="C2291" s="5" t="s">
        <v>4985</v>
      </c>
      <c r="D2291" s="4"/>
      <c r="E2291" s="4"/>
      <c r="F2291" s="4" t="s">
        <v>22</v>
      </c>
      <c r="G2291" s="6">
        <v>353.63</v>
      </c>
      <c r="H2291" s="7" t="s">
        <v>1606</v>
      </c>
      <c r="I2291" s="4" t="s">
        <v>1816</v>
      </c>
      <c r="J2291" s="4" t="s">
        <v>4978</v>
      </c>
      <c r="K2291" s="8"/>
      <c r="L2291" s="8" t="s">
        <v>4979</v>
      </c>
      <c r="M2291" s="9">
        <f t="shared" si="1"/>
        <v>42</v>
      </c>
    </row>
    <row r="2292" ht="12.75" customHeight="1">
      <c r="A2292" s="4">
        <f t="shared" si="2"/>
        <v>2291</v>
      </c>
      <c r="B2292" s="4" t="s">
        <v>4986</v>
      </c>
      <c r="C2292" s="5" t="s">
        <v>4987</v>
      </c>
      <c r="D2292" s="4"/>
      <c r="E2292" s="4"/>
      <c r="F2292" s="4" t="s">
        <v>22</v>
      </c>
      <c r="G2292" s="21">
        <v>442.07</v>
      </c>
      <c r="H2292" s="7" t="s">
        <v>1606</v>
      </c>
      <c r="I2292" s="4" t="s">
        <v>1816</v>
      </c>
      <c r="J2292" s="4" t="s">
        <v>4978</v>
      </c>
      <c r="K2292" s="8"/>
      <c r="L2292" s="8" t="s">
        <v>4979</v>
      </c>
      <c r="M2292" s="9">
        <f t="shared" si="1"/>
        <v>42</v>
      </c>
    </row>
    <row r="2293" ht="12.75" customHeight="1">
      <c r="A2293" s="4">
        <f t="shared" si="2"/>
        <v>2292</v>
      </c>
      <c r="B2293" s="4" t="s">
        <v>4988</v>
      </c>
      <c r="C2293" s="5" t="s">
        <v>4989</v>
      </c>
      <c r="D2293" s="4"/>
      <c r="E2293" s="4"/>
      <c r="F2293" s="4" t="s">
        <v>22</v>
      </c>
      <c r="G2293" s="6">
        <v>532.91</v>
      </c>
      <c r="H2293" s="7" t="s">
        <v>1606</v>
      </c>
      <c r="I2293" s="4" t="s">
        <v>1816</v>
      </c>
      <c r="J2293" s="4" t="s">
        <v>4978</v>
      </c>
      <c r="K2293" s="8"/>
      <c r="L2293" s="8" t="s">
        <v>4979</v>
      </c>
      <c r="M2293" s="9">
        <f t="shared" si="1"/>
        <v>42</v>
      </c>
    </row>
    <row r="2294" ht="12.75" customHeight="1">
      <c r="A2294" s="4">
        <f t="shared" si="2"/>
        <v>2293</v>
      </c>
      <c r="B2294" s="4" t="s">
        <v>4990</v>
      </c>
      <c r="C2294" s="5" t="s">
        <v>4991</v>
      </c>
      <c r="D2294" s="4"/>
      <c r="E2294" s="4"/>
      <c r="F2294" s="4" t="s">
        <v>22</v>
      </c>
      <c r="G2294" s="6">
        <v>39.74</v>
      </c>
      <c r="H2294" s="7" t="s">
        <v>1606</v>
      </c>
      <c r="I2294" s="4" t="s">
        <v>1816</v>
      </c>
      <c r="J2294" s="4" t="s">
        <v>4978</v>
      </c>
      <c r="K2294" s="8"/>
      <c r="L2294" s="8" t="s">
        <v>4979</v>
      </c>
      <c r="M2294" s="9">
        <f t="shared" si="1"/>
        <v>41</v>
      </c>
    </row>
    <row r="2295" ht="12.75" customHeight="1">
      <c r="A2295" s="4">
        <f t="shared" si="2"/>
        <v>2294</v>
      </c>
      <c r="B2295" s="4" t="s">
        <v>4992</v>
      </c>
      <c r="C2295" s="5" t="s">
        <v>4993</v>
      </c>
      <c r="D2295" s="4"/>
      <c r="E2295" s="4"/>
      <c r="F2295" s="4" t="s">
        <v>22</v>
      </c>
      <c r="G2295" s="6">
        <v>52.51</v>
      </c>
      <c r="H2295" s="7" t="s">
        <v>1606</v>
      </c>
      <c r="I2295" s="4" t="s">
        <v>1816</v>
      </c>
      <c r="J2295" s="4" t="s">
        <v>4978</v>
      </c>
      <c r="K2295" s="8"/>
      <c r="L2295" s="8" t="s">
        <v>4979</v>
      </c>
      <c r="M2295" s="9">
        <f t="shared" si="1"/>
        <v>41</v>
      </c>
    </row>
    <row r="2296" ht="12.75" customHeight="1">
      <c r="A2296" s="4">
        <f t="shared" si="2"/>
        <v>2295</v>
      </c>
      <c r="B2296" s="4" t="s">
        <v>4994</v>
      </c>
      <c r="C2296" s="5" t="s">
        <v>4995</v>
      </c>
      <c r="D2296" s="4"/>
      <c r="E2296" s="4"/>
      <c r="F2296" s="4" t="s">
        <v>22</v>
      </c>
      <c r="G2296" s="6">
        <v>66.22</v>
      </c>
      <c r="H2296" s="7" t="s">
        <v>1606</v>
      </c>
      <c r="I2296" s="4" t="s">
        <v>1816</v>
      </c>
      <c r="J2296" s="4" t="s">
        <v>4978</v>
      </c>
      <c r="K2296" s="8"/>
      <c r="L2296" s="8" t="s">
        <v>4979</v>
      </c>
      <c r="M2296" s="9">
        <f t="shared" si="1"/>
        <v>41</v>
      </c>
    </row>
    <row r="2297" ht="12.75" customHeight="1">
      <c r="A2297" s="4">
        <f t="shared" si="2"/>
        <v>2296</v>
      </c>
      <c r="B2297" s="4" t="s">
        <v>4996</v>
      </c>
      <c r="C2297" s="5" t="s">
        <v>4997</v>
      </c>
      <c r="D2297" s="4"/>
      <c r="E2297" s="4"/>
      <c r="F2297" s="4" t="s">
        <v>22</v>
      </c>
      <c r="G2297" s="6">
        <v>79.57</v>
      </c>
      <c r="H2297" s="7" t="s">
        <v>1606</v>
      </c>
      <c r="I2297" s="4" t="s">
        <v>1816</v>
      </c>
      <c r="J2297" s="4" t="s">
        <v>4978</v>
      </c>
      <c r="K2297" s="8"/>
      <c r="L2297" s="8" t="s">
        <v>4979</v>
      </c>
      <c r="M2297" s="9">
        <f t="shared" si="1"/>
        <v>41</v>
      </c>
    </row>
    <row r="2298" ht="12.75" customHeight="1">
      <c r="A2298" s="4">
        <f t="shared" si="2"/>
        <v>2297</v>
      </c>
      <c r="B2298" s="4" t="s">
        <v>4998</v>
      </c>
      <c r="C2298" s="5" t="s">
        <v>4999</v>
      </c>
      <c r="D2298" s="4"/>
      <c r="E2298" s="4"/>
      <c r="F2298" s="4" t="s">
        <v>22</v>
      </c>
      <c r="G2298" s="6">
        <v>106.09</v>
      </c>
      <c r="H2298" s="7" t="s">
        <v>1606</v>
      </c>
      <c r="I2298" s="4" t="s">
        <v>1816</v>
      </c>
      <c r="J2298" s="4" t="s">
        <v>4978</v>
      </c>
      <c r="K2298" s="8"/>
      <c r="L2298" s="8" t="s">
        <v>4979</v>
      </c>
      <c r="M2298" s="9">
        <f t="shared" si="1"/>
        <v>41</v>
      </c>
    </row>
    <row r="2299" ht="12.75" customHeight="1">
      <c r="A2299" s="4">
        <f t="shared" si="2"/>
        <v>2298</v>
      </c>
      <c r="B2299" s="4" t="s">
        <v>5000</v>
      </c>
      <c r="C2299" s="5" t="s">
        <v>5001</v>
      </c>
      <c r="D2299" s="4"/>
      <c r="E2299" s="4"/>
      <c r="F2299" s="4" t="s">
        <v>22</v>
      </c>
      <c r="G2299" s="6">
        <v>442.04</v>
      </c>
      <c r="H2299" s="7" t="s">
        <v>1606</v>
      </c>
      <c r="I2299" s="4" t="s">
        <v>1816</v>
      </c>
      <c r="J2299" s="4" t="s">
        <v>4978</v>
      </c>
      <c r="K2299" s="8"/>
      <c r="L2299" s="8" t="s">
        <v>4979</v>
      </c>
      <c r="M2299" s="9">
        <f t="shared" si="1"/>
        <v>42</v>
      </c>
    </row>
    <row r="2300" ht="12.75" customHeight="1">
      <c r="A2300" s="4">
        <f t="shared" si="2"/>
        <v>2299</v>
      </c>
      <c r="B2300" s="4" t="s">
        <v>5002</v>
      </c>
      <c r="C2300" s="5" t="s">
        <v>5003</v>
      </c>
      <c r="D2300" s="4"/>
      <c r="E2300" s="4"/>
      <c r="F2300" s="4" t="s">
        <v>22</v>
      </c>
      <c r="G2300" s="6">
        <v>89.84</v>
      </c>
      <c r="H2300" s="7" t="s">
        <v>1606</v>
      </c>
      <c r="I2300" s="4" t="s">
        <v>1816</v>
      </c>
      <c r="J2300" s="4" t="s">
        <v>4978</v>
      </c>
      <c r="K2300" s="8"/>
      <c r="L2300" s="8" t="s">
        <v>4979</v>
      </c>
      <c r="M2300" s="9">
        <f t="shared" si="1"/>
        <v>41</v>
      </c>
    </row>
    <row r="2301" ht="12.75" customHeight="1">
      <c r="A2301" s="4">
        <f t="shared" si="2"/>
        <v>2300</v>
      </c>
      <c r="B2301" s="4" t="s">
        <v>5004</v>
      </c>
      <c r="C2301" s="5" t="s">
        <v>5005</v>
      </c>
      <c r="D2301" s="4"/>
      <c r="E2301" s="4"/>
      <c r="F2301" s="4" t="s">
        <v>22</v>
      </c>
      <c r="G2301" s="6">
        <v>110.51</v>
      </c>
      <c r="H2301" s="7" t="s">
        <v>1606</v>
      </c>
      <c r="I2301" s="4" t="s">
        <v>1816</v>
      </c>
      <c r="J2301" s="4" t="s">
        <v>4978</v>
      </c>
      <c r="K2301" s="8"/>
      <c r="L2301" s="8" t="s">
        <v>4979</v>
      </c>
      <c r="M2301" s="9">
        <f t="shared" si="1"/>
        <v>41</v>
      </c>
    </row>
    <row r="2302" ht="12.75" customHeight="1">
      <c r="A2302" s="4">
        <f t="shared" si="2"/>
        <v>2301</v>
      </c>
      <c r="B2302" s="4" t="s">
        <v>5006</v>
      </c>
      <c r="C2302" s="5" t="s">
        <v>5007</v>
      </c>
      <c r="D2302" s="4"/>
      <c r="E2302" s="4"/>
      <c r="F2302" s="4" t="s">
        <v>22</v>
      </c>
      <c r="G2302" s="6">
        <v>132.62</v>
      </c>
      <c r="H2302" s="7" t="s">
        <v>1606</v>
      </c>
      <c r="I2302" s="4" t="s">
        <v>1816</v>
      </c>
      <c r="J2302" s="4" t="s">
        <v>4978</v>
      </c>
      <c r="K2302" s="8"/>
      <c r="L2302" s="8" t="s">
        <v>4979</v>
      </c>
      <c r="M2302" s="9">
        <f t="shared" si="1"/>
        <v>41</v>
      </c>
    </row>
    <row r="2303" ht="12.75" customHeight="1">
      <c r="A2303" s="4">
        <f t="shared" si="2"/>
        <v>2302</v>
      </c>
      <c r="B2303" s="4" t="s">
        <v>5008</v>
      </c>
      <c r="C2303" s="5" t="s">
        <v>5009</v>
      </c>
      <c r="D2303" s="4"/>
      <c r="E2303" s="4"/>
      <c r="F2303" s="4" t="s">
        <v>22</v>
      </c>
      <c r="G2303" s="6">
        <v>177.98</v>
      </c>
      <c r="H2303" s="7" t="s">
        <v>1606</v>
      </c>
      <c r="I2303" s="4" t="s">
        <v>1816</v>
      </c>
      <c r="J2303" s="4" t="s">
        <v>4978</v>
      </c>
      <c r="K2303" s="8"/>
      <c r="L2303" s="8" t="s">
        <v>4979</v>
      </c>
      <c r="M2303" s="9">
        <f t="shared" si="1"/>
        <v>41</v>
      </c>
    </row>
    <row r="2304" ht="12.75" customHeight="1">
      <c r="A2304" s="4">
        <f t="shared" si="2"/>
        <v>2303</v>
      </c>
      <c r="B2304" s="4" t="s">
        <v>5010</v>
      </c>
      <c r="C2304" s="5" t="s">
        <v>5011</v>
      </c>
      <c r="D2304" s="4"/>
      <c r="E2304" s="4"/>
      <c r="F2304" s="4" t="s">
        <v>22</v>
      </c>
      <c r="G2304" s="6">
        <v>221.03</v>
      </c>
      <c r="H2304" s="7" t="s">
        <v>1606</v>
      </c>
      <c r="I2304" s="4" t="s">
        <v>1816</v>
      </c>
      <c r="J2304" s="4" t="s">
        <v>4978</v>
      </c>
      <c r="K2304" s="8"/>
      <c r="L2304" s="8" t="s">
        <v>4979</v>
      </c>
      <c r="M2304" s="9">
        <f t="shared" si="1"/>
        <v>41</v>
      </c>
    </row>
    <row r="2305" ht="12.75" customHeight="1">
      <c r="A2305" s="4">
        <f t="shared" si="2"/>
        <v>2304</v>
      </c>
      <c r="B2305" s="4" t="s">
        <v>5012</v>
      </c>
      <c r="C2305" s="5" t="s">
        <v>5013</v>
      </c>
      <c r="D2305" s="4"/>
      <c r="E2305" s="4"/>
      <c r="F2305" s="4" t="s">
        <v>22</v>
      </c>
      <c r="G2305" s="6">
        <v>42.52</v>
      </c>
      <c r="H2305" s="7" t="s">
        <v>1606</v>
      </c>
      <c r="I2305" s="4" t="s">
        <v>1816</v>
      </c>
      <c r="J2305" s="4" t="s">
        <v>4978</v>
      </c>
      <c r="K2305" s="8"/>
      <c r="L2305" s="8" t="s">
        <v>33</v>
      </c>
      <c r="M2305" s="9">
        <f t="shared" si="1"/>
        <v>35</v>
      </c>
    </row>
    <row r="2306" ht="12.75" customHeight="1">
      <c r="A2306" s="4">
        <f t="shared" si="2"/>
        <v>2305</v>
      </c>
      <c r="B2306" s="4" t="s">
        <v>5014</v>
      </c>
      <c r="C2306" s="5" t="s">
        <v>5015</v>
      </c>
      <c r="D2306" s="4"/>
      <c r="E2306" s="4"/>
      <c r="F2306" s="4" t="s">
        <v>22</v>
      </c>
      <c r="G2306" s="6">
        <v>17.57</v>
      </c>
      <c r="H2306" s="7" t="s">
        <v>1606</v>
      </c>
      <c r="I2306" s="4" t="s">
        <v>1816</v>
      </c>
      <c r="J2306" s="4" t="s">
        <v>4978</v>
      </c>
      <c r="K2306" s="8"/>
      <c r="L2306" s="8" t="s">
        <v>33</v>
      </c>
      <c r="M2306" s="9">
        <f t="shared" si="1"/>
        <v>35</v>
      </c>
    </row>
    <row r="2307" ht="12.75" customHeight="1">
      <c r="A2307" s="4">
        <f t="shared" si="2"/>
        <v>2306</v>
      </c>
      <c r="B2307" s="4" t="s">
        <v>5016</v>
      </c>
      <c r="C2307" s="5" t="s">
        <v>5017</v>
      </c>
      <c r="D2307" s="4"/>
      <c r="E2307" s="4"/>
      <c r="F2307" s="4" t="s">
        <v>22</v>
      </c>
      <c r="G2307" s="6">
        <v>6.76</v>
      </c>
      <c r="H2307" s="7" t="s">
        <v>1606</v>
      </c>
      <c r="I2307" s="4" t="s">
        <v>1816</v>
      </c>
      <c r="J2307" s="4" t="s">
        <v>4978</v>
      </c>
      <c r="K2307" s="8"/>
      <c r="L2307" s="8" t="s">
        <v>33</v>
      </c>
      <c r="M2307" s="9">
        <f t="shared" si="1"/>
        <v>33</v>
      </c>
    </row>
    <row r="2308" ht="12.75" customHeight="1">
      <c r="A2308" s="4">
        <f t="shared" si="2"/>
        <v>2307</v>
      </c>
      <c r="B2308" s="4" t="s">
        <v>5018</v>
      </c>
      <c r="C2308" s="5" t="s">
        <v>5019</v>
      </c>
      <c r="D2308" s="4"/>
      <c r="E2308" s="4"/>
      <c r="F2308" s="4" t="s">
        <v>22</v>
      </c>
      <c r="G2308" s="6">
        <v>7.84</v>
      </c>
      <c r="H2308" s="7" t="s">
        <v>1606</v>
      </c>
      <c r="I2308" s="4" t="s">
        <v>1816</v>
      </c>
      <c r="J2308" s="4" t="s">
        <v>4978</v>
      </c>
      <c r="K2308" s="8"/>
      <c r="L2308" s="8" t="s">
        <v>33</v>
      </c>
      <c r="M2308" s="9">
        <f t="shared" si="1"/>
        <v>31</v>
      </c>
    </row>
    <row r="2309" ht="12.75" customHeight="1">
      <c r="A2309" s="4">
        <f t="shared" si="2"/>
        <v>2308</v>
      </c>
      <c r="B2309" s="4" t="s">
        <v>5020</v>
      </c>
      <c r="C2309" s="5" t="s">
        <v>5021</v>
      </c>
      <c r="D2309" s="4"/>
      <c r="E2309" s="4"/>
      <c r="F2309" s="4" t="s">
        <v>22</v>
      </c>
      <c r="G2309" s="6">
        <v>4.05</v>
      </c>
      <c r="H2309" s="7" t="s">
        <v>1606</v>
      </c>
      <c r="I2309" s="4" t="s">
        <v>1816</v>
      </c>
      <c r="J2309" s="4" t="s">
        <v>4978</v>
      </c>
      <c r="K2309" s="8"/>
      <c r="L2309" s="8" t="s">
        <v>33</v>
      </c>
      <c r="M2309" s="9">
        <f t="shared" si="1"/>
        <v>33</v>
      </c>
    </row>
    <row r="2310" ht="12.75" customHeight="1">
      <c r="A2310" s="4">
        <f t="shared" si="2"/>
        <v>2309</v>
      </c>
      <c r="B2310" s="4" t="s">
        <v>5022</v>
      </c>
      <c r="C2310" s="5" t="s">
        <v>5023</v>
      </c>
      <c r="D2310" s="4"/>
      <c r="E2310" s="4"/>
      <c r="F2310" s="4" t="s">
        <v>22</v>
      </c>
      <c r="G2310" s="6">
        <v>10.81</v>
      </c>
      <c r="H2310" s="7" t="s">
        <v>1606</v>
      </c>
      <c r="I2310" s="4" t="s">
        <v>1816</v>
      </c>
      <c r="J2310" s="4" t="s">
        <v>4978</v>
      </c>
      <c r="K2310" s="8"/>
      <c r="L2310" s="8" t="s">
        <v>33</v>
      </c>
      <c r="M2310" s="9">
        <f t="shared" si="1"/>
        <v>31</v>
      </c>
    </row>
    <row r="2311" ht="12.75" customHeight="1">
      <c r="A2311" s="4">
        <f t="shared" si="2"/>
        <v>2310</v>
      </c>
      <c r="B2311" s="4" t="s">
        <v>5024</v>
      </c>
      <c r="C2311" s="5" t="s">
        <v>5025</v>
      </c>
      <c r="D2311" s="4"/>
      <c r="E2311" s="4"/>
      <c r="F2311" s="4" t="s">
        <v>22</v>
      </c>
      <c r="G2311" s="6">
        <v>5.41</v>
      </c>
      <c r="H2311" s="7" t="s">
        <v>1606</v>
      </c>
      <c r="I2311" s="4" t="s">
        <v>1816</v>
      </c>
      <c r="J2311" s="4" t="s">
        <v>4978</v>
      </c>
      <c r="K2311" s="8"/>
      <c r="L2311" s="8" t="s">
        <v>33</v>
      </c>
      <c r="M2311" s="9">
        <f t="shared" si="1"/>
        <v>32</v>
      </c>
    </row>
    <row r="2312" ht="12.75" customHeight="1">
      <c r="A2312" s="4">
        <f t="shared" si="2"/>
        <v>2311</v>
      </c>
      <c r="B2312" s="4" t="s">
        <v>5026</v>
      </c>
      <c r="C2312" s="5" t="s">
        <v>5027</v>
      </c>
      <c r="D2312" s="4"/>
      <c r="E2312" s="4"/>
      <c r="F2312" s="4" t="s">
        <v>22</v>
      </c>
      <c r="G2312" s="6">
        <v>13.51</v>
      </c>
      <c r="H2312" s="7" t="s">
        <v>1606</v>
      </c>
      <c r="I2312" s="4" t="s">
        <v>1816</v>
      </c>
      <c r="J2312" s="4" t="s">
        <v>4978</v>
      </c>
      <c r="K2312" s="8"/>
      <c r="L2312" s="8" t="s">
        <v>33</v>
      </c>
      <c r="M2312" s="9">
        <f t="shared" si="1"/>
        <v>32</v>
      </c>
    </row>
    <row r="2313" ht="12.75" customHeight="1">
      <c r="A2313" s="4">
        <f t="shared" si="2"/>
        <v>2312</v>
      </c>
      <c r="B2313" s="4" t="s">
        <v>5028</v>
      </c>
      <c r="C2313" s="5" t="s">
        <v>5029</v>
      </c>
      <c r="D2313" s="4"/>
      <c r="E2313" s="4"/>
      <c r="F2313" s="4" t="s">
        <v>22</v>
      </c>
      <c r="G2313" s="6">
        <v>17.85</v>
      </c>
      <c r="H2313" s="7" t="s">
        <v>1606</v>
      </c>
      <c r="I2313" s="4" t="s">
        <v>1816</v>
      </c>
      <c r="J2313" s="4" t="s">
        <v>4978</v>
      </c>
      <c r="K2313" s="8"/>
      <c r="L2313" s="8" t="s">
        <v>33</v>
      </c>
      <c r="M2313" s="9">
        <f t="shared" si="1"/>
        <v>32</v>
      </c>
    </row>
    <row r="2314" ht="12.75" customHeight="1">
      <c r="A2314" s="4">
        <f t="shared" si="2"/>
        <v>2313</v>
      </c>
      <c r="B2314" s="4" t="s">
        <v>5030</v>
      </c>
      <c r="C2314" s="5" t="s">
        <v>5031</v>
      </c>
      <c r="D2314" s="4"/>
      <c r="E2314" s="4"/>
      <c r="F2314" s="4" t="s">
        <v>22</v>
      </c>
      <c r="G2314" s="21">
        <v>24.63</v>
      </c>
      <c r="H2314" s="7" t="s">
        <v>1606</v>
      </c>
      <c r="I2314" s="4" t="s">
        <v>1816</v>
      </c>
      <c r="J2314" s="4" t="s">
        <v>4978</v>
      </c>
      <c r="K2314" s="8"/>
      <c r="L2314" s="8" t="s">
        <v>33</v>
      </c>
      <c r="M2314" s="9">
        <f t="shared" si="1"/>
        <v>32</v>
      </c>
    </row>
    <row r="2315" ht="12.75" customHeight="1">
      <c r="A2315" s="4">
        <f t="shared" si="2"/>
        <v>2314</v>
      </c>
      <c r="B2315" s="4" t="s">
        <v>5032</v>
      </c>
      <c r="C2315" s="5" t="s">
        <v>5033</v>
      </c>
      <c r="D2315" s="4"/>
      <c r="E2315" s="4"/>
      <c r="F2315" s="4" t="s">
        <v>22</v>
      </c>
      <c r="G2315" s="21">
        <v>63.78</v>
      </c>
      <c r="H2315" s="7" t="s">
        <v>1606</v>
      </c>
      <c r="I2315" s="4" t="s">
        <v>1816</v>
      </c>
      <c r="J2315" s="4" t="s">
        <v>4978</v>
      </c>
      <c r="K2315" s="8"/>
      <c r="L2315" s="8" t="s">
        <v>33</v>
      </c>
      <c r="M2315" s="9">
        <f t="shared" si="1"/>
        <v>32</v>
      </c>
    </row>
    <row r="2316" ht="12.75" customHeight="1">
      <c r="A2316" s="4">
        <f t="shared" si="2"/>
        <v>2315</v>
      </c>
      <c r="B2316" s="4" t="s">
        <v>5034</v>
      </c>
      <c r="C2316" s="5" t="s">
        <v>5035</v>
      </c>
      <c r="D2316" s="4"/>
      <c r="E2316" s="4"/>
      <c r="F2316" s="4" t="s">
        <v>22</v>
      </c>
      <c r="G2316" s="6">
        <v>0.6</v>
      </c>
      <c r="H2316" s="7" t="s">
        <v>1606</v>
      </c>
      <c r="I2316" s="4" t="s">
        <v>1773</v>
      </c>
      <c r="J2316" s="4" t="s">
        <v>1774</v>
      </c>
      <c r="K2316" s="8"/>
      <c r="L2316" s="8" t="s">
        <v>2097</v>
      </c>
      <c r="M2316" s="9">
        <f t="shared" si="1"/>
        <v>40</v>
      </c>
    </row>
    <row r="2317" ht="12.75" customHeight="1">
      <c r="A2317" s="4">
        <f t="shared" si="2"/>
        <v>2316</v>
      </c>
      <c r="B2317" s="4" t="s">
        <v>5036</v>
      </c>
      <c r="C2317" s="5" t="s">
        <v>5037</v>
      </c>
      <c r="D2317" s="4"/>
      <c r="E2317" s="4"/>
      <c r="F2317" s="4" t="s">
        <v>22</v>
      </c>
      <c r="G2317" s="6">
        <v>0.6</v>
      </c>
      <c r="H2317" s="7" t="s">
        <v>1606</v>
      </c>
      <c r="I2317" s="4" t="s">
        <v>1773</v>
      </c>
      <c r="J2317" s="4" t="s">
        <v>1774</v>
      </c>
      <c r="K2317" s="8"/>
      <c r="L2317" s="8" t="s">
        <v>2097</v>
      </c>
      <c r="M2317" s="9">
        <f t="shared" si="1"/>
        <v>41</v>
      </c>
    </row>
    <row r="2318" ht="12.75" customHeight="1">
      <c r="A2318" s="4">
        <f t="shared" si="2"/>
        <v>2317</v>
      </c>
      <c r="B2318" s="4" t="s">
        <v>5038</v>
      </c>
      <c r="C2318" s="5" t="s">
        <v>5039</v>
      </c>
      <c r="D2318" s="4"/>
      <c r="E2318" s="4"/>
      <c r="F2318" s="4" t="s">
        <v>22</v>
      </c>
      <c r="G2318" s="6">
        <v>0.6</v>
      </c>
      <c r="H2318" s="7" t="s">
        <v>1606</v>
      </c>
      <c r="I2318" s="4" t="s">
        <v>1773</v>
      </c>
      <c r="J2318" s="4" t="s">
        <v>1774</v>
      </c>
      <c r="K2318" s="8"/>
      <c r="L2318" s="8" t="s">
        <v>2097</v>
      </c>
      <c r="M2318" s="9">
        <f t="shared" si="1"/>
        <v>40</v>
      </c>
    </row>
    <row r="2319" ht="12.75" customHeight="1">
      <c r="A2319" s="4">
        <f t="shared" si="2"/>
        <v>2318</v>
      </c>
      <c r="B2319" s="4" t="s">
        <v>5040</v>
      </c>
      <c r="C2319" s="5" t="s">
        <v>5041</v>
      </c>
      <c r="D2319" s="4"/>
      <c r="E2319" s="4"/>
      <c r="F2319" s="4" t="s">
        <v>22</v>
      </c>
      <c r="G2319" s="6">
        <v>0.61</v>
      </c>
      <c r="H2319" s="7" t="s">
        <v>1606</v>
      </c>
      <c r="I2319" s="4" t="s">
        <v>1773</v>
      </c>
      <c r="J2319" s="4" t="s">
        <v>1774</v>
      </c>
      <c r="K2319" s="8"/>
      <c r="L2319" s="8" t="s">
        <v>2097</v>
      </c>
      <c r="M2319" s="9">
        <f t="shared" si="1"/>
        <v>38</v>
      </c>
    </row>
    <row r="2320" ht="12.75" customHeight="1">
      <c r="A2320" s="4">
        <f t="shared" si="2"/>
        <v>2319</v>
      </c>
      <c r="B2320" s="4" t="s">
        <v>5042</v>
      </c>
      <c r="C2320" s="5" t="s">
        <v>5043</v>
      </c>
      <c r="D2320" s="4"/>
      <c r="E2320" s="4"/>
      <c r="F2320" s="4" t="s">
        <v>22</v>
      </c>
      <c r="G2320" s="6">
        <v>0.61</v>
      </c>
      <c r="H2320" s="7" t="s">
        <v>1606</v>
      </c>
      <c r="I2320" s="4" t="s">
        <v>1773</v>
      </c>
      <c r="J2320" s="4" t="s">
        <v>1774</v>
      </c>
      <c r="K2320" s="8"/>
      <c r="L2320" s="8" t="s">
        <v>2097</v>
      </c>
      <c r="M2320" s="9">
        <f t="shared" si="1"/>
        <v>39</v>
      </c>
    </row>
    <row r="2321" ht="12.75" customHeight="1">
      <c r="A2321" s="4">
        <f t="shared" si="2"/>
        <v>2320</v>
      </c>
      <c r="B2321" s="4" t="s">
        <v>5044</v>
      </c>
      <c r="C2321" s="5" t="s">
        <v>5045</v>
      </c>
      <c r="D2321" s="4"/>
      <c r="E2321" s="4"/>
      <c r="F2321" s="4" t="s">
        <v>22</v>
      </c>
      <c r="G2321" s="6">
        <v>0.61</v>
      </c>
      <c r="H2321" s="7" t="s">
        <v>1606</v>
      </c>
      <c r="I2321" s="4" t="s">
        <v>1773</v>
      </c>
      <c r="J2321" s="4" t="s">
        <v>1774</v>
      </c>
      <c r="K2321" s="8"/>
      <c r="L2321" s="8" t="s">
        <v>2097</v>
      </c>
      <c r="M2321" s="9">
        <f t="shared" si="1"/>
        <v>38</v>
      </c>
    </row>
    <row r="2322" ht="12.75" customHeight="1">
      <c r="A2322" s="4">
        <f t="shared" si="2"/>
        <v>2321</v>
      </c>
      <c r="B2322" s="4" t="s">
        <v>5046</v>
      </c>
      <c r="C2322" s="5" t="s">
        <v>5047</v>
      </c>
      <c r="D2322" s="4"/>
      <c r="E2322" s="4"/>
      <c r="F2322" s="4" t="s">
        <v>22</v>
      </c>
      <c r="G2322" s="6">
        <v>0.61</v>
      </c>
      <c r="H2322" s="7" t="s">
        <v>1606</v>
      </c>
      <c r="I2322" s="4" t="s">
        <v>1773</v>
      </c>
      <c r="J2322" s="4" t="s">
        <v>1774</v>
      </c>
      <c r="K2322" s="8"/>
      <c r="L2322" s="8" t="s">
        <v>2097</v>
      </c>
      <c r="M2322" s="9">
        <f t="shared" si="1"/>
        <v>41</v>
      </c>
    </row>
    <row r="2323" ht="12.75" customHeight="1">
      <c r="A2323" s="4">
        <f t="shared" si="2"/>
        <v>2322</v>
      </c>
      <c r="B2323" s="4" t="s">
        <v>5048</v>
      </c>
      <c r="C2323" s="5" t="s">
        <v>5049</v>
      </c>
      <c r="D2323" s="4"/>
      <c r="E2323" s="4"/>
      <c r="F2323" s="4" t="s">
        <v>22</v>
      </c>
      <c r="G2323" s="6">
        <v>0.31</v>
      </c>
      <c r="H2323" s="7" t="s">
        <v>1606</v>
      </c>
      <c r="I2323" s="4" t="s">
        <v>1773</v>
      </c>
      <c r="J2323" s="4" t="s">
        <v>1774</v>
      </c>
      <c r="K2323" s="8"/>
      <c r="L2323" s="8" t="s">
        <v>2097</v>
      </c>
      <c r="M2323" s="9">
        <f t="shared" si="1"/>
        <v>44</v>
      </c>
    </row>
    <row r="2324" ht="12.75" customHeight="1">
      <c r="A2324" s="4">
        <f t="shared" si="2"/>
        <v>2323</v>
      </c>
      <c r="B2324" s="4" t="s">
        <v>5050</v>
      </c>
      <c r="C2324" s="5" t="s">
        <v>5051</v>
      </c>
      <c r="D2324" s="4"/>
      <c r="E2324" s="4"/>
      <c r="F2324" s="4" t="s">
        <v>22</v>
      </c>
      <c r="G2324" s="6">
        <v>0.31</v>
      </c>
      <c r="H2324" s="7" t="s">
        <v>1606</v>
      </c>
      <c r="I2324" s="4" t="s">
        <v>1773</v>
      </c>
      <c r="J2324" s="4" t="s">
        <v>1774</v>
      </c>
      <c r="K2324" s="8"/>
      <c r="L2324" s="8" t="s">
        <v>2097</v>
      </c>
      <c r="M2324" s="9">
        <f t="shared" si="1"/>
        <v>45</v>
      </c>
    </row>
    <row r="2325" ht="12.75" customHeight="1">
      <c r="A2325" s="4">
        <f t="shared" si="2"/>
        <v>2324</v>
      </c>
      <c r="B2325" s="4" t="s">
        <v>5052</v>
      </c>
      <c r="C2325" s="5" t="s">
        <v>5053</v>
      </c>
      <c r="D2325" s="4"/>
      <c r="E2325" s="4"/>
      <c r="F2325" s="4" t="s">
        <v>22</v>
      </c>
      <c r="G2325" s="6">
        <v>0.31</v>
      </c>
      <c r="H2325" s="7" t="s">
        <v>1606</v>
      </c>
      <c r="I2325" s="4" t="s">
        <v>1773</v>
      </c>
      <c r="J2325" s="4" t="s">
        <v>1774</v>
      </c>
      <c r="K2325" s="8"/>
      <c r="L2325" s="8" t="s">
        <v>2097</v>
      </c>
      <c r="M2325" s="9">
        <f t="shared" si="1"/>
        <v>44</v>
      </c>
    </row>
    <row r="2326" ht="12.75" customHeight="1">
      <c r="A2326" s="4">
        <f t="shared" si="2"/>
        <v>2325</v>
      </c>
      <c r="B2326" s="4" t="s">
        <v>5054</v>
      </c>
      <c r="C2326" s="5" t="s">
        <v>5055</v>
      </c>
      <c r="D2326" s="4"/>
      <c r="E2326" s="4"/>
      <c r="F2326" s="4" t="s">
        <v>22</v>
      </c>
      <c r="G2326" s="6">
        <v>0.31</v>
      </c>
      <c r="H2326" s="7" t="s">
        <v>1606</v>
      </c>
      <c r="I2326" s="4" t="s">
        <v>1773</v>
      </c>
      <c r="J2326" s="4" t="s">
        <v>1774</v>
      </c>
      <c r="K2326" s="8"/>
      <c r="L2326" s="8" t="s">
        <v>2097</v>
      </c>
      <c r="M2326" s="9">
        <f t="shared" si="1"/>
        <v>45</v>
      </c>
    </row>
    <row r="2327" ht="12.75" customHeight="1">
      <c r="A2327" s="4">
        <f t="shared" si="2"/>
        <v>2326</v>
      </c>
      <c r="B2327" s="4" t="s">
        <v>5056</v>
      </c>
      <c r="C2327" s="5" t="s">
        <v>5057</v>
      </c>
      <c r="D2327" s="4"/>
      <c r="E2327" s="4"/>
      <c r="F2327" s="4" t="s">
        <v>22</v>
      </c>
      <c r="G2327" s="6">
        <v>21.89</v>
      </c>
      <c r="H2327" s="7" t="s">
        <v>1606</v>
      </c>
      <c r="I2327" s="4" t="s">
        <v>2860</v>
      </c>
      <c r="J2327" s="4" t="s">
        <v>5058</v>
      </c>
      <c r="K2327" s="8"/>
      <c r="L2327" s="8" t="s">
        <v>33</v>
      </c>
      <c r="M2327" s="9">
        <f t="shared" si="1"/>
        <v>56</v>
      </c>
    </row>
    <row r="2328" ht="12.75" customHeight="1">
      <c r="A2328" s="4">
        <f t="shared" si="2"/>
        <v>2327</v>
      </c>
      <c r="B2328" s="4" t="s">
        <v>5059</v>
      </c>
      <c r="C2328" s="5" t="s">
        <v>5060</v>
      </c>
      <c r="D2328" s="4"/>
      <c r="E2328" s="4"/>
      <c r="F2328" s="4" t="s">
        <v>22</v>
      </c>
      <c r="G2328" s="6">
        <f>49.7/3.7</f>
        <v>13.43243243</v>
      </c>
      <c r="H2328" s="7" t="s">
        <v>1606</v>
      </c>
      <c r="I2328" s="4" t="s">
        <v>709</v>
      </c>
      <c r="J2328" s="4" t="s">
        <v>742</v>
      </c>
      <c r="K2328" s="8"/>
      <c r="L2328" s="8" t="s">
        <v>507</v>
      </c>
      <c r="M2328" s="9">
        <f t="shared" si="1"/>
        <v>52</v>
      </c>
    </row>
    <row r="2329" ht="12.75" customHeight="1">
      <c r="A2329" s="4">
        <f t="shared" si="2"/>
        <v>2328</v>
      </c>
      <c r="B2329" s="4" t="s">
        <v>5061</v>
      </c>
      <c r="C2329" s="5" t="s">
        <v>5062</v>
      </c>
      <c r="D2329" s="4"/>
      <c r="E2329" s="4"/>
      <c r="F2329" s="4" t="s">
        <v>22</v>
      </c>
      <c r="G2329" s="6">
        <v>1.01</v>
      </c>
      <c r="H2329" s="7" t="s">
        <v>1606</v>
      </c>
      <c r="I2329" s="4" t="s">
        <v>1773</v>
      </c>
      <c r="J2329" s="4" t="s">
        <v>1774</v>
      </c>
      <c r="K2329" s="8"/>
      <c r="L2329" s="8" t="s">
        <v>2097</v>
      </c>
      <c r="M2329" s="9">
        <f t="shared" si="1"/>
        <v>23</v>
      </c>
    </row>
    <row r="2330" ht="12.75" customHeight="1">
      <c r="A2330" s="4">
        <f t="shared" si="2"/>
        <v>2329</v>
      </c>
      <c r="B2330" s="4" t="s">
        <v>5063</v>
      </c>
      <c r="C2330" s="5" t="s">
        <v>5064</v>
      </c>
      <c r="D2330" s="4"/>
      <c r="E2330" s="4"/>
      <c r="F2330" s="4" t="s">
        <v>22</v>
      </c>
      <c r="G2330" s="6">
        <v>9.46</v>
      </c>
      <c r="H2330" s="7" t="s">
        <v>1606</v>
      </c>
      <c r="I2330" s="4" t="s">
        <v>709</v>
      </c>
      <c r="J2330" s="4" t="s">
        <v>742</v>
      </c>
      <c r="K2330" s="8"/>
      <c r="L2330" s="8" t="s">
        <v>33</v>
      </c>
      <c r="M2330" s="9">
        <f t="shared" si="1"/>
        <v>36</v>
      </c>
    </row>
    <row r="2331" ht="12.75" customHeight="1">
      <c r="A2331" s="4">
        <f t="shared" si="2"/>
        <v>2330</v>
      </c>
      <c r="B2331" s="4" t="s">
        <v>5065</v>
      </c>
      <c r="C2331" s="5" t="s">
        <v>5066</v>
      </c>
      <c r="D2331" s="4"/>
      <c r="E2331" s="4"/>
      <c r="F2331" s="4" t="s">
        <v>22</v>
      </c>
      <c r="G2331" s="6">
        <v>5.38</v>
      </c>
      <c r="H2331" s="7" t="s">
        <v>1606</v>
      </c>
      <c r="I2331" s="4" t="s">
        <v>709</v>
      </c>
      <c r="J2331" s="4" t="s">
        <v>742</v>
      </c>
      <c r="K2331" s="8"/>
      <c r="L2331" s="8" t="s">
        <v>33</v>
      </c>
      <c r="M2331" s="9">
        <f t="shared" si="1"/>
        <v>36</v>
      </c>
    </row>
    <row r="2332" ht="12.75" customHeight="1">
      <c r="A2332" s="4">
        <f t="shared" si="2"/>
        <v>2331</v>
      </c>
      <c r="B2332" s="4" t="s">
        <v>5067</v>
      </c>
      <c r="C2332" s="5" t="s">
        <v>5068</v>
      </c>
      <c r="D2332" s="4"/>
      <c r="E2332" s="4"/>
      <c r="F2332" s="4" t="s">
        <v>22</v>
      </c>
      <c r="G2332" s="6">
        <v>12.65</v>
      </c>
      <c r="H2332" s="7" t="s">
        <v>1606</v>
      </c>
      <c r="I2332" s="4" t="s">
        <v>1773</v>
      </c>
      <c r="J2332" s="4" t="s">
        <v>2427</v>
      </c>
      <c r="K2332" s="8"/>
      <c r="L2332" s="8" t="s">
        <v>33</v>
      </c>
      <c r="M2332" s="9">
        <f t="shared" si="1"/>
        <v>18</v>
      </c>
    </row>
    <row r="2333" ht="12.75" customHeight="1">
      <c r="A2333" s="4">
        <f t="shared" si="2"/>
        <v>2332</v>
      </c>
      <c r="B2333" s="4" t="s">
        <v>5069</v>
      </c>
      <c r="C2333" s="5" t="s">
        <v>5070</v>
      </c>
      <c r="D2333" s="4"/>
      <c r="E2333" s="4"/>
      <c r="F2333" s="4" t="s">
        <v>1764</v>
      </c>
      <c r="G2333" s="6">
        <v>1.4</v>
      </c>
      <c r="H2333" s="7" t="s">
        <v>1606</v>
      </c>
      <c r="I2333" s="4" t="s">
        <v>1574</v>
      </c>
      <c r="J2333" s="4" t="s">
        <v>2075</v>
      </c>
      <c r="K2333" s="8"/>
      <c r="L2333" s="8" t="s">
        <v>5071</v>
      </c>
      <c r="M2333" s="9">
        <f t="shared" si="1"/>
        <v>41</v>
      </c>
    </row>
    <row r="2334" ht="12.75" customHeight="1">
      <c r="A2334" s="4">
        <f t="shared" si="2"/>
        <v>2333</v>
      </c>
      <c r="B2334" s="4" t="s">
        <v>5072</v>
      </c>
      <c r="C2334" s="5" t="s">
        <v>5073</v>
      </c>
      <c r="D2334" s="4"/>
      <c r="E2334" s="4"/>
      <c r="F2334" s="4" t="s">
        <v>1764</v>
      </c>
      <c r="G2334" s="6">
        <v>1.4</v>
      </c>
      <c r="H2334" s="7" t="s">
        <v>1606</v>
      </c>
      <c r="I2334" s="4" t="s">
        <v>1574</v>
      </c>
      <c r="J2334" s="4" t="s">
        <v>2075</v>
      </c>
      <c r="K2334" s="8"/>
      <c r="L2334" s="8" t="s">
        <v>5071</v>
      </c>
      <c r="M2334" s="9">
        <f t="shared" si="1"/>
        <v>45</v>
      </c>
    </row>
    <row r="2335" ht="12.75" customHeight="1">
      <c r="A2335" s="4">
        <f t="shared" si="2"/>
        <v>2334</v>
      </c>
      <c r="B2335" s="4" t="s">
        <v>5074</v>
      </c>
      <c r="C2335" s="5" t="s">
        <v>5075</v>
      </c>
      <c r="D2335" s="4"/>
      <c r="E2335" s="4"/>
      <c r="F2335" s="4" t="s">
        <v>1764</v>
      </c>
      <c r="G2335" s="6">
        <v>2.46</v>
      </c>
      <c r="H2335" s="7" t="s">
        <v>1606</v>
      </c>
      <c r="I2335" s="4" t="s">
        <v>1574</v>
      </c>
      <c r="J2335" s="4" t="s">
        <v>2075</v>
      </c>
      <c r="K2335" s="8"/>
      <c r="L2335" s="8" t="s">
        <v>5071</v>
      </c>
      <c r="M2335" s="9">
        <f t="shared" si="1"/>
        <v>41</v>
      </c>
    </row>
    <row r="2336" ht="12.75" customHeight="1">
      <c r="A2336" s="4">
        <f t="shared" si="2"/>
        <v>2335</v>
      </c>
      <c r="B2336" s="4" t="s">
        <v>5076</v>
      </c>
      <c r="C2336" s="5" t="s">
        <v>5077</v>
      </c>
      <c r="D2336" s="4"/>
      <c r="E2336" s="4"/>
      <c r="F2336" s="4" t="s">
        <v>1764</v>
      </c>
      <c r="G2336" s="6">
        <v>3.24</v>
      </c>
      <c r="H2336" s="7" t="s">
        <v>1606</v>
      </c>
      <c r="I2336" s="4" t="s">
        <v>1574</v>
      </c>
      <c r="J2336" s="4" t="s">
        <v>2075</v>
      </c>
      <c r="K2336" s="8"/>
      <c r="L2336" s="8" t="s">
        <v>5071</v>
      </c>
      <c r="M2336" s="9">
        <f t="shared" si="1"/>
        <v>37</v>
      </c>
    </row>
    <row r="2337" ht="12.75" customHeight="1">
      <c r="A2337" s="4">
        <f t="shared" si="2"/>
        <v>2336</v>
      </c>
      <c r="B2337" s="4" t="s">
        <v>5078</v>
      </c>
      <c r="C2337" s="5" t="s">
        <v>5079</v>
      </c>
      <c r="D2337" s="4"/>
      <c r="E2337" s="4"/>
      <c r="F2337" s="4" t="s">
        <v>1764</v>
      </c>
      <c r="G2337" s="6">
        <v>3.68</v>
      </c>
      <c r="H2337" s="7" t="s">
        <v>1606</v>
      </c>
      <c r="I2337" s="4" t="s">
        <v>1574</v>
      </c>
      <c r="J2337" s="4" t="s">
        <v>2075</v>
      </c>
      <c r="K2337" s="8"/>
      <c r="L2337" s="8" t="s">
        <v>5071</v>
      </c>
      <c r="M2337" s="9">
        <f t="shared" si="1"/>
        <v>41</v>
      </c>
    </row>
    <row r="2338" ht="12.75" customHeight="1">
      <c r="A2338" s="4">
        <f t="shared" si="2"/>
        <v>2337</v>
      </c>
      <c r="B2338" s="4" t="s">
        <v>5080</v>
      </c>
      <c r="C2338" s="5" t="s">
        <v>5081</v>
      </c>
      <c r="D2338" s="4"/>
      <c r="E2338" s="4"/>
      <c r="F2338" s="4" t="s">
        <v>371</v>
      </c>
      <c r="G2338" s="6">
        <v>8.16</v>
      </c>
      <c r="H2338" s="7" t="s">
        <v>1606</v>
      </c>
      <c r="I2338" s="4" t="s">
        <v>1773</v>
      </c>
      <c r="J2338" s="4" t="s">
        <v>1774</v>
      </c>
      <c r="K2338" s="8"/>
      <c r="L2338" s="8" t="s">
        <v>19</v>
      </c>
      <c r="M2338" s="9">
        <f t="shared" si="1"/>
        <v>53</v>
      </c>
    </row>
    <row r="2339" ht="12.75" customHeight="1">
      <c r="A2339" s="4">
        <f t="shared" si="2"/>
        <v>2338</v>
      </c>
      <c r="B2339" s="4" t="s">
        <v>5082</v>
      </c>
      <c r="C2339" s="5" t="s">
        <v>5083</v>
      </c>
      <c r="D2339" s="4"/>
      <c r="E2339" s="4"/>
      <c r="F2339" s="4" t="s">
        <v>371</v>
      </c>
      <c r="G2339" s="6">
        <v>9.76</v>
      </c>
      <c r="H2339" s="7" t="s">
        <v>1606</v>
      </c>
      <c r="I2339" s="4" t="s">
        <v>1773</v>
      </c>
      <c r="J2339" s="4" t="s">
        <v>1774</v>
      </c>
      <c r="K2339" s="8"/>
      <c r="L2339" s="8" t="s">
        <v>19</v>
      </c>
      <c r="M2339" s="9">
        <f t="shared" si="1"/>
        <v>53</v>
      </c>
    </row>
    <row r="2340" ht="12.75" customHeight="1">
      <c r="A2340" s="4">
        <f t="shared" si="2"/>
        <v>2339</v>
      </c>
      <c r="B2340" s="4" t="s">
        <v>5084</v>
      </c>
      <c r="C2340" s="5" t="s">
        <v>5085</v>
      </c>
      <c r="D2340" s="4"/>
      <c r="E2340" s="4"/>
      <c r="F2340" s="4" t="s">
        <v>22</v>
      </c>
      <c r="G2340" s="6">
        <v>2.5</v>
      </c>
      <c r="H2340" s="7" t="s">
        <v>1606</v>
      </c>
      <c r="I2340" s="4" t="s">
        <v>17</v>
      </c>
      <c r="J2340" s="4" t="s">
        <v>4169</v>
      </c>
      <c r="K2340" s="8"/>
      <c r="L2340" s="8" t="s">
        <v>33</v>
      </c>
      <c r="M2340" s="9">
        <f t="shared" si="1"/>
        <v>48</v>
      </c>
    </row>
    <row r="2341" ht="12.75" customHeight="1">
      <c r="A2341" s="4">
        <f t="shared" si="2"/>
        <v>2340</v>
      </c>
      <c r="B2341" s="4" t="s">
        <v>5086</v>
      </c>
      <c r="C2341" s="5" t="s">
        <v>5087</v>
      </c>
      <c r="D2341" s="4"/>
      <c r="E2341" s="4"/>
      <c r="F2341" s="4" t="s">
        <v>22</v>
      </c>
      <c r="G2341" s="6">
        <v>1.35</v>
      </c>
      <c r="H2341" s="7" t="s">
        <v>1606</v>
      </c>
      <c r="I2341" s="4" t="s">
        <v>1574</v>
      </c>
      <c r="J2341" s="4" t="s">
        <v>3029</v>
      </c>
      <c r="K2341" s="8"/>
      <c r="L2341" s="8" t="s">
        <v>5088</v>
      </c>
      <c r="M2341" s="9">
        <f t="shared" si="1"/>
        <v>44</v>
      </c>
    </row>
    <row r="2342" ht="12.75" customHeight="1">
      <c r="A2342" s="4">
        <f t="shared" si="2"/>
        <v>2341</v>
      </c>
      <c r="B2342" s="4" t="s">
        <v>5089</v>
      </c>
      <c r="C2342" s="5" t="s">
        <v>5090</v>
      </c>
      <c r="D2342" s="4"/>
      <c r="E2342" s="4"/>
      <c r="F2342" s="4" t="s">
        <v>22</v>
      </c>
      <c r="G2342" s="6">
        <v>1.81</v>
      </c>
      <c r="H2342" s="7" t="s">
        <v>1606</v>
      </c>
      <c r="I2342" s="4" t="s">
        <v>1574</v>
      </c>
      <c r="J2342" s="4" t="s">
        <v>3029</v>
      </c>
      <c r="K2342" s="8"/>
      <c r="L2342" s="8" t="s">
        <v>5088</v>
      </c>
      <c r="M2342" s="9">
        <f t="shared" si="1"/>
        <v>44</v>
      </c>
    </row>
    <row r="2343" ht="12.75" customHeight="1">
      <c r="A2343" s="4">
        <f t="shared" si="2"/>
        <v>2342</v>
      </c>
      <c r="B2343" s="4" t="s">
        <v>5091</v>
      </c>
      <c r="C2343" s="5" t="s">
        <v>5092</v>
      </c>
      <c r="D2343" s="4"/>
      <c r="E2343" s="4"/>
      <c r="F2343" s="4" t="s">
        <v>22</v>
      </c>
      <c r="G2343" s="6">
        <v>2.27</v>
      </c>
      <c r="H2343" s="7" t="s">
        <v>1606</v>
      </c>
      <c r="I2343" s="4" t="s">
        <v>1574</v>
      </c>
      <c r="J2343" s="4" t="s">
        <v>3029</v>
      </c>
      <c r="K2343" s="8"/>
      <c r="L2343" s="8" t="s">
        <v>5088</v>
      </c>
      <c r="M2343" s="9">
        <f t="shared" si="1"/>
        <v>44</v>
      </c>
    </row>
    <row r="2344" ht="12.75" customHeight="1">
      <c r="A2344" s="4">
        <f t="shared" si="2"/>
        <v>2343</v>
      </c>
      <c r="B2344" s="4" t="s">
        <v>5093</v>
      </c>
      <c r="C2344" s="5" t="s">
        <v>5094</v>
      </c>
      <c r="D2344" s="4"/>
      <c r="E2344" s="4"/>
      <c r="F2344" s="4" t="s">
        <v>22</v>
      </c>
      <c r="G2344" s="6">
        <v>4.62</v>
      </c>
      <c r="H2344" s="7" t="s">
        <v>1606</v>
      </c>
      <c r="I2344" s="4" t="s">
        <v>1574</v>
      </c>
      <c r="J2344" s="4" t="s">
        <v>3029</v>
      </c>
      <c r="K2344" s="8"/>
      <c r="L2344" s="8" t="s">
        <v>5088</v>
      </c>
      <c r="M2344" s="9">
        <f t="shared" si="1"/>
        <v>44</v>
      </c>
    </row>
    <row r="2345" ht="12.75" customHeight="1">
      <c r="A2345" s="4">
        <f t="shared" si="2"/>
        <v>2344</v>
      </c>
      <c r="B2345" s="4" t="s">
        <v>5095</v>
      </c>
      <c r="C2345" s="5" t="s">
        <v>5096</v>
      </c>
      <c r="D2345" s="4"/>
      <c r="E2345" s="4"/>
      <c r="F2345" s="4" t="s">
        <v>22</v>
      </c>
      <c r="G2345" s="6">
        <v>12.7</v>
      </c>
      <c r="H2345" s="7" t="s">
        <v>1606</v>
      </c>
      <c r="I2345" s="4" t="s">
        <v>1574</v>
      </c>
      <c r="J2345" s="4" t="s">
        <v>3029</v>
      </c>
      <c r="K2345" s="8"/>
      <c r="L2345" s="8" t="s">
        <v>5088</v>
      </c>
      <c r="M2345" s="9">
        <f t="shared" si="1"/>
        <v>44</v>
      </c>
    </row>
    <row r="2346" ht="12.75" customHeight="1">
      <c r="A2346" s="4">
        <f t="shared" si="2"/>
        <v>2345</v>
      </c>
      <c r="B2346" s="4" t="s">
        <v>5097</v>
      </c>
      <c r="C2346" s="5" t="s">
        <v>5098</v>
      </c>
      <c r="D2346" s="4"/>
      <c r="E2346" s="4"/>
      <c r="F2346" s="4" t="s">
        <v>22</v>
      </c>
      <c r="G2346" s="6">
        <v>0.53</v>
      </c>
      <c r="H2346" s="7" t="s">
        <v>1606</v>
      </c>
      <c r="I2346" s="4" t="s">
        <v>1574</v>
      </c>
      <c r="J2346" s="4" t="s">
        <v>3029</v>
      </c>
      <c r="K2346" s="8"/>
      <c r="L2346" s="8" t="s">
        <v>5088</v>
      </c>
      <c r="M2346" s="9">
        <f t="shared" si="1"/>
        <v>44</v>
      </c>
    </row>
    <row r="2347" ht="12.75" customHeight="1">
      <c r="A2347" s="4">
        <f t="shared" si="2"/>
        <v>2346</v>
      </c>
      <c r="B2347" s="4" t="s">
        <v>5099</v>
      </c>
      <c r="C2347" s="5" t="s">
        <v>5100</v>
      </c>
      <c r="D2347" s="4"/>
      <c r="E2347" s="4"/>
      <c r="F2347" s="4" t="s">
        <v>22</v>
      </c>
      <c r="G2347" s="6">
        <v>1.51</v>
      </c>
      <c r="H2347" s="7" t="s">
        <v>1606</v>
      </c>
      <c r="I2347" s="4" t="s">
        <v>1574</v>
      </c>
      <c r="J2347" s="4" t="s">
        <v>3029</v>
      </c>
      <c r="K2347" s="8"/>
      <c r="L2347" s="8" t="s">
        <v>5088</v>
      </c>
      <c r="M2347" s="9">
        <f t="shared" si="1"/>
        <v>44</v>
      </c>
    </row>
    <row r="2348" ht="12.75" customHeight="1">
      <c r="A2348" s="4">
        <f t="shared" si="2"/>
        <v>2347</v>
      </c>
      <c r="B2348" s="4" t="s">
        <v>5101</v>
      </c>
      <c r="C2348" s="5" t="s">
        <v>5102</v>
      </c>
      <c r="D2348" s="4"/>
      <c r="E2348" s="4"/>
      <c r="F2348" s="4" t="s">
        <v>22</v>
      </c>
      <c r="G2348" s="6">
        <v>0.81</v>
      </c>
      <c r="H2348" s="7" t="s">
        <v>1606</v>
      </c>
      <c r="I2348" s="4" t="s">
        <v>1574</v>
      </c>
      <c r="J2348" s="4" t="s">
        <v>3029</v>
      </c>
      <c r="K2348" s="8"/>
      <c r="L2348" s="8" t="s">
        <v>5088</v>
      </c>
      <c r="M2348" s="9">
        <f t="shared" si="1"/>
        <v>43</v>
      </c>
    </row>
    <row r="2349" ht="12.75" customHeight="1">
      <c r="A2349" s="4">
        <f t="shared" si="2"/>
        <v>2348</v>
      </c>
      <c r="B2349" s="4" t="s">
        <v>5103</v>
      </c>
      <c r="C2349" s="5" t="s">
        <v>5104</v>
      </c>
      <c r="D2349" s="4"/>
      <c r="E2349" s="4"/>
      <c r="F2349" s="4" t="s">
        <v>22</v>
      </c>
      <c r="G2349" s="6">
        <v>1.27</v>
      </c>
      <c r="H2349" s="7" t="s">
        <v>1606</v>
      </c>
      <c r="I2349" s="4" t="s">
        <v>1574</v>
      </c>
      <c r="J2349" s="4" t="s">
        <v>3029</v>
      </c>
      <c r="K2349" s="8"/>
      <c r="L2349" s="8" t="s">
        <v>5088</v>
      </c>
      <c r="M2349" s="9">
        <f t="shared" si="1"/>
        <v>43</v>
      </c>
    </row>
    <row r="2350" ht="12.75" customHeight="1">
      <c r="A2350" s="4">
        <f t="shared" si="2"/>
        <v>2349</v>
      </c>
      <c r="B2350" s="4" t="s">
        <v>5105</v>
      </c>
      <c r="C2350" s="5" t="s">
        <v>5106</v>
      </c>
      <c r="D2350" s="4"/>
      <c r="E2350" s="4"/>
      <c r="F2350" s="4" t="s">
        <v>22</v>
      </c>
      <c r="G2350" s="6">
        <v>0.89</v>
      </c>
      <c r="H2350" s="7" t="s">
        <v>1606</v>
      </c>
      <c r="I2350" s="4" t="s">
        <v>1574</v>
      </c>
      <c r="J2350" s="4" t="s">
        <v>3029</v>
      </c>
      <c r="K2350" s="8"/>
      <c r="L2350" s="8" t="s">
        <v>5088</v>
      </c>
      <c r="M2350" s="9">
        <f t="shared" si="1"/>
        <v>43</v>
      </c>
    </row>
    <row r="2351" ht="12.75" customHeight="1">
      <c r="A2351" s="4">
        <f t="shared" si="2"/>
        <v>2350</v>
      </c>
      <c r="B2351" s="4" t="s">
        <v>5107</v>
      </c>
      <c r="C2351" s="5" t="s">
        <v>5108</v>
      </c>
      <c r="D2351" s="4"/>
      <c r="E2351" s="4"/>
      <c r="F2351" s="4" t="s">
        <v>22</v>
      </c>
      <c r="G2351" s="6">
        <v>0.84</v>
      </c>
      <c r="H2351" s="7" t="s">
        <v>1606</v>
      </c>
      <c r="I2351" s="4" t="s">
        <v>1574</v>
      </c>
      <c r="J2351" s="4" t="s">
        <v>3029</v>
      </c>
      <c r="K2351" s="8"/>
      <c r="L2351" s="8" t="s">
        <v>5088</v>
      </c>
      <c r="M2351" s="9">
        <f t="shared" si="1"/>
        <v>41</v>
      </c>
    </row>
    <row r="2352" ht="12.75" customHeight="1">
      <c r="A2352" s="4">
        <f t="shared" si="2"/>
        <v>2351</v>
      </c>
      <c r="B2352" s="4" t="s">
        <v>5109</v>
      </c>
      <c r="C2352" s="5" t="s">
        <v>5110</v>
      </c>
      <c r="D2352" s="4"/>
      <c r="E2352" s="4"/>
      <c r="F2352" s="4" t="s">
        <v>22</v>
      </c>
      <c r="G2352" s="6">
        <v>4.16</v>
      </c>
      <c r="H2352" s="7" t="s">
        <v>1606</v>
      </c>
      <c r="I2352" s="4" t="s">
        <v>1574</v>
      </c>
      <c r="J2352" s="4" t="s">
        <v>2501</v>
      </c>
      <c r="K2352" s="8"/>
      <c r="L2352" s="8" t="s">
        <v>5088</v>
      </c>
      <c r="M2352" s="9">
        <f t="shared" si="1"/>
        <v>45</v>
      </c>
    </row>
    <row r="2353" ht="12.75" customHeight="1">
      <c r="A2353" s="4">
        <f t="shared" si="2"/>
        <v>2352</v>
      </c>
      <c r="B2353" s="4" t="s">
        <v>5111</v>
      </c>
      <c r="C2353" s="5" t="s">
        <v>5112</v>
      </c>
      <c r="D2353" s="4"/>
      <c r="E2353" s="4"/>
      <c r="F2353" s="4" t="s">
        <v>22</v>
      </c>
      <c r="G2353" s="6">
        <v>17.38</v>
      </c>
      <c r="H2353" s="7" t="s">
        <v>1606</v>
      </c>
      <c r="I2353" s="4" t="s">
        <v>1574</v>
      </c>
      <c r="J2353" s="4" t="s">
        <v>2501</v>
      </c>
      <c r="K2353" s="8"/>
      <c r="L2353" s="8" t="s">
        <v>5088</v>
      </c>
      <c r="M2353" s="9">
        <f t="shared" si="1"/>
        <v>45</v>
      </c>
    </row>
    <row r="2354" ht="12.75" customHeight="1">
      <c r="A2354" s="4">
        <f t="shared" si="2"/>
        <v>2353</v>
      </c>
      <c r="B2354" s="4" t="s">
        <v>5113</v>
      </c>
      <c r="C2354" s="5" t="s">
        <v>5114</v>
      </c>
      <c r="D2354" s="4"/>
      <c r="E2354" s="4"/>
      <c r="F2354" s="4" t="s">
        <v>22</v>
      </c>
      <c r="G2354" s="6">
        <v>4.86</v>
      </c>
      <c r="H2354" s="7" t="s">
        <v>1606</v>
      </c>
      <c r="I2354" s="4" t="s">
        <v>1574</v>
      </c>
      <c r="J2354" s="4" t="s">
        <v>2501</v>
      </c>
      <c r="K2354" s="8"/>
      <c r="L2354" s="8" t="s">
        <v>5088</v>
      </c>
      <c r="M2354" s="9">
        <f t="shared" si="1"/>
        <v>45</v>
      </c>
    </row>
    <row r="2355" ht="12.75" customHeight="1">
      <c r="A2355" s="4">
        <f t="shared" si="2"/>
        <v>2354</v>
      </c>
      <c r="B2355" s="4" t="s">
        <v>5115</v>
      </c>
      <c r="C2355" s="5" t="s">
        <v>5116</v>
      </c>
      <c r="D2355" s="4"/>
      <c r="E2355" s="4"/>
      <c r="F2355" s="4" t="s">
        <v>22</v>
      </c>
      <c r="G2355" s="6">
        <v>37.54</v>
      </c>
      <c r="H2355" s="7" t="s">
        <v>1606</v>
      </c>
      <c r="I2355" s="4" t="s">
        <v>1574</v>
      </c>
      <c r="J2355" s="4" t="s">
        <v>2501</v>
      </c>
      <c r="K2355" s="8"/>
      <c r="L2355" s="8" t="s">
        <v>5088</v>
      </c>
      <c r="M2355" s="9">
        <f t="shared" si="1"/>
        <v>45</v>
      </c>
    </row>
    <row r="2356" ht="12.75" customHeight="1">
      <c r="A2356" s="4">
        <f t="shared" si="2"/>
        <v>2355</v>
      </c>
      <c r="B2356" s="4" t="s">
        <v>5117</v>
      </c>
      <c r="C2356" s="5" t="s">
        <v>5118</v>
      </c>
      <c r="D2356" s="4"/>
      <c r="E2356" s="4"/>
      <c r="F2356" s="4" t="s">
        <v>22</v>
      </c>
      <c r="G2356" s="6">
        <v>3.73</v>
      </c>
      <c r="H2356" s="7" t="s">
        <v>1606</v>
      </c>
      <c r="I2356" s="4" t="s">
        <v>1574</v>
      </c>
      <c r="J2356" s="4" t="s">
        <v>2501</v>
      </c>
      <c r="K2356" s="8"/>
      <c r="L2356" s="8" t="s">
        <v>5088</v>
      </c>
      <c r="M2356" s="9">
        <f t="shared" si="1"/>
        <v>44</v>
      </c>
    </row>
    <row r="2357" ht="12.75" customHeight="1">
      <c r="A2357" s="4">
        <f t="shared" si="2"/>
        <v>2356</v>
      </c>
      <c r="B2357" s="4" t="s">
        <v>5119</v>
      </c>
      <c r="C2357" s="5" t="s">
        <v>5120</v>
      </c>
      <c r="D2357" s="4"/>
      <c r="E2357" s="4"/>
      <c r="F2357" s="4" t="s">
        <v>22</v>
      </c>
      <c r="G2357" s="6">
        <v>1.14</v>
      </c>
      <c r="H2357" s="7" t="s">
        <v>1606</v>
      </c>
      <c r="I2357" s="4" t="s">
        <v>1574</v>
      </c>
      <c r="J2357" s="4" t="s">
        <v>3029</v>
      </c>
      <c r="K2357" s="8"/>
      <c r="L2357" s="8" t="s">
        <v>5088</v>
      </c>
      <c r="M2357" s="9">
        <f t="shared" si="1"/>
        <v>45</v>
      </c>
    </row>
    <row r="2358" ht="12.75" customHeight="1">
      <c r="A2358" s="4">
        <f t="shared" si="2"/>
        <v>2357</v>
      </c>
      <c r="B2358" s="4" t="s">
        <v>5121</v>
      </c>
      <c r="C2358" s="5" t="s">
        <v>5122</v>
      </c>
      <c r="D2358" s="4"/>
      <c r="E2358" s="4"/>
      <c r="F2358" s="4" t="s">
        <v>22</v>
      </c>
      <c r="G2358" s="6">
        <v>1.51</v>
      </c>
      <c r="H2358" s="7" t="s">
        <v>1606</v>
      </c>
      <c r="I2358" s="4" t="s">
        <v>1574</v>
      </c>
      <c r="J2358" s="4" t="s">
        <v>3029</v>
      </c>
      <c r="K2358" s="8"/>
      <c r="L2358" s="8" t="s">
        <v>5088</v>
      </c>
      <c r="M2358" s="9">
        <f t="shared" si="1"/>
        <v>45</v>
      </c>
    </row>
    <row r="2359" ht="12.75" customHeight="1">
      <c r="A2359" s="4">
        <f t="shared" si="2"/>
        <v>2358</v>
      </c>
      <c r="B2359" s="4" t="s">
        <v>5123</v>
      </c>
      <c r="C2359" s="5" t="s">
        <v>5124</v>
      </c>
      <c r="D2359" s="4"/>
      <c r="E2359" s="4"/>
      <c r="F2359" s="4" t="s">
        <v>22</v>
      </c>
      <c r="G2359" s="6">
        <v>0.84</v>
      </c>
      <c r="H2359" s="7" t="s">
        <v>1606</v>
      </c>
      <c r="I2359" s="4" t="s">
        <v>1574</v>
      </c>
      <c r="J2359" s="4" t="s">
        <v>3029</v>
      </c>
      <c r="K2359" s="8"/>
      <c r="L2359" s="8" t="s">
        <v>5088</v>
      </c>
      <c r="M2359" s="9">
        <f t="shared" si="1"/>
        <v>45</v>
      </c>
    </row>
    <row r="2360" ht="12.75" customHeight="1">
      <c r="A2360" s="4">
        <f t="shared" si="2"/>
        <v>2359</v>
      </c>
      <c r="B2360" s="4" t="s">
        <v>5125</v>
      </c>
      <c r="C2360" s="5" t="s">
        <v>5126</v>
      </c>
      <c r="D2360" s="4"/>
      <c r="E2360" s="4"/>
      <c r="F2360" s="4" t="s">
        <v>22</v>
      </c>
      <c r="G2360" s="6">
        <v>1.19</v>
      </c>
      <c r="H2360" s="7" t="s">
        <v>1606</v>
      </c>
      <c r="I2360" s="4" t="s">
        <v>1574</v>
      </c>
      <c r="J2360" s="4" t="s">
        <v>3029</v>
      </c>
      <c r="K2360" s="8"/>
      <c r="L2360" s="8" t="s">
        <v>5088</v>
      </c>
      <c r="M2360" s="9">
        <f t="shared" si="1"/>
        <v>37</v>
      </c>
    </row>
    <row r="2361" ht="12.75" customHeight="1">
      <c r="A2361" s="4">
        <f t="shared" si="2"/>
        <v>2360</v>
      </c>
      <c r="B2361" s="4" t="s">
        <v>5127</v>
      </c>
      <c r="C2361" s="5" t="s">
        <v>5128</v>
      </c>
      <c r="D2361" s="4"/>
      <c r="E2361" s="4"/>
      <c r="F2361" s="4" t="s">
        <v>22</v>
      </c>
      <c r="G2361" s="6">
        <v>0.76</v>
      </c>
      <c r="H2361" s="7" t="s">
        <v>1606</v>
      </c>
      <c r="I2361" s="4" t="s">
        <v>1574</v>
      </c>
      <c r="J2361" s="4" t="s">
        <v>3029</v>
      </c>
      <c r="K2361" s="8"/>
      <c r="L2361" s="8" t="s">
        <v>5088</v>
      </c>
      <c r="M2361" s="9">
        <f t="shared" si="1"/>
        <v>36</v>
      </c>
    </row>
    <row r="2362" ht="12.75" customHeight="1">
      <c r="A2362" s="4">
        <f t="shared" si="2"/>
        <v>2361</v>
      </c>
      <c r="B2362" s="4" t="s">
        <v>5129</v>
      </c>
      <c r="C2362" s="5" t="s">
        <v>5130</v>
      </c>
      <c r="D2362" s="4"/>
      <c r="E2362" s="4"/>
      <c r="F2362" s="4" t="s">
        <v>22</v>
      </c>
      <c r="G2362" s="6">
        <v>405.41</v>
      </c>
      <c r="H2362" s="7" t="s">
        <v>1606</v>
      </c>
      <c r="I2362" s="4" t="s">
        <v>2392</v>
      </c>
      <c r="J2362" s="4" t="s">
        <v>2677</v>
      </c>
      <c r="K2362" s="8"/>
      <c r="L2362" s="8" t="s">
        <v>33</v>
      </c>
      <c r="M2362" s="9">
        <f t="shared" si="1"/>
        <v>48</v>
      </c>
    </row>
    <row r="2363" ht="12.75" customHeight="1">
      <c r="A2363" s="4">
        <f t="shared" si="2"/>
        <v>2362</v>
      </c>
      <c r="B2363" s="4" t="s">
        <v>5131</v>
      </c>
      <c r="C2363" s="5" t="s">
        <v>5132</v>
      </c>
      <c r="D2363" s="4"/>
      <c r="E2363" s="4"/>
      <c r="F2363" s="4" t="s">
        <v>22</v>
      </c>
      <c r="G2363" s="6">
        <v>4.55</v>
      </c>
      <c r="H2363" s="7" t="s">
        <v>1606</v>
      </c>
      <c r="I2363" s="4" t="s">
        <v>17</v>
      </c>
      <c r="J2363" s="4" t="s">
        <v>2025</v>
      </c>
      <c r="K2363" s="8"/>
      <c r="L2363" s="8" t="s">
        <v>5133</v>
      </c>
      <c r="M2363" s="9">
        <f t="shared" si="1"/>
        <v>30</v>
      </c>
    </row>
    <row r="2364" ht="12.75" customHeight="1">
      <c r="A2364" s="4">
        <f t="shared" si="2"/>
        <v>2363</v>
      </c>
      <c r="B2364" s="4" t="s">
        <v>5134</v>
      </c>
      <c r="C2364" s="5" t="s">
        <v>5135</v>
      </c>
      <c r="D2364" s="4"/>
      <c r="E2364" s="4"/>
      <c r="F2364" s="4" t="s">
        <v>22</v>
      </c>
      <c r="G2364" s="6">
        <v>4.86</v>
      </c>
      <c r="H2364" s="7" t="s">
        <v>1606</v>
      </c>
      <c r="I2364" s="4" t="s">
        <v>1475</v>
      </c>
      <c r="J2364" s="4" t="s">
        <v>1476</v>
      </c>
      <c r="K2364" s="8"/>
      <c r="L2364" s="8" t="s">
        <v>33</v>
      </c>
      <c r="M2364" s="9">
        <f t="shared" si="1"/>
        <v>25</v>
      </c>
    </row>
    <row r="2365" ht="12.75" customHeight="1">
      <c r="A2365" s="4">
        <f t="shared" si="2"/>
        <v>2364</v>
      </c>
      <c r="B2365" s="4" t="s">
        <v>5136</v>
      </c>
      <c r="C2365" s="5" t="s">
        <v>5137</v>
      </c>
      <c r="D2365" s="4"/>
      <c r="E2365" s="4"/>
      <c r="F2365" s="4" t="s">
        <v>22</v>
      </c>
      <c r="G2365" s="6">
        <v>10.78</v>
      </c>
      <c r="H2365" s="7" t="s">
        <v>1606</v>
      </c>
      <c r="I2365" s="4" t="s">
        <v>1746</v>
      </c>
      <c r="J2365" s="4" t="s">
        <v>5138</v>
      </c>
      <c r="K2365" s="8"/>
      <c r="L2365" s="8" t="s">
        <v>3316</v>
      </c>
      <c r="M2365" s="9">
        <f t="shared" si="1"/>
        <v>50</v>
      </c>
    </row>
    <row r="2366" ht="12.75" customHeight="1">
      <c r="A2366" s="4">
        <f t="shared" si="2"/>
        <v>2365</v>
      </c>
      <c r="B2366" s="4" t="s">
        <v>5139</v>
      </c>
      <c r="C2366" s="5" t="s">
        <v>5140</v>
      </c>
      <c r="D2366" s="4"/>
      <c r="E2366" s="4"/>
      <c r="F2366" s="4" t="s">
        <v>22</v>
      </c>
      <c r="G2366" s="6">
        <v>2.7</v>
      </c>
      <c r="H2366" s="7" t="s">
        <v>1606</v>
      </c>
      <c r="I2366" s="4" t="s">
        <v>1704</v>
      </c>
      <c r="J2366" s="4" t="s">
        <v>736</v>
      </c>
      <c r="K2366" s="8"/>
      <c r="L2366" s="8" t="s">
        <v>1509</v>
      </c>
      <c r="M2366" s="9">
        <f t="shared" si="1"/>
        <v>35</v>
      </c>
    </row>
    <row r="2367" ht="12.75" customHeight="1">
      <c r="A2367" s="4">
        <f t="shared" si="2"/>
        <v>2366</v>
      </c>
      <c r="B2367" s="4" t="s">
        <v>5141</v>
      </c>
      <c r="C2367" s="5" t="s">
        <v>5142</v>
      </c>
      <c r="D2367" s="4"/>
      <c r="E2367" s="4"/>
      <c r="F2367" s="4" t="s">
        <v>22</v>
      </c>
      <c r="G2367" s="6">
        <v>36.73</v>
      </c>
      <c r="H2367" s="7" t="s">
        <v>1606</v>
      </c>
      <c r="I2367" s="4" t="s">
        <v>1746</v>
      </c>
      <c r="J2367" s="4" t="s">
        <v>5138</v>
      </c>
      <c r="K2367" s="8"/>
      <c r="L2367" s="8" t="s">
        <v>3316</v>
      </c>
      <c r="M2367" s="9">
        <f t="shared" si="1"/>
        <v>39</v>
      </c>
    </row>
    <row r="2368" ht="12.75" customHeight="1">
      <c r="A2368" s="4">
        <f t="shared" si="2"/>
        <v>2367</v>
      </c>
      <c r="B2368" s="4" t="s">
        <v>5143</v>
      </c>
      <c r="C2368" s="5" t="s">
        <v>5144</v>
      </c>
      <c r="D2368" s="4"/>
      <c r="E2368" s="4"/>
      <c r="F2368" s="4" t="s">
        <v>1694</v>
      </c>
      <c r="G2368" s="6">
        <v>9.43</v>
      </c>
      <c r="H2368" s="7" t="s">
        <v>1606</v>
      </c>
      <c r="I2368" s="4" t="s">
        <v>2044</v>
      </c>
      <c r="J2368" s="4" t="s">
        <v>3305</v>
      </c>
      <c r="K2368" s="8"/>
      <c r="L2368" s="8" t="s">
        <v>33</v>
      </c>
      <c r="M2368" s="9">
        <f t="shared" si="1"/>
        <v>11</v>
      </c>
    </row>
    <row r="2369" ht="12.75" customHeight="1">
      <c r="A2369" s="4">
        <f t="shared" si="2"/>
        <v>2368</v>
      </c>
      <c r="B2369" s="4" t="s">
        <v>5145</v>
      </c>
      <c r="C2369" s="5" t="s">
        <v>5146</v>
      </c>
      <c r="D2369" s="4"/>
      <c r="E2369" s="4"/>
      <c r="F2369" s="4" t="s">
        <v>22</v>
      </c>
      <c r="G2369" s="6">
        <v>70.27</v>
      </c>
      <c r="H2369" s="7" t="s">
        <v>1606</v>
      </c>
      <c r="I2369" s="4" t="s">
        <v>5147</v>
      </c>
      <c r="J2369" s="4" t="s">
        <v>5148</v>
      </c>
      <c r="K2369" s="8"/>
      <c r="L2369" s="8" t="s">
        <v>33</v>
      </c>
      <c r="M2369" s="9">
        <f t="shared" si="1"/>
        <v>27</v>
      </c>
    </row>
    <row r="2370" ht="12.75" customHeight="1">
      <c r="A2370" s="4">
        <f t="shared" si="2"/>
        <v>2369</v>
      </c>
      <c r="B2370" s="4" t="s">
        <v>5149</v>
      </c>
      <c r="C2370" s="5" t="s">
        <v>5150</v>
      </c>
      <c r="D2370" s="4"/>
      <c r="E2370" s="4"/>
      <c r="F2370" s="4" t="s">
        <v>22</v>
      </c>
      <c r="G2370" s="6">
        <v>102.7</v>
      </c>
      <c r="H2370" s="7" t="s">
        <v>1606</v>
      </c>
      <c r="I2370" s="4" t="s">
        <v>5147</v>
      </c>
      <c r="J2370" s="4" t="s">
        <v>5148</v>
      </c>
      <c r="K2370" s="8"/>
      <c r="L2370" s="8" t="s">
        <v>33</v>
      </c>
      <c r="M2370" s="9">
        <f t="shared" si="1"/>
        <v>27</v>
      </c>
    </row>
    <row r="2371" ht="12.75" customHeight="1">
      <c r="A2371" s="4">
        <f t="shared" si="2"/>
        <v>2370</v>
      </c>
      <c r="B2371" s="4" t="s">
        <v>5151</v>
      </c>
      <c r="C2371" s="5" t="s">
        <v>5152</v>
      </c>
      <c r="D2371" s="4"/>
      <c r="E2371" s="4"/>
      <c r="F2371" s="4" t="s">
        <v>22</v>
      </c>
      <c r="G2371" s="6">
        <v>1.15</v>
      </c>
      <c r="H2371" s="7" t="s">
        <v>1606</v>
      </c>
      <c r="I2371" s="4" t="s">
        <v>1475</v>
      </c>
      <c r="J2371" s="4" t="s">
        <v>1476</v>
      </c>
      <c r="K2371" s="8"/>
      <c r="L2371" s="8" t="s">
        <v>33</v>
      </c>
      <c r="M2371" s="9">
        <f t="shared" si="1"/>
        <v>28</v>
      </c>
    </row>
    <row r="2372" ht="12.75" customHeight="1">
      <c r="A2372" s="4">
        <f t="shared" si="2"/>
        <v>2371</v>
      </c>
      <c r="B2372" s="4" t="s">
        <v>5153</v>
      </c>
      <c r="C2372" s="5" t="s">
        <v>5154</v>
      </c>
      <c r="D2372" s="4"/>
      <c r="E2372" s="4"/>
      <c r="F2372" s="4" t="s">
        <v>22</v>
      </c>
      <c r="G2372" s="6">
        <v>3.86</v>
      </c>
      <c r="H2372" s="7" t="s">
        <v>1606</v>
      </c>
      <c r="I2372" s="4" t="s">
        <v>1475</v>
      </c>
      <c r="J2372" s="4" t="s">
        <v>1476</v>
      </c>
      <c r="K2372" s="8"/>
      <c r="L2372" s="8" t="s">
        <v>33</v>
      </c>
      <c r="M2372" s="9">
        <f t="shared" si="1"/>
        <v>31</v>
      </c>
    </row>
    <row r="2373" ht="12.75" customHeight="1">
      <c r="A2373" s="4">
        <f t="shared" si="2"/>
        <v>2372</v>
      </c>
      <c r="B2373" s="4" t="s">
        <v>5155</v>
      </c>
      <c r="C2373" s="5" t="s">
        <v>5156</v>
      </c>
      <c r="D2373" s="4"/>
      <c r="E2373" s="4"/>
      <c r="F2373" s="4" t="s">
        <v>22</v>
      </c>
      <c r="G2373" s="6">
        <v>1.35</v>
      </c>
      <c r="H2373" s="7" t="s">
        <v>1606</v>
      </c>
      <c r="I2373" s="4" t="s">
        <v>1475</v>
      </c>
      <c r="J2373" s="4" t="s">
        <v>1476</v>
      </c>
      <c r="K2373" s="8"/>
      <c r="L2373" s="8" t="s">
        <v>33</v>
      </c>
      <c r="M2373" s="9">
        <f t="shared" si="1"/>
        <v>39</v>
      </c>
    </row>
    <row r="2374" ht="12.75" customHeight="1">
      <c r="A2374" s="4">
        <f t="shared" si="2"/>
        <v>2373</v>
      </c>
      <c r="B2374" s="4" t="s">
        <v>5157</v>
      </c>
      <c r="C2374" s="5" t="s">
        <v>5158</v>
      </c>
      <c r="D2374" s="4"/>
      <c r="E2374" s="4"/>
      <c r="F2374" s="4" t="s">
        <v>22</v>
      </c>
      <c r="G2374" s="6">
        <v>4.59</v>
      </c>
      <c r="H2374" s="7" t="s">
        <v>1606</v>
      </c>
      <c r="I2374" s="4" t="s">
        <v>1623</v>
      </c>
      <c r="J2374" s="4" t="s">
        <v>2953</v>
      </c>
      <c r="K2374" s="8"/>
      <c r="L2374" s="8" t="s">
        <v>2974</v>
      </c>
      <c r="M2374" s="9">
        <f t="shared" si="1"/>
        <v>76</v>
      </c>
    </row>
    <row r="2375" ht="12.75" customHeight="1">
      <c r="A2375" s="4">
        <f t="shared" si="2"/>
        <v>2374</v>
      </c>
      <c r="B2375" s="4" t="s">
        <v>5159</v>
      </c>
      <c r="C2375" s="5" t="s">
        <v>5160</v>
      </c>
      <c r="D2375" s="4"/>
      <c r="E2375" s="4"/>
      <c r="F2375" s="4" t="s">
        <v>22</v>
      </c>
      <c r="G2375" s="6">
        <v>5.68</v>
      </c>
      <c r="H2375" s="7" t="s">
        <v>1606</v>
      </c>
      <c r="I2375" s="4" t="s">
        <v>1623</v>
      </c>
      <c r="J2375" s="4" t="s">
        <v>2953</v>
      </c>
      <c r="K2375" s="8"/>
      <c r="L2375" s="8" t="s">
        <v>2974</v>
      </c>
      <c r="M2375" s="9">
        <f t="shared" si="1"/>
        <v>72</v>
      </c>
    </row>
    <row r="2376" ht="12.75" customHeight="1">
      <c r="A2376" s="4">
        <f t="shared" si="2"/>
        <v>2375</v>
      </c>
      <c r="B2376" s="4" t="s">
        <v>5161</v>
      </c>
      <c r="C2376" s="5" t="s">
        <v>5162</v>
      </c>
      <c r="D2376" s="4"/>
      <c r="E2376" s="4"/>
      <c r="F2376" s="4" t="s">
        <v>22</v>
      </c>
      <c r="G2376" s="6">
        <v>3.51</v>
      </c>
      <c r="H2376" s="7" t="s">
        <v>1606</v>
      </c>
      <c r="I2376" s="4" t="s">
        <v>1623</v>
      </c>
      <c r="J2376" s="4" t="s">
        <v>2953</v>
      </c>
      <c r="K2376" s="8"/>
      <c r="L2376" s="8" t="s">
        <v>2974</v>
      </c>
      <c r="M2376" s="9">
        <f t="shared" si="1"/>
        <v>72</v>
      </c>
    </row>
    <row r="2377" ht="12.75" customHeight="1">
      <c r="A2377" s="4">
        <f t="shared" si="2"/>
        <v>2376</v>
      </c>
      <c r="B2377" s="4" t="s">
        <v>5163</v>
      </c>
      <c r="C2377" s="5" t="s">
        <v>5164</v>
      </c>
      <c r="D2377" s="4"/>
      <c r="E2377" s="4"/>
      <c r="F2377" s="4" t="s">
        <v>22</v>
      </c>
      <c r="G2377" s="6">
        <v>3.24</v>
      </c>
      <c r="H2377" s="7" t="s">
        <v>1606</v>
      </c>
      <c r="I2377" s="4" t="s">
        <v>1623</v>
      </c>
      <c r="J2377" s="4" t="s">
        <v>2953</v>
      </c>
      <c r="K2377" s="8"/>
      <c r="L2377" s="8" t="s">
        <v>2974</v>
      </c>
      <c r="M2377" s="9">
        <f t="shared" si="1"/>
        <v>70</v>
      </c>
    </row>
    <row r="2378" ht="12.75" customHeight="1">
      <c r="A2378" s="4">
        <f t="shared" si="2"/>
        <v>2377</v>
      </c>
      <c r="B2378" s="4" t="s">
        <v>5165</v>
      </c>
      <c r="C2378" s="5" t="s">
        <v>5166</v>
      </c>
      <c r="D2378" s="4"/>
      <c r="E2378" s="4"/>
      <c r="F2378" s="4" t="s">
        <v>22</v>
      </c>
      <c r="G2378" s="6">
        <v>2.7</v>
      </c>
      <c r="H2378" s="7" t="s">
        <v>1606</v>
      </c>
      <c r="I2378" s="4" t="s">
        <v>1623</v>
      </c>
      <c r="J2378" s="4" t="s">
        <v>2953</v>
      </c>
      <c r="K2378" s="8"/>
      <c r="L2378" s="8" t="s">
        <v>2974</v>
      </c>
      <c r="M2378" s="9">
        <f t="shared" si="1"/>
        <v>70</v>
      </c>
    </row>
    <row r="2379" ht="12.75" customHeight="1">
      <c r="A2379" s="4">
        <f t="shared" si="2"/>
        <v>2378</v>
      </c>
      <c r="B2379" s="4" t="s">
        <v>5167</v>
      </c>
      <c r="C2379" s="5" t="s">
        <v>5168</v>
      </c>
      <c r="D2379" s="4"/>
      <c r="E2379" s="4"/>
      <c r="F2379" s="4" t="s">
        <v>22</v>
      </c>
      <c r="G2379" s="6">
        <v>1.22</v>
      </c>
      <c r="H2379" s="7" t="s">
        <v>1606</v>
      </c>
      <c r="I2379" s="4" t="s">
        <v>1623</v>
      </c>
      <c r="J2379" s="4" t="s">
        <v>2953</v>
      </c>
      <c r="K2379" s="8"/>
      <c r="L2379" s="8" t="s">
        <v>2974</v>
      </c>
      <c r="M2379" s="9">
        <f t="shared" si="1"/>
        <v>74</v>
      </c>
    </row>
    <row r="2380" ht="12.75" customHeight="1">
      <c r="A2380" s="4">
        <f t="shared" si="2"/>
        <v>2379</v>
      </c>
      <c r="B2380" s="4" t="s">
        <v>5169</v>
      </c>
      <c r="C2380" s="5" t="s">
        <v>5170</v>
      </c>
      <c r="D2380" s="4"/>
      <c r="E2380" s="4"/>
      <c r="F2380" s="4" t="s">
        <v>22</v>
      </c>
      <c r="G2380" s="6">
        <v>2.16</v>
      </c>
      <c r="H2380" s="7" t="s">
        <v>1606</v>
      </c>
      <c r="I2380" s="4" t="s">
        <v>1623</v>
      </c>
      <c r="J2380" s="4" t="s">
        <v>2953</v>
      </c>
      <c r="K2380" s="8"/>
      <c r="L2380" s="8" t="s">
        <v>2974</v>
      </c>
      <c r="M2380" s="9">
        <f t="shared" si="1"/>
        <v>46</v>
      </c>
    </row>
    <row r="2381" ht="12.75" customHeight="1">
      <c r="A2381" s="4">
        <f t="shared" si="2"/>
        <v>2380</v>
      </c>
      <c r="B2381" s="4" t="s">
        <v>5171</v>
      </c>
      <c r="C2381" s="5" t="s">
        <v>5172</v>
      </c>
      <c r="D2381" s="4"/>
      <c r="E2381" s="4"/>
      <c r="F2381" s="4" t="s">
        <v>22</v>
      </c>
      <c r="G2381" s="6">
        <v>1.62</v>
      </c>
      <c r="H2381" s="7" t="s">
        <v>1606</v>
      </c>
      <c r="I2381" s="4" t="s">
        <v>1623</v>
      </c>
      <c r="J2381" s="4" t="s">
        <v>2953</v>
      </c>
      <c r="K2381" s="8"/>
      <c r="L2381" s="8" t="s">
        <v>2974</v>
      </c>
      <c r="M2381" s="9">
        <f t="shared" si="1"/>
        <v>72</v>
      </c>
    </row>
    <row r="2382" ht="12.75" customHeight="1">
      <c r="A2382" s="4">
        <f t="shared" si="2"/>
        <v>2381</v>
      </c>
      <c r="B2382" s="4" t="s">
        <v>5173</v>
      </c>
      <c r="C2382" s="5" t="s">
        <v>5174</v>
      </c>
      <c r="D2382" s="4"/>
      <c r="E2382" s="4"/>
      <c r="F2382" s="4" t="s">
        <v>22</v>
      </c>
      <c r="G2382" s="6">
        <v>9.46</v>
      </c>
      <c r="H2382" s="7" t="s">
        <v>1606</v>
      </c>
      <c r="I2382" s="4" t="s">
        <v>1623</v>
      </c>
      <c r="J2382" s="4" t="s">
        <v>2953</v>
      </c>
      <c r="K2382" s="8"/>
      <c r="L2382" s="8" t="s">
        <v>2974</v>
      </c>
      <c r="M2382" s="9">
        <f t="shared" si="1"/>
        <v>72</v>
      </c>
    </row>
    <row r="2383" ht="12.75" customHeight="1">
      <c r="A2383" s="4">
        <f t="shared" si="2"/>
        <v>2382</v>
      </c>
      <c r="B2383" s="4" t="s">
        <v>5175</v>
      </c>
      <c r="C2383" s="5" t="s">
        <v>5176</v>
      </c>
      <c r="D2383" s="4"/>
      <c r="E2383" s="4"/>
      <c r="F2383" s="4" t="s">
        <v>22</v>
      </c>
      <c r="G2383" s="6">
        <v>7.84</v>
      </c>
      <c r="H2383" s="7" t="s">
        <v>1606</v>
      </c>
      <c r="I2383" s="4" t="s">
        <v>1623</v>
      </c>
      <c r="J2383" s="4" t="s">
        <v>2953</v>
      </c>
      <c r="K2383" s="8"/>
      <c r="L2383" s="8" t="s">
        <v>2974</v>
      </c>
      <c r="M2383" s="9">
        <f t="shared" si="1"/>
        <v>68</v>
      </c>
    </row>
    <row r="2384" ht="12.75" customHeight="1">
      <c r="A2384" s="4">
        <f t="shared" si="2"/>
        <v>2383</v>
      </c>
      <c r="B2384" s="4" t="s">
        <v>5177</v>
      </c>
      <c r="C2384" s="5" t="s">
        <v>5178</v>
      </c>
      <c r="D2384" s="4"/>
      <c r="E2384" s="4"/>
      <c r="F2384" s="4" t="s">
        <v>22</v>
      </c>
      <c r="G2384" s="6">
        <v>8.11</v>
      </c>
      <c r="H2384" s="7" t="s">
        <v>1606</v>
      </c>
      <c r="I2384" s="4" t="s">
        <v>1623</v>
      </c>
      <c r="J2384" s="4" t="s">
        <v>2953</v>
      </c>
      <c r="K2384" s="8"/>
      <c r="L2384" s="8" t="s">
        <v>2974</v>
      </c>
      <c r="M2384" s="9">
        <f t="shared" si="1"/>
        <v>70</v>
      </c>
    </row>
    <row r="2385" ht="12.75" customHeight="1">
      <c r="A2385" s="4">
        <f t="shared" si="2"/>
        <v>2384</v>
      </c>
      <c r="B2385" s="4" t="s">
        <v>5179</v>
      </c>
      <c r="C2385" s="5" t="s">
        <v>5180</v>
      </c>
      <c r="D2385" s="4"/>
      <c r="E2385" s="4"/>
      <c r="F2385" s="4" t="s">
        <v>22</v>
      </c>
      <c r="G2385" s="6">
        <v>2.55</v>
      </c>
      <c r="H2385" s="7" t="s">
        <v>1606</v>
      </c>
      <c r="I2385" s="4" t="s">
        <v>1623</v>
      </c>
      <c r="J2385" s="4" t="s">
        <v>2953</v>
      </c>
      <c r="K2385" s="8"/>
      <c r="L2385" s="8" t="s">
        <v>2974</v>
      </c>
      <c r="M2385" s="9">
        <f t="shared" si="1"/>
        <v>70</v>
      </c>
    </row>
    <row r="2386" ht="12.75" customHeight="1">
      <c r="A2386" s="4">
        <f t="shared" si="2"/>
        <v>2385</v>
      </c>
      <c r="B2386" s="4" t="s">
        <v>5181</v>
      </c>
      <c r="C2386" s="5" t="s">
        <v>5182</v>
      </c>
      <c r="D2386" s="4"/>
      <c r="E2386" s="4"/>
      <c r="F2386" s="4" t="s">
        <v>22</v>
      </c>
      <c r="G2386" s="6">
        <v>9.73</v>
      </c>
      <c r="H2386" s="7" t="s">
        <v>1606</v>
      </c>
      <c r="I2386" s="4" t="s">
        <v>1623</v>
      </c>
      <c r="J2386" s="4" t="s">
        <v>2953</v>
      </c>
      <c r="K2386" s="8"/>
      <c r="L2386" s="8" t="s">
        <v>2974</v>
      </c>
      <c r="M2386" s="9">
        <f t="shared" si="1"/>
        <v>70</v>
      </c>
    </row>
    <row r="2387" ht="12.75" customHeight="1">
      <c r="A2387" s="4">
        <f t="shared" si="2"/>
        <v>2386</v>
      </c>
      <c r="B2387" s="4" t="s">
        <v>5183</v>
      </c>
      <c r="C2387" s="5" t="s">
        <v>5184</v>
      </c>
      <c r="D2387" s="4"/>
      <c r="E2387" s="4"/>
      <c r="F2387" s="4" t="s">
        <v>22</v>
      </c>
      <c r="G2387" s="6">
        <v>1.49</v>
      </c>
      <c r="H2387" s="7" t="s">
        <v>1606</v>
      </c>
      <c r="I2387" s="4" t="s">
        <v>1623</v>
      </c>
      <c r="J2387" s="4" t="s">
        <v>2953</v>
      </c>
      <c r="K2387" s="8"/>
      <c r="L2387" s="8" t="s">
        <v>2974</v>
      </c>
      <c r="M2387" s="9">
        <f t="shared" si="1"/>
        <v>46</v>
      </c>
    </row>
    <row r="2388" ht="12.75" customHeight="1">
      <c r="A2388" s="4">
        <f t="shared" si="2"/>
        <v>2387</v>
      </c>
      <c r="B2388" s="4" t="s">
        <v>5185</v>
      </c>
      <c r="C2388" s="5" t="s">
        <v>5186</v>
      </c>
      <c r="D2388" s="4"/>
      <c r="E2388" s="4"/>
      <c r="F2388" s="4" t="s">
        <v>22</v>
      </c>
      <c r="G2388" s="6">
        <v>1.89</v>
      </c>
      <c r="H2388" s="7" t="s">
        <v>1606</v>
      </c>
      <c r="I2388" s="4" t="s">
        <v>1623</v>
      </c>
      <c r="J2388" s="4" t="s">
        <v>2987</v>
      </c>
      <c r="K2388" s="8"/>
      <c r="L2388" s="8" t="s">
        <v>2974</v>
      </c>
      <c r="M2388" s="9">
        <f t="shared" si="1"/>
        <v>72</v>
      </c>
    </row>
    <row r="2389" ht="12.75" customHeight="1">
      <c r="A2389" s="4">
        <f t="shared" si="2"/>
        <v>2388</v>
      </c>
      <c r="B2389" s="4" t="s">
        <v>5187</v>
      </c>
      <c r="C2389" s="5" t="s">
        <v>5188</v>
      </c>
      <c r="D2389" s="4"/>
      <c r="E2389" s="4"/>
      <c r="F2389" s="4" t="s">
        <v>22</v>
      </c>
      <c r="G2389" s="6">
        <v>1.62</v>
      </c>
      <c r="H2389" s="7" t="s">
        <v>1606</v>
      </c>
      <c r="I2389" s="4" t="s">
        <v>1623</v>
      </c>
      <c r="J2389" s="4" t="s">
        <v>2230</v>
      </c>
      <c r="K2389" s="8"/>
      <c r="L2389" s="8" t="s">
        <v>5189</v>
      </c>
      <c r="M2389" s="9">
        <f t="shared" si="1"/>
        <v>61</v>
      </c>
    </row>
    <row r="2390" ht="12.75" customHeight="1">
      <c r="A2390" s="4">
        <f t="shared" si="2"/>
        <v>2389</v>
      </c>
      <c r="B2390" s="4" t="s">
        <v>5190</v>
      </c>
      <c r="C2390" s="5" t="s">
        <v>5191</v>
      </c>
      <c r="D2390" s="4"/>
      <c r="E2390" s="4"/>
      <c r="F2390" s="4" t="s">
        <v>22</v>
      </c>
      <c r="G2390" s="6">
        <v>1.76</v>
      </c>
      <c r="H2390" s="7" t="s">
        <v>1606</v>
      </c>
      <c r="I2390" s="4" t="s">
        <v>1623</v>
      </c>
      <c r="J2390" s="4" t="s">
        <v>2230</v>
      </c>
      <c r="K2390" s="8"/>
      <c r="L2390" s="8" t="s">
        <v>5189</v>
      </c>
      <c r="M2390" s="9">
        <f t="shared" si="1"/>
        <v>63</v>
      </c>
    </row>
    <row r="2391" ht="12.75" customHeight="1">
      <c r="A2391" s="4">
        <f t="shared" si="2"/>
        <v>2390</v>
      </c>
      <c r="B2391" s="4" t="s">
        <v>5192</v>
      </c>
      <c r="C2391" s="5" t="s">
        <v>5193</v>
      </c>
      <c r="D2391" s="4"/>
      <c r="E2391" s="4"/>
      <c r="F2391" s="4" t="s">
        <v>22</v>
      </c>
      <c r="G2391" s="6">
        <v>2.84</v>
      </c>
      <c r="H2391" s="7" t="s">
        <v>1606</v>
      </c>
      <c r="I2391" s="4" t="s">
        <v>1623</v>
      </c>
      <c r="J2391" s="4" t="s">
        <v>2230</v>
      </c>
      <c r="K2391" s="8"/>
      <c r="L2391" s="8" t="s">
        <v>5189</v>
      </c>
      <c r="M2391" s="9">
        <f t="shared" si="1"/>
        <v>63</v>
      </c>
    </row>
    <row r="2392" ht="12.75" customHeight="1">
      <c r="A2392" s="4">
        <f t="shared" si="2"/>
        <v>2391</v>
      </c>
      <c r="B2392" s="4" t="s">
        <v>5194</v>
      </c>
      <c r="C2392" s="5" t="s">
        <v>5195</v>
      </c>
      <c r="D2392" s="4"/>
      <c r="E2392" s="4"/>
      <c r="F2392" s="4" t="s">
        <v>22</v>
      </c>
      <c r="G2392" s="6">
        <v>1.76</v>
      </c>
      <c r="H2392" s="7" t="s">
        <v>1606</v>
      </c>
      <c r="I2392" s="4" t="s">
        <v>1623</v>
      </c>
      <c r="J2392" s="4" t="s">
        <v>2230</v>
      </c>
      <c r="K2392" s="8"/>
      <c r="L2392" s="8" t="s">
        <v>5189</v>
      </c>
      <c r="M2392" s="9">
        <f t="shared" si="1"/>
        <v>63</v>
      </c>
    </row>
    <row r="2393" ht="12.75" customHeight="1">
      <c r="A2393" s="4">
        <f t="shared" si="2"/>
        <v>2392</v>
      </c>
      <c r="B2393" s="4" t="s">
        <v>5196</v>
      </c>
      <c r="C2393" s="5" t="s">
        <v>5197</v>
      </c>
      <c r="D2393" s="4"/>
      <c r="E2393" s="4"/>
      <c r="F2393" s="4" t="s">
        <v>22</v>
      </c>
      <c r="G2393" s="6">
        <v>0.84</v>
      </c>
      <c r="H2393" s="7" t="s">
        <v>1606</v>
      </c>
      <c r="I2393" s="4" t="s">
        <v>1623</v>
      </c>
      <c r="J2393" s="4" t="s">
        <v>2230</v>
      </c>
      <c r="K2393" s="8"/>
      <c r="L2393" s="8" t="s">
        <v>5189</v>
      </c>
      <c r="M2393" s="9">
        <f t="shared" si="1"/>
        <v>59</v>
      </c>
    </row>
    <row r="2394" ht="12.75" customHeight="1">
      <c r="A2394" s="4">
        <f t="shared" si="2"/>
        <v>2393</v>
      </c>
      <c r="B2394" s="4" t="s">
        <v>5198</v>
      </c>
      <c r="C2394" s="5" t="s">
        <v>5199</v>
      </c>
      <c r="D2394" s="4"/>
      <c r="E2394" s="4"/>
      <c r="F2394" s="4" t="s">
        <v>22</v>
      </c>
      <c r="G2394" s="6">
        <v>1.22</v>
      </c>
      <c r="H2394" s="7" t="s">
        <v>1606</v>
      </c>
      <c r="I2394" s="4" t="s">
        <v>1623</v>
      </c>
      <c r="J2394" s="4" t="s">
        <v>2230</v>
      </c>
      <c r="K2394" s="8"/>
      <c r="L2394" s="8" t="s">
        <v>5189</v>
      </c>
      <c r="M2394" s="9">
        <f t="shared" si="1"/>
        <v>59</v>
      </c>
    </row>
    <row r="2395" ht="12.75" customHeight="1">
      <c r="A2395" s="4">
        <f t="shared" si="2"/>
        <v>2394</v>
      </c>
      <c r="B2395" s="4" t="s">
        <v>5200</v>
      </c>
      <c r="C2395" s="5" t="s">
        <v>5201</v>
      </c>
      <c r="D2395" s="4"/>
      <c r="E2395" s="4"/>
      <c r="F2395" s="4" t="s">
        <v>22</v>
      </c>
      <c r="G2395" s="6">
        <v>0.68</v>
      </c>
      <c r="H2395" s="7" t="s">
        <v>1606</v>
      </c>
      <c r="I2395" s="4" t="s">
        <v>1623</v>
      </c>
      <c r="J2395" s="4" t="s">
        <v>2230</v>
      </c>
      <c r="K2395" s="8"/>
      <c r="L2395" s="8" t="s">
        <v>5189</v>
      </c>
      <c r="M2395" s="9">
        <f t="shared" si="1"/>
        <v>59</v>
      </c>
    </row>
    <row r="2396" ht="12.75" customHeight="1">
      <c r="A2396" s="4">
        <f t="shared" si="2"/>
        <v>2395</v>
      </c>
      <c r="B2396" s="4" t="s">
        <v>5202</v>
      </c>
      <c r="C2396" s="5" t="s">
        <v>5203</v>
      </c>
      <c r="D2396" s="4"/>
      <c r="E2396" s="4"/>
      <c r="F2396" s="4" t="s">
        <v>22</v>
      </c>
      <c r="G2396" s="6">
        <v>0.54</v>
      </c>
      <c r="H2396" s="7" t="s">
        <v>1606</v>
      </c>
      <c r="I2396" s="4" t="s">
        <v>1623</v>
      </c>
      <c r="J2396" s="4" t="s">
        <v>2230</v>
      </c>
      <c r="K2396" s="8"/>
      <c r="L2396" s="8" t="s">
        <v>5189</v>
      </c>
      <c r="M2396" s="9">
        <f t="shared" si="1"/>
        <v>59</v>
      </c>
    </row>
    <row r="2397" ht="12.75" customHeight="1">
      <c r="A2397" s="4">
        <f t="shared" si="2"/>
        <v>2396</v>
      </c>
      <c r="B2397" s="4" t="s">
        <v>5204</v>
      </c>
      <c r="C2397" s="5" t="s">
        <v>5205</v>
      </c>
      <c r="D2397" s="4"/>
      <c r="E2397" s="4"/>
      <c r="F2397" s="4" t="s">
        <v>22</v>
      </c>
      <c r="G2397" s="6">
        <v>0.51</v>
      </c>
      <c r="H2397" s="7" t="s">
        <v>1606</v>
      </c>
      <c r="I2397" s="4" t="s">
        <v>1623</v>
      </c>
      <c r="J2397" s="4" t="s">
        <v>2230</v>
      </c>
      <c r="K2397" s="8"/>
      <c r="L2397" s="8" t="s">
        <v>5189</v>
      </c>
      <c r="M2397" s="9">
        <f t="shared" si="1"/>
        <v>61</v>
      </c>
    </row>
    <row r="2398" ht="12.75" customHeight="1">
      <c r="A2398" s="4">
        <f t="shared" si="2"/>
        <v>2397</v>
      </c>
      <c r="B2398" s="4" t="s">
        <v>5206</v>
      </c>
      <c r="C2398" s="5" t="s">
        <v>5207</v>
      </c>
      <c r="D2398" s="4"/>
      <c r="E2398" s="4"/>
      <c r="F2398" s="4" t="s">
        <v>22</v>
      </c>
      <c r="G2398" s="6">
        <v>2.7</v>
      </c>
      <c r="H2398" s="7" t="s">
        <v>1606</v>
      </c>
      <c r="I2398" s="4" t="s">
        <v>1623</v>
      </c>
      <c r="J2398" s="4" t="s">
        <v>2230</v>
      </c>
      <c r="K2398" s="8"/>
      <c r="L2398" s="8" t="s">
        <v>5189</v>
      </c>
      <c r="M2398" s="9">
        <f t="shared" si="1"/>
        <v>61</v>
      </c>
    </row>
    <row r="2399" ht="12.75" customHeight="1">
      <c r="A2399" s="4">
        <f t="shared" si="2"/>
        <v>2398</v>
      </c>
      <c r="B2399" s="4" t="s">
        <v>5208</v>
      </c>
      <c r="C2399" s="5" t="s">
        <v>5209</v>
      </c>
      <c r="D2399" s="4"/>
      <c r="E2399" s="4"/>
      <c r="F2399" s="4" t="s">
        <v>22</v>
      </c>
      <c r="G2399" s="6">
        <v>4.05</v>
      </c>
      <c r="H2399" s="7" t="s">
        <v>1606</v>
      </c>
      <c r="I2399" s="4" t="s">
        <v>1623</v>
      </c>
      <c r="J2399" s="4" t="s">
        <v>2230</v>
      </c>
      <c r="K2399" s="8"/>
      <c r="L2399" s="8" t="s">
        <v>5189</v>
      </c>
      <c r="M2399" s="9">
        <f t="shared" si="1"/>
        <v>57</v>
      </c>
    </row>
    <row r="2400" ht="12.75" customHeight="1">
      <c r="A2400" s="4">
        <f t="shared" si="2"/>
        <v>2399</v>
      </c>
      <c r="B2400" s="4" t="s">
        <v>5210</v>
      </c>
      <c r="C2400" s="5" t="s">
        <v>5211</v>
      </c>
      <c r="D2400" s="4"/>
      <c r="E2400" s="4"/>
      <c r="F2400" s="4" t="s">
        <v>22</v>
      </c>
      <c r="G2400" s="6">
        <v>2.16</v>
      </c>
      <c r="H2400" s="7" t="s">
        <v>1606</v>
      </c>
      <c r="I2400" s="4" t="s">
        <v>1623</v>
      </c>
      <c r="J2400" s="4" t="s">
        <v>2230</v>
      </c>
      <c r="K2400" s="8"/>
      <c r="L2400" s="8" t="s">
        <v>5189</v>
      </c>
      <c r="M2400" s="9">
        <f t="shared" si="1"/>
        <v>59</v>
      </c>
    </row>
    <row r="2401" ht="12.75" customHeight="1">
      <c r="A2401" s="4">
        <f t="shared" si="2"/>
        <v>2400</v>
      </c>
      <c r="B2401" s="4" t="s">
        <v>5212</v>
      </c>
      <c r="C2401" s="5" t="s">
        <v>5213</v>
      </c>
      <c r="D2401" s="4"/>
      <c r="E2401" s="4"/>
      <c r="F2401" s="4" t="s">
        <v>22</v>
      </c>
      <c r="G2401" s="6">
        <v>1.76</v>
      </c>
      <c r="H2401" s="7" t="s">
        <v>1606</v>
      </c>
      <c r="I2401" s="4" t="s">
        <v>1623</v>
      </c>
      <c r="J2401" s="4" t="s">
        <v>2230</v>
      </c>
      <c r="K2401" s="8"/>
      <c r="L2401" s="8" t="s">
        <v>5189</v>
      </c>
      <c r="M2401" s="9">
        <f t="shared" si="1"/>
        <v>59</v>
      </c>
    </row>
    <row r="2402" ht="12.75" customHeight="1">
      <c r="A2402" s="4">
        <f t="shared" si="2"/>
        <v>2401</v>
      </c>
      <c r="B2402" s="4" t="s">
        <v>5214</v>
      </c>
      <c r="C2402" s="5" t="s">
        <v>5215</v>
      </c>
      <c r="D2402" s="4"/>
      <c r="E2402" s="4"/>
      <c r="F2402" s="4" t="s">
        <v>22</v>
      </c>
      <c r="G2402" s="6">
        <v>0.81</v>
      </c>
      <c r="H2402" s="7" t="s">
        <v>1606</v>
      </c>
      <c r="I2402" s="4" t="s">
        <v>1623</v>
      </c>
      <c r="J2402" s="4" t="s">
        <v>2230</v>
      </c>
      <c r="K2402" s="8"/>
      <c r="L2402" s="8" t="s">
        <v>5189</v>
      </c>
      <c r="M2402" s="9">
        <f t="shared" si="1"/>
        <v>61</v>
      </c>
    </row>
    <row r="2403" ht="12.75" customHeight="1">
      <c r="A2403" s="4">
        <f t="shared" si="2"/>
        <v>2402</v>
      </c>
      <c r="B2403" s="4" t="s">
        <v>5216</v>
      </c>
      <c r="C2403" s="5" t="s">
        <v>5217</v>
      </c>
      <c r="D2403" s="4"/>
      <c r="E2403" s="4"/>
      <c r="F2403" s="4" t="s">
        <v>22</v>
      </c>
      <c r="G2403" s="6">
        <v>0.41</v>
      </c>
      <c r="H2403" s="7" t="s">
        <v>1606</v>
      </c>
      <c r="I2403" s="4" t="s">
        <v>1623</v>
      </c>
      <c r="J2403" s="4" t="s">
        <v>2230</v>
      </c>
      <c r="K2403" s="8"/>
      <c r="L2403" s="8" t="s">
        <v>5189</v>
      </c>
      <c r="M2403" s="9">
        <f t="shared" si="1"/>
        <v>61</v>
      </c>
    </row>
    <row r="2404" ht="12.75" customHeight="1">
      <c r="A2404" s="4">
        <f t="shared" si="2"/>
        <v>2403</v>
      </c>
      <c r="B2404" s="4" t="s">
        <v>5218</v>
      </c>
      <c r="C2404" s="5" t="s">
        <v>5219</v>
      </c>
      <c r="D2404" s="4"/>
      <c r="E2404" s="4"/>
      <c r="F2404" s="4" t="s">
        <v>22</v>
      </c>
      <c r="G2404" s="6">
        <v>0.54</v>
      </c>
      <c r="H2404" s="7" t="s">
        <v>1606</v>
      </c>
      <c r="I2404" s="4" t="s">
        <v>1623</v>
      </c>
      <c r="J2404" s="4" t="s">
        <v>2230</v>
      </c>
      <c r="K2404" s="8"/>
      <c r="L2404" s="8" t="s">
        <v>5189</v>
      </c>
      <c r="M2404" s="9">
        <f t="shared" si="1"/>
        <v>61</v>
      </c>
    </row>
    <row r="2405" ht="12.75" customHeight="1">
      <c r="A2405" s="4">
        <f t="shared" si="2"/>
        <v>2404</v>
      </c>
      <c r="B2405" s="4" t="s">
        <v>5220</v>
      </c>
      <c r="C2405" s="5" t="s">
        <v>5221</v>
      </c>
      <c r="D2405" s="4"/>
      <c r="E2405" s="4"/>
      <c r="F2405" s="4" t="s">
        <v>22</v>
      </c>
      <c r="G2405" s="6">
        <v>1.76</v>
      </c>
      <c r="H2405" s="7" t="s">
        <v>1606</v>
      </c>
      <c r="I2405" s="4" t="s">
        <v>1623</v>
      </c>
      <c r="J2405" s="4" t="s">
        <v>2987</v>
      </c>
      <c r="K2405" s="8"/>
      <c r="L2405" s="8" t="s">
        <v>2988</v>
      </c>
      <c r="M2405" s="9">
        <f t="shared" si="1"/>
        <v>74</v>
      </c>
    </row>
    <row r="2406" ht="12.75" customHeight="1">
      <c r="A2406" s="4">
        <f t="shared" si="2"/>
        <v>2405</v>
      </c>
      <c r="B2406" s="4" t="s">
        <v>5222</v>
      </c>
      <c r="C2406" s="5" t="s">
        <v>5223</v>
      </c>
      <c r="D2406" s="4"/>
      <c r="E2406" s="4"/>
      <c r="F2406" s="4" t="s">
        <v>22</v>
      </c>
      <c r="G2406" s="6">
        <v>1.89</v>
      </c>
      <c r="H2406" s="7" t="s">
        <v>1606</v>
      </c>
      <c r="I2406" s="4" t="s">
        <v>1623</v>
      </c>
      <c r="J2406" s="4" t="s">
        <v>2987</v>
      </c>
      <c r="K2406" s="8"/>
      <c r="L2406" s="8" t="s">
        <v>2988</v>
      </c>
      <c r="M2406" s="9">
        <f t="shared" si="1"/>
        <v>70</v>
      </c>
    </row>
    <row r="2407" ht="12.75" customHeight="1">
      <c r="A2407" s="4">
        <f t="shared" si="2"/>
        <v>2406</v>
      </c>
      <c r="B2407" s="4" t="s">
        <v>5224</v>
      </c>
      <c r="C2407" s="5" t="s">
        <v>5225</v>
      </c>
      <c r="D2407" s="4"/>
      <c r="E2407" s="4"/>
      <c r="F2407" s="4" t="s">
        <v>22</v>
      </c>
      <c r="G2407" s="6">
        <v>1.57</v>
      </c>
      <c r="H2407" s="7" t="s">
        <v>1606</v>
      </c>
      <c r="I2407" s="4" t="s">
        <v>1623</v>
      </c>
      <c r="J2407" s="4" t="s">
        <v>2987</v>
      </c>
      <c r="K2407" s="8"/>
      <c r="L2407" s="8" t="s">
        <v>2988</v>
      </c>
      <c r="M2407" s="9">
        <f t="shared" si="1"/>
        <v>72</v>
      </c>
    </row>
    <row r="2408" ht="12.75" customHeight="1">
      <c r="A2408" s="4">
        <f t="shared" si="2"/>
        <v>2407</v>
      </c>
      <c r="B2408" s="4" t="s">
        <v>5226</v>
      </c>
      <c r="C2408" s="5" t="s">
        <v>5227</v>
      </c>
      <c r="D2408" s="4"/>
      <c r="E2408" s="4"/>
      <c r="F2408" s="4" t="s">
        <v>22</v>
      </c>
      <c r="G2408" s="6">
        <v>2.84</v>
      </c>
      <c r="H2408" s="7" t="s">
        <v>1606</v>
      </c>
      <c r="I2408" s="4" t="s">
        <v>1623</v>
      </c>
      <c r="J2408" s="4" t="s">
        <v>2987</v>
      </c>
      <c r="K2408" s="8"/>
      <c r="L2408" s="8" t="s">
        <v>2988</v>
      </c>
      <c r="M2408" s="9">
        <f t="shared" si="1"/>
        <v>72</v>
      </c>
    </row>
    <row r="2409" ht="12.75" customHeight="1">
      <c r="A2409" s="4">
        <f t="shared" si="2"/>
        <v>2408</v>
      </c>
      <c r="B2409" s="4" t="s">
        <v>5228</v>
      </c>
      <c r="C2409" s="5" t="s">
        <v>5229</v>
      </c>
      <c r="D2409" s="4"/>
      <c r="E2409" s="4"/>
      <c r="F2409" s="4" t="s">
        <v>22</v>
      </c>
      <c r="G2409" s="6">
        <v>3.51</v>
      </c>
      <c r="H2409" s="7" t="s">
        <v>1606</v>
      </c>
      <c r="I2409" s="4" t="s">
        <v>1623</v>
      </c>
      <c r="J2409" s="4" t="s">
        <v>2987</v>
      </c>
      <c r="K2409" s="8"/>
      <c r="L2409" s="8" t="s">
        <v>2988</v>
      </c>
      <c r="M2409" s="9">
        <f t="shared" si="1"/>
        <v>72</v>
      </c>
    </row>
    <row r="2410" ht="12.75" customHeight="1">
      <c r="A2410" s="4">
        <f t="shared" si="2"/>
        <v>2409</v>
      </c>
      <c r="B2410" s="4" t="s">
        <v>5230</v>
      </c>
      <c r="C2410" s="5" t="s">
        <v>5231</v>
      </c>
      <c r="D2410" s="4"/>
      <c r="E2410" s="4"/>
      <c r="F2410" s="4" t="s">
        <v>22</v>
      </c>
      <c r="G2410" s="6">
        <v>1.41</v>
      </c>
      <c r="H2410" s="7" t="s">
        <v>1606</v>
      </c>
      <c r="I2410" s="4" t="s">
        <v>1623</v>
      </c>
      <c r="J2410" s="4" t="s">
        <v>2987</v>
      </c>
      <c r="K2410" s="8"/>
      <c r="L2410" s="8" t="s">
        <v>2988</v>
      </c>
      <c r="M2410" s="9">
        <f t="shared" si="1"/>
        <v>70</v>
      </c>
    </row>
    <row r="2411" ht="12.75" customHeight="1">
      <c r="A2411" s="4">
        <f t="shared" si="2"/>
        <v>2410</v>
      </c>
      <c r="B2411" s="4" t="s">
        <v>5232</v>
      </c>
      <c r="C2411" s="5" t="s">
        <v>5233</v>
      </c>
      <c r="D2411" s="4"/>
      <c r="E2411" s="4"/>
      <c r="F2411" s="4" t="s">
        <v>22</v>
      </c>
      <c r="G2411" s="6">
        <v>0.95</v>
      </c>
      <c r="H2411" s="7" t="s">
        <v>1606</v>
      </c>
      <c r="I2411" s="4" t="s">
        <v>1623</v>
      </c>
      <c r="J2411" s="4" t="s">
        <v>2987</v>
      </c>
      <c r="K2411" s="8"/>
      <c r="L2411" s="8" t="s">
        <v>2988</v>
      </c>
      <c r="M2411" s="9">
        <f t="shared" si="1"/>
        <v>72</v>
      </c>
    </row>
    <row r="2412" ht="12.75" customHeight="1">
      <c r="A2412" s="4">
        <f t="shared" si="2"/>
        <v>2411</v>
      </c>
      <c r="B2412" s="4" t="s">
        <v>5234</v>
      </c>
      <c r="C2412" s="5" t="s">
        <v>5235</v>
      </c>
      <c r="D2412" s="4"/>
      <c r="E2412" s="4"/>
      <c r="F2412" s="4" t="s">
        <v>22</v>
      </c>
      <c r="G2412" s="6">
        <v>1.35</v>
      </c>
      <c r="H2412" s="7" t="s">
        <v>1606</v>
      </c>
      <c r="I2412" s="4" t="s">
        <v>1623</v>
      </c>
      <c r="J2412" s="4" t="s">
        <v>2987</v>
      </c>
      <c r="K2412" s="8"/>
      <c r="L2412" s="8" t="s">
        <v>2988</v>
      </c>
      <c r="M2412" s="9">
        <f t="shared" si="1"/>
        <v>72</v>
      </c>
    </row>
    <row r="2413" ht="12.75" customHeight="1">
      <c r="A2413" s="4">
        <f t="shared" si="2"/>
        <v>2412</v>
      </c>
      <c r="B2413" s="4" t="s">
        <v>5236</v>
      </c>
      <c r="C2413" s="5" t="s">
        <v>5237</v>
      </c>
      <c r="D2413" s="4"/>
      <c r="E2413" s="4"/>
      <c r="F2413" s="4" t="s">
        <v>22</v>
      </c>
      <c r="G2413" s="6">
        <v>0.81</v>
      </c>
      <c r="H2413" s="7" t="s">
        <v>1606</v>
      </c>
      <c r="I2413" s="4" t="s">
        <v>1623</v>
      </c>
      <c r="J2413" s="4" t="s">
        <v>2987</v>
      </c>
      <c r="K2413" s="8"/>
      <c r="L2413" s="8" t="s">
        <v>2988</v>
      </c>
      <c r="M2413" s="9">
        <f t="shared" si="1"/>
        <v>68</v>
      </c>
    </row>
    <row r="2414" ht="12.75" customHeight="1">
      <c r="A2414" s="4">
        <f t="shared" si="2"/>
        <v>2413</v>
      </c>
      <c r="B2414" s="4" t="s">
        <v>5238</v>
      </c>
      <c r="C2414" s="5" t="s">
        <v>5239</v>
      </c>
      <c r="D2414" s="4"/>
      <c r="E2414" s="4"/>
      <c r="F2414" s="4" t="s">
        <v>22</v>
      </c>
      <c r="G2414" s="6">
        <v>1.05</v>
      </c>
      <c r="H2414" s="7" t="s">
        <v>1606</v>
      </c>
      <c r="I2414" s="4" t="s">
        <v>1623</v>
      </c>
      <c r="J2414" s="4" t="s">
        <v>2987</v>
      </c>
      <c r="K2414" s="8"/>
      <c r="L2414" s="8" t="s">
        <v>2988</v>
      </c>
      <c r="M2414" s="9">
        <f t="shared" si="1"/>
        <v>68</v>
      </c>
    </row>
    <row r="2415" ht="12.75" customHeight="1">
      <c r="A2415" s="4">
        <f t="shared" si="2"/>
        <v>2414</v>
      </c>
      <c r="B2415" s="4" t="s">
        <v>5240</v>
      </c>
      <c r="C2415" s="5" t="s">
        <v>5241</v>
      </c>
      <c r="D2415" s="4"/>
      <c r="E2415" s="4"/>
      <c r="F2415" s="4" t="s">
        <v>22</v>
      </c>
      <c r="G2415" s="6">
        <v>0.86</v>
      </c>
      <c r="H2415" s="7" t="s">
        <v>1606</v>
      </c>
      <c r="I2415" s="4" t="s">
        <v>1623</v>
      </c>
      <c r="J2415" s="4" t="s">
        <v>2987</v>
      </c>
      <c r="K2415" s="8"/>
      <c r="L2415" s="8" t="s">
        <v>2988</v>
      </c>
      <c r="M2415" s="9">
        <f t="shared" si="1"/>
        <v>68</v>
      </c>
    </row>
    <row r="2416" ht="12.75" customHeight="1">
      <c r="A2416" s="4">
        <f t="shared" si="2"/>
        <v>2415</v>
      </c>
      <c r="B2416" s="4" t="s">
        <v>5242</v>
      </c>
      <c r="C2416" s="5" t="s">
        <v>5243</v>
      </c>
      <c r="D2416" s="4"/>
      <c r="E2416" s="4"/>
      <c r="F2416" s="4" t="s">
        <v>22</v>
      </c>
      <c r="G2416" s="6">
        <v>0.81</v>
      </c>
      <c r="H2416" s="7" t="s">
        <v>1606</v>
      </c>
      <c r="I2416" s="4" t="s">
        <v>1623</v>
      </c>
      <c r="J2416" s="4" t="s">
        <v>2987</v>
      </c>
      <c r="K2416" s="8"/>
      <c r="L2416" s="8" t="s">
        <v>2988</v>
      </c>
      <c r="M2416" s="9">
        <f t="shared" si="1"/>
        <v>70</v>
      </c>
    </row>
    <row r="2417" ht="12.75" customHeight="1">
      <c r="A2417" s="4">
        <f t="shared" si="2"/>
        <v>2416</v>
      </c>
      <c r="B2417" s="4" t="s">
        <v>5244</v>
      </c>
      <c r="C2417" s="5" t="s">
        <v>5245</v>
      </c>
      <c r="D2417" s="4"/>
      <c r="E2417" s="4"/>
      <c r="F2417" s="4" t="s">
        <v>22</v>
      </c>
      <c r="G2417" s="6">
        <v>0.81</v>
      </c>
      <c r="H2417" s="7" t="s">
        <v>1606</v>
      </c>
      <c r="I2417" s="4" t="s">
        <v>1623</v>
      </c>
      <c r="J2417" s="4" t="s">
        <v>2987</v>
      </c>
      <c r="K2417" s="8"/>
      <c r="L2417" s="8" t="s">
        <v>2988</v>
      </c>
      <c r="M2417" s="9">
        <f t="shared" si="1"/>
        <v>70</v>
      </c>
    </row>
    <row r="2418" ht="12.75" customHeight="1">
      <c r="A2418" s="4">
        <f t="shared" si="2"/>
        <v>2417</v>
      </c>
      <c r="B2418" s="4" t="s">
        <v>5246</v>
      </c>
      <c r="C2418" s="5" t="s">
        <v>5247</v>
      </c>
      <c r="D2418" s="4"/>
      <c r="E2418" s="4"/>
      <c r="F2418" s="4" t="s">
        <v>22</v>
      </c>
      <c r="G2418" s="21">
        <v>0.3</v>
      </c>
      <c r="H2418" s="7" t="s">
        <v>1606</v>
      </c>
      <c r="I2418" s="4" t="s">
        <v>1623</v>
      </c>
      <c r="J2418" s="4" t="s">
        <v>2987</v>
      </c>
      <c r="K2418" s="8"/>
      <c r="L2418" s="8" t="s">
        <v>2988</v>
      </c>
      <c r="M2418" s="9">
        <f t="shared" si="1"/>
        <v>70</v>
      </c>
    </row>
    <row r="2419" ht="12.75" customHeight="1">
      <c r="A2419" s="4">
        <f t="shared" si="2"/>
        <v>2418</v>
      </c>
      <c r="B2419" s="4" t="s">
        <v>5248</v>
      </c>
      <c r="C2419" s="5" t="s">
        <v>5249</v>
      </c>
      <c r="D2419" s="4"/>
      <c r="E2419" s="4"/>
      <c r="F2419" s="4" t="s">
        <v>22</v>
      </c>
      <c r="G2419" s="21">
        <v>2.43</v>
      </c>
      <c r="H2419" s="7" t="s">
        <v>1606</v>
      </c>
      <c r="I2419" s="4" t="s">
        <v>1623</v>
      </c>
      <c r="J2419" s="4" t="s">
        <v>2987</v>
      </c>
      <c r="K2419" s="8"/>
      <c r="L2419" s="8" t="s">
        <v>2988</v>
      </c>
      <c r="M2419" s="9">
        <f t="shared" si="1"/>
        <v>70</v>
      </c>
    </row>
    <row r="2420" ht="12.75" customHeight="1">
      <c r="A2420" s="4">
        <f t="shared" si="2"/>
        <v>2419</v>
      </c>
      <c r="B2420" s="4" t="s">
        <v>5250</v>
      </c>
      <c r="C2420" s="5" t="s">
        <v>5251</v>
      </c>
      <c r="D2420" s="4"/>
      <c r="E2420" s="4"/>
      <c r="F2420" s="4" t="s">
        <v>22</v>
      </c>
      <c r="G2420" s="6">
        <v>2.43</v>
      </c>
      <c r="H2420" s="7" t="s">
        <v>1606</v>
      </c>
      <c r="I2420" s="4" t="s">
        <v>1623</v>
      </c>
      <c r="J2420" s="4" t="s">
        <v>2987</v>
      </c>
      <c r="K2420" s="8"/>
      <c r="L2420" s="8" t="s">
        <v>2988</v>
      </c>
      <c r="M2420" s="9">
        <f t="shared" si="1"/>
        <v>70</v>
      </c>
    </row>
    <row r="2421" ht="12.75" customHeight="1">
      <c r="A2421" s="4">
        <f t="shared" si="2"/>
        <v>2420</v>
      </c>
      <c r="B2421" s="4" t="s">
        <v>5252</v>
      </c>
      <c r="C2421" s="5" t="s">
        <v>5253</v>
      </c>
      <c r="D2421" s="4"/>
      <c r="E2421" s="4"/>
      <c r="F2421" s="4" t="s">
        <v>22</v>
      </c>
      <c r="G2421" s="6">
        <v>2.43</v>
      </c>
      <c r="H2421" s="7" t="s">
        <v>1606</v>
      </c>
      <c r="I2421" s="4" t="s">
        <v>1623</v>
      </c>
      <c r="J2421" s="4" t="s">
        <v>2987</v>
      </c>
      <c r="K2421" s="8"/>
      <c r="L2421" s="8" t="s">
        <v>2988</v>
      </c>
      <c r="M2421" s="9">
        <f t="shared" si="1"/>
        <v>66</v>
      </c>
    </row>
    <row r="2422" ht="12.75" customHeight="1">
      <c r="A2422" s="4">
        <f t="shared" si="2"/>
        <v>2421</v>
      </c>
      <c r="B2422" s="4" t="s">
        <v>5254</v>
      </c>
      <c r="C2422" s="5" t="s">
        <v>5255</v>
      </c>
      <c r="D2422" s="4"/>
      <c r="E2422" s="4"/>
      <c r="F2422" s="4" t="s">
        <v>22</v>
      </c>
      <c r="G2422" s="6">
        <v>3.78</v>
      </c>
      <c r="H2422" s="7" t="s">
        <v>1606</v>
      </c>
      <c r="I2422" s="4" t="s">
        <v>1623</v>
      </c>
      <c r="J2422" s="4" t="s">
        <v>2987</v>
      </c>
      <c r="K2422" s="8"/>
      <c r="L2422" s="8" t="s">
        <v>2988</v>
      </c>
      <c r="M2422" s="9">
        <f t="shared" si="1"/>
        <v>68</v>
      </c>
    </row>
    <row r="2423" ht="12.75" customHeight="1">
      <c r="A2423" s="4">
        <f t="shared" si="2"/>
        <v>2422</v>
      </c>
      <c r="B2423" s="4" t="s">
        <v>5256</v>
      </c>
      <c r="C2423" s="5" t="s">
        <v>5257</v>
      </c>
      <c r="D2423" s="4"/>
      <c r="E2423" s="4"/>
      <c r="F2423" s="4" t="s">
        <v>22</v>
      </c>
      <c r="G2423" s="6">
        <v>2.43</v>
      </c>
      <c r="H2423" s="7" t="s">
        <v>1606</v>
      </c>
      <c r="I2423" s="4" t="s">
        <v>1623</v>
      </c>
      <c r="J2423" s="4" t="s">
        <v>2987</v>
      </c>
      <c r="K2423" s="8"/>
      <c r="L2423" s="8" t="s">
        <v>2988</v>
      </c>
      <c r="M2423" s="9">
        <f t="shared" si="1"/>
        <v>68</v>
      </c>
    </row>
    <row r="2424" ht="12.75" customHeight="1">
      <c r="A2424" s="4">
        <f t="shared" si="2"/>
        <v>2423</v>
      </c>
      <c r="B2424" s="4" t="s">
        <v>5258</v>
      </c>
      <c r="C2424" s="5" t="s">
        <v>5259</v>
      </c>
      <c r="D2424" s="4"/>
      <c r="E2424" s="4"/>
      <c r="F2424" s="4" t="s">
        <v>22</v>
      </c>
      <c r="G2424" s="6">
        <v>1.08</v>
      </c>
      <c r="H2424" s="7" t="s">
        <v>1606</v>
      </c>
      <c r="I2424" s="4" t="s">
        <v>1623</v>
      </c>
      <c r="J2424" s="4" t="s">
        <v>2987</v>
      </c>
      <c r="K2424" s="8"/>
      <c r="L2424" s="8" t="s">
        <v>2988</v>
      </c>
      <c r="M2424" s="9">
        <f t="shared" si="1"/>
        <v>70</v>
      </c>
    </row>
    <row r="2425" ht="12.75" customHeight="1">
      <c r="A2425" s="4">
        <f t="shared" si="2"/>
        <v>2424</v>
      </c>
      <c r="B2425" s="4" t="s">
        <v>5260</v>
      </c>
      <c r="C2425" s="5" t="s">
        <v>5261</v>
      </c>
      <c r="D2425" s="4"/>
      <c r="E2425" s="4"/>
      <c r="F2425" s="4" t="s">
        <v>22</v>
      </c>
      <c r="G2425" s="6">
        <v>0.81</v>
      </c>
      <c r="H2425" s="7" t="s">
        <v>1606</v>
      </c>
      <c r="I2425" s="4" t="s">
        <v>1623</v>
      </c>
      <c r="J2425" s="4" t="s">
        <v>2987</v>
      </c>
      <c r="K2425" s="8"/>
      <c r="L2425" s="8" t="s">
        <v>2988</v>
      </c>
      <c r="M2425" s="9">
        <f t="shared" si="1"/>
        <v>70</v>
      </c>
    </row>
    <row r="2426" ht="12.75" customHeight="1">
      <c r="A2426" s="4">
        <f t="shared" si="2"/>
        <v>2425</v>
      </c>
      <c r="B2426" s="4" t="s">
        <v>5262</v>
      </c>
      <c r="C2426" s="5" t="s">
        <v>5263</v>
      </c>
      <c r="D2426" s="4"/>
      <c r="E2426" s="4"/>
      <c r="F2426" s="4" t="s">
        <v>22</v>
      </c>
      <c r="G2426" s="6">
        <v>1.45</v>
      </c>
      <c r="H2426" s="7" t="s">
        <v>1606</v>
      </c>
      <c r="I2426" s="4" t="s">
        <v>1574</v>
      </c>
      <c r="J2426" s="4" t="s">
        <v>1624</v>
      </c>
      <c r="K2426" s="8"/>
      <c r="L2426" s="8" t="s">
        <v>2660</v>
      </c>
      <c r="M2426" s="9">
        <f t="shared" si="1"/>
        <v>46</v>
      </c>
    </row>
    <row r="2427" ht="12.75" customHeight="1">
      <c r="A2427" s="4">
        <f t="shared" si="2"/>
        <v>2426</v>
      </c>
      <c r="B2427" s="4" t="s">
        <v>5264</v>
      </c>
      <c r="C2427" s="5" t="s">
        <v>5265</v>
      </c>
      <c r="D2427" s="4"/>
      <c r="E2427" s="4"/>
      <c r="F2427" s="4" t="s">
        <v>22</v>
      </c>
      <c r="G2427" s="6">
        <v>1.39</v>
      </c>
      <c r="H2427" s="7" t="s">
        <v>1606</v>
      </c>
      <c r="I2427" s="4" t="s">
        <v>1574</v>
      </c>
      <c r="J2427" s="4" t="s">
        <v>1624</v>
      </c>
      <c r="K2427" s="8"/>
      <c r="L2427" s="8" t="s">
        <v>2660</v>
      </c>
      <c r="M2427" s="9">
        <f t="shared" si="1"/>
        <v>42</v>
      </c>
    </row>
    <row r="2428" ht="12.75" customHeight="1">
      <c r="A2428" s="4">
        <f t="shared" si="2"/>
        <v>2427</v>
      </c>
      <c r="B2428" s="4" t="s">
        <v>5266</v>
      </c>
      <c r="C2428" s="5" t="s">
        <v>5267</v>
      </c>
      <c r="D2428" s="4"/>
      <c r="E2428" s="4"/>
      <c r="F2428" s="4" t="s">
        <v>22</v>
      </c>
      <c r="G2428" s="6">
        <v>1.46</v>
      </c>
      <c r="H2428" s="7" t="s">
        <v>1606</v>
      </c>
      <c r="I2428" s="4" t="s">
        <v>1574</v>
      </c>
      <c r="J2428" s="4" t="s">
        <v>1624</v>
      </c>
      <c r="K2428" s="8"/>
      <c r="L2428" s="8" t="s">
        <v>2660</v>
      </c>
      <c r="M2428" s="9">
        <f t="shared" si="1"/>
        <v>44</v>
      </c>
    </row>
    <row r="2429" ht="12.75" customHeight="1">
      <c r="A2429" s="4">
        <f t="shared" si="2"/>
        <v>2428</v>
      </c>
      <c r="B2429" s="4" t="s">
        <v>5268</v>
      </c>
      <c r="C2429" s="5" t="s">
        <v>5269</v>
      </c>
      <c r="D2429" s="4"/>
      <c r="E2429" s="4"/>
      <c r="F2429" s="4" t="s">
        <v>22</v>
      </c>
      <c r="G2429" s="6">
        <v>1.62</v>
      </c>
      <c r="H2429" s="7" t="s">
        <v>1606</v>
      </c>
      <c r="I2429" s="4" t="s">
        <v>1574</v>
      </c>
      <c r="J2429" s="4" t="s">
        <v>1624</v>
      </c>
      <c r="K2429" s="8"/>
      <c r="L2429" s="8" t="s">
        <v>2660</v>
      </c>
      <c r="M2429" s="9">
        <f t="shared" si="1"/>
        <v>44</v>
      </c>
    </row>
    <row r="2430" ht="12.75" customHeight="1">
      <c r="A2430" s="4">
        <f t="shared" si="2"/>
        <v>2429</v>
      </c>
      <c r="B2430" s="4" t="s">
        <v>5270</v>
      </c>
      <c r="C2430" s="5" t="s">
        <v>5271</v>
      </c>
      <c r="D2430" s="4"/>
      <c r="E2430" s="4"/>
      <c r="F2430" s="4" t="s">
        <v>22</v>
      </c>
      <c r="G2430" s="6">
        <v>1.32</v>
      </c>
      <c r="H2430" s="7" t="s">
        <v>1606</v>
      </c>
      <c r="I2430" s="4" t="s">
        <v>1574</v>
      </c>
      <c r="J2430" s="4" t="s">
        <v>1624</v>
      </c>
      <c r="K2430" s="8"/>
      <c r="L2430" s="8" t="s">
        <v>2660</v>
      </c>
      <c r="M2430" s="9">
        <f t="shared" si="1"/>
        <v>42</v>
      </c>
    </row>
    <row r="2431" ht="12.75" customHeight="1">
      <c r="A2431" s="4">
        <f t="shared" si="2"/>
        <v>2430</v>
      </c>
      <c r="B2431" s="4" t="s">
        <v>5272</v>
      </c>
      <c r="C2431" s="5" t="s">
        <v>5273</v>
      </c>
      <c r="D2431" s="4"/>
      <c r="E2431" s="4"/>
      <c r="F2431" s="4" t="s">
        <v>22</v>
      </c>
      <c r="G2431" s="6">
        <v>1.02</v>
      </c>
      <c r="H2431" s="7" t="s">
        <v>1606</v>
      </c>
      <c r="I2431" s="4" t="s">
        <v>1574</v>
      </c>
      <c r="J2431" s="4" t="s">
        <v>1624</v>
      </c>
      <c r="K2431" s="8"/>
      <c r="L2431" s="8" t="s">
        <v>2660</v>
      </c>
      <c r="M2431" s="9">
        <f t="shared" si="1"/>
        <v>40</v>
      </c>
    </row>
    <row r="2432" ht="12.75" customHeight="1">
      <c r="A2432" s="4">
        <f t="shared" si="2"/>
        <v>2431</v>
      </c>
      <c r="B2432" s="4" t="s">
        <v>5274</v>
      </c>
      <c r="C2432" s="5" t="s">
        <v>5275</v>
      </c>
      <c r="D2432" s="4"/>
      <c r="E2432" s="4"/>
      <c r="F2432" s="4" t="s">
        <v>22</v>
      </c>
      <c r="G2432" s="6">
        <v>0.87</v>
      </c>
      <c r="H2432" s="7" t="s">
        <v>1606</v>
      </c>
      <c r="I2432" s="4" t="s">
        <v>1574</v>
      </c>
      <c r="J2432" s="4" t="s">
        <v>1624</v>
      </c>
      <c r="K2432" s="8"/>
      <c r="L2432" s="8" t="s">
        <v>2660</v>
      </c>
      <c r="M2432" s="9">
        <f t="shared" si="1"/>
        <v>40</v>
      </c>
    </row>
    <row r="2433" ht="12.75" customHeight="1">
      <c r="A2433" s="4">
        <f t="shared" si="2"/>
        <v>2432</v>
      </c>
      <c r="B2433" s="4" t="s">
        <v>5276</v>
      </c>
      <c r="C2433" s="5" t="s">
        <v>5277</v>
      </c>
      <c r="D2433" s="4"/>
      <c r="E2433" s="4"/>
      <c r="F2433" s="4" t="s">
        <v>22</v>
      </c>
      <c r="G2433" s="6">
        <v>2.13</v>
      </c>
      <c r="H2433" s="7" t="s">
        <v>1606</v>
      </c>
      <c r="I2433" s="4" t="s">
        <v>1574</v>
      </c>
      <c r="J2433" s="4" t="s">
        <v>1624</v>
      </c>
      <c r="K2433" s="8"/>
      <c r="L2433" s="8" t="s">
        <v>2660</v>
      </c>
      <c r="M2433" s="9">
        <f t="shared" si="1"/>
        <v>42</v>
      </c>
    </row>
    <row r="2434" ht="12.75" customHeight="1">
      <c r="A2434" s="4">
        <f t="shared" si="2"/>
        <v>2433</v>
      </c>
      <c r="B2434" s="4" t="s">
        <v>5278</v>
      </c>
      <c r="C2434" s="5" t="s">
        <v>5279</v>
      </c>
      <c r="D2434" s="4"/>
      <c r="E2434" s="4"/>
      <c r="F2434" s="4" t="s">
        <v>22</v>
      </c>
      <c r="G2434" s="6">
        <v>2.43</v>
      </c>
      <c r="H2434" s="7" t="s">
        <v>1606</v>
      </c>
      <c r="I2434" s="4" t="s">
        <v>1574</v>
      </c>
      <c r="J2434" s="4" t="s">
        <v>1624</v>
      </c>
      <c r="K2434" s="8"/>
      <c r="L2434" s="8" t="s">
        <v>2660</v>
      </c>
      <c r="M2434" s="9">
        <f t="shared" si="1"/>
        <v>42</v>
      </c>
    </row>
    <row r="2435" ht="12.75" customHeight="1">
      <c r="A2435" s="4">
        <f t="shared" si="2"/>
        <v>2434</v>
      </c>
      <c r="B2435" s="4" t="s">
        <v>5280</v>
      </c>
      <c r="C2435" s="5" t="s">
        <v>5281</v>
      </c>
      <c r="D2435" s="4"/>
      <c r="E2435" s="4"/>
      <c r="F2435" s="4" t="s">
        <v>22</v>
      </c>
      <c r="G2435" s="6">
        <v>2.39</v>
      </c>
      <c r="H2435" s="7" t="s">
        <v>1606</v>
      </c>
      <c r="I2435" s="4" t="s">
        <v>1574</v>
      </c>
      <c r="J2435" s="4" t="s">
        <v>1624</v>
      </c>
      <c r="K2435" s="8"/>
      <c r="L2435" s="8" t="s">
        <v>2660</v>
      </c>
      <c r="M2435" s="9">
        <f t="shared" si="1"/>
        <v>38</v>
      </c>
    </row>
    <row r="2436" ht="12.75" customHeight="1">
      <c r="A2436" s="4">
        <f t="shared" si="2"/>
        <v>2435</v>
      </c>
      <c r="B2436" s="4" t="s">
        <v>5282</v>
      </c>
      <c r="C2436" s="5" t="s">
        <v>5283</v>
      </c>
      <c r="D2436" s="4"/>
      <c r="E2436" s="4"/>
      <c r="F2436" s="4" t="s">
        <v>22</v>
      </c>
      <c r="G2436" s="6">
        <v>2.01</v>
      </c>
      <c r="H2436" s="7" t="s">
        <v>1606</v>
      </c>
      <c r="I2436" s="4" t="s">
        <v>1574</v>
      </c>
      <c r="J2436" s="4" t="s">
        <v>1624</v>
      </c>
      <c r="K2436" s="8"/>
      <c r="L2436" s="8" t="s">
        <v>2660</v>
      </c>
      <c r="M2436" s="9">
        <f t="shared" si="1"/>
        <v>40</v>
      </c>
    </row>
    <row r="2437" ht="12.75" customHeight="1">
      <c r="A2437" s="4">
        <f t="shared" si="2"/>
        <v>2436</v>
      </c>
      <c r="B2437" s="4" t="s">
        <v>5284</v>
      </c>
      <c r="C2437" s="5" t="s">
        <v>5285</v>
      </c>
      <c r="D2437" s="4"/>
      <c r="E2437" s="4"/>
      <c r="F2437" s="4" t="s">
        <v>22</v>
      </c>
      <c r="G2437" s="6">
        <v>2.18</v>
      </c>
      <c r="H2437" s="7" t="s">
        <v>1606</v>
      </c>
      <c r="I2437" s="4" t="s">
        <v>1574</v>
      </c>
      <c r="J2437" s="4" t="s">
        <v>1624</v>
      </c>
      <c r="K2437" s="8"/>
      <c r="L2437" s="8" t="s">
        <v>2660</v>
      </c>
      <c r="M2437" s="9">
        <f t="shared" si="1"/>
        <v>40</v>
      </c>
    </row>
    <row r="2438" ht="12.75" customHeight="1">
      <c r="A2438" s="4">
        <f t="shared" si="2"/>
        <v>2437</v>
      </c>
      <c r="B2438" s="4" t="s">
        <v>5286</v>
      </c>
      <c r="C2438" s="5" t="s">
        <v>5287</v>
      </c>
      <c r="D2438" s="4"/>
      <c r="E2438" s="4"/>
      <c r="F2438" s="4" t="s">
        <v>22</v>
      </c>
      <c r="G2438" s="6">
        <v>0.27</v>
      </c>
      <c r="H2438" s="7" t="s">
        <v>1606</v>
      </c>
      <c r="I2438" s="4" t="s">
        <v>1574</v>
      </c>
      <c r="J2438" s="4" t="s">
        <v>1624</v>
      </c>
      <c r="K2438" s="8"/>
      <c r="L2438" s="8" t="s">
        <v>2660</v>
      </c>
      <c r="M2438" s="9">
        <f t="shared" si="1"/>
        <v>42</v>
      </c>
    </row>
    <row r="2439" ht="12.75" customHeight="1">
      <c r="A2439" s="4">
        <f t="shared" si="2"/>
        <v>2438</v>
      </c>
      <c r="B2439" s="4" t="s">
        <v>5288</v>
      </c>
      <c r="C2439" s="5" t="s">
        <v>5289</v>
      </c>
      <c r="D2439" s="4"/>
      <c r="E2439" s="4"/>
      <c r="F2439" s="4" t="s">
        <v>22</v>
      </c>
      <c r="G2439" s="6">
        <v>1.89</v>
      </c>
      <c r="H2439" s="7" t="s">
        <v>1606</v>
      </c>
      <c r="I2439" s="4" t="s">
        <v>1623</v>
      </c>
      <c r="J2439" s="4" t="s">
        <v>2987</v>
      </c>
      <c r="K2439" s="8"/>
      <c r="L2439" s="8" t="s">
        <v>2988</v>
      </c>
      <c r="M2439" s="9">
        <f t="shared" si="1"/>
        <v>71</v>
      </c>
    </row>
    <row r="2440" ht="12.75" customHeight="1">
      <c r="A2440" s="4">
        <f t="shared" si="2"/>
        <v>2439</v>
      </c>
      <c r="B2440" s="4" t="s">
        <v>5290</v>
      </c>
      <c r="C2440" s="5" t="s">
        <v>5291</v>
      </c>
      <c r="D2440" s="4"/>
      <c r="E2440" s="4"/>
      <c r="F2440" s="4" t="s">
        <v>22</v>
      </c>
      <c r="G2440" s="6">
        <v>2.16</v>
      </c>
      <c r="H2440" s="7" t="s">
        <v>1606</v>
      </c>
      <c r="I2440" s="4" t="s">
        <v>1623</v>
      </c>
      <c r="J2440" s="4" t="s">
        <v>2987</v>
      </c>
      <c r="K2440" s="8"/>
      <c r="L2440" s="8" t="s">
        <v>2988</v>
      </c>
      <c r="M2440" s="9">
        <f t="shared" si="1"/>
        <v>67</v>
      </c>
    </row>
    <row r="2441" ht="12.75" customHeight="1">
      <c r="A2441" s="4">
        <f t="shared" si="2"/>
        <v>2440</v>
      </c>
      <c r="B2441" s="4" t="s">
        <v>5292</v>
      </c>
      <c r="C2441" s="5" t="s">
        <v>5293</v>
      </c>
      <c r="D2441" s="4"/>
      <c r="E2441" s="4"/>
      <c r="F2441" s="4" t="s">
        <v>22</v>
      </c>
      <c r="G2441" s="6">
        <v>2.16</v>
      </c>
      <c r="H2441" s="7" t="s">
        <v>1606</v>
      </c>
      <c r="I2441" s="4" t="s">
        <v>1623</v>
      </c>
      <c r="J2441" s="4" t="s">
        <v>2987</v>
      </c>
      <c r="K2441" s="8"/>
      <c r="L2441" s="8" t="s">
        <v>2988</v>
      </c>
      <c r="M2441" s="9">
        <f t="shared" si="1"/>
        <v>69</v>
      </c>
    </row>
    <row r="2442" ht="12.75" customHeight="1">
      <c r="A2442" s="4">
        <f t="shared" si="2"/>
        <v>2441</v>
      </c>
      <c r="B2442" s="4" t="s">
        <v>5294</v>
      </c>
      <c r="C2442" s="5" t="s">
        <v>5295</v>
      </c>
      <c r="D2442" s="4"/>
      <c r="E2442" s="4"/>
      <c r="F2442" s="4" t="s">
        <v>22</v>
      </c>
      <c r="G2442" s="6">
        <v>0.95</v>
      </c>
      <c r="H2442" s="7" t="s">
        <v>1606</v>
      </c>
      <c r="I2442" s="4" t="s">
        <v>1623</v>
      </c>
      <c r="J2442" s="4" t="s">
        <v>2987</v>
      </c>
      <c r="K2442" s="8"/>
      <c r="L2442" s="8" t="s">
        <v>2988</v>
      </c>
      <c r="M2442" s="9">
        <f t="shared" si="1"/>
        <v>69</v>
      </c>
    </row>
    <row r="2443" ht="12.75" customHeight="1">
      <c r="A2443" s="4">
        <f t="shared" si="2"/>
        <v>2442</v>
      </c>
      <c r="B2443" s="4" t="s">
        <v>5296</v>
      </c>
      <c r="C2443" s="5" t="s">
        <v>5297</v>
      </c>
      <c r="D2443" s="4"/>
      <c r="E2443" s="4"/>
      <c r="F2443" s="4" t="s">
        <v>22</v>
      </c>
      <c r="G2443" s="6">
        <v>0.76</v>
      </c>
      <c r="H2443" s="7" t="s">
        <v>1606</v>
      </c>
      <c r="I2443" s="4" t="s">
        <v>1623</v>
      </c>
      <c r="J2443" s="4" t="s">
        <v>2987</v>
      </c>
      <c r="K2443" s="8"/>
      <c r="L2443" s="8" t="s">
        <v>2988</v>
      </c>
      <c r="M2443" s="9">
        <f t="shared" si="1"/>
        <v>67</v>
      </c>
    </row>
    <row r="2444" ht="12.75" customHeight="1">
      <c r="A2444" s="4">
        <f t="shared" si="2"/>
        <v>2443</v>
      </c>
      <c r="B2444" s="4" t="s">
        <v>5298</v>
      </c>
      <c r="C2444" s="5" t="s">
        <v>5299</v>
      </c>
      <c r="D2444" s="4"/>
      <c r="E2444" s="4"/>
      <c r="F2444" s="4" t="s">
        <v>22</v>
      </c>
      <c r="G2444" s="6">
        <v>4.86</v>
      </c>
      <c r="H2444" s="7" t="s">
        <v>1606</v>
      </c>
      <c r="I2444" s="4" t="s">
        <v>1623</v>
      </c>
      <c r="J2444" s="4" t="s">
        <v>2987</v>
      </c>
      <c r="K2444" s="8"/>
      <c r="L2444" s="8" t="s">
        <v>2988</v>
      </c>
      <c r="M2444" s="9">
        <f t="shared" si="1"/>
        <v>71</v>
      </c>
    </row>
    <row r="2445" ht="12.75" customHeight="1">
      <c r="A2445" s="4">
        <f t="shared" si="2"/>
        <v>2444</v>
      </c>
      <c r="B2445" s="4" t="s">
        <v>5300</v>
      </c>
      <c r="C2445" s="5" t="s">
        <v>5301</v>
      </c>
      <c r="D2445" s="4"/>
      <c r="E2445" s="4"/>
      <c r="F2445" s="4" t="s">
        <v>22</v>
      </c>
      <c r="G2445" s="6">
        <v>3.51</v>
      </c>
      <c r="H2445" s="7" t="s">
        <v>1606</v>
      </c>
      <c r="I2445" s="4" t="s">
        <v>1623</v>
      </c>
      <c r="J2445" s="4" t="s">
        <v>2987</v>
      </c>
      <c r="K2445" s="8"/>
      <c r="L2445" s="8" t="s">
        <v>2988</v>
      </c>
      <c r="M2445" s="9">
        <f t="shared" si="1"/>
        <v>71</v>
      </c>
    </row>
    <row r="2446" ht="12.75" customHeight="1">
      <c r="A2446" s="4">
        <f t="shared" si="2"/>
        <v>2445</v>
      </c>
      <c r="B2446" s="4" t="s">
        <v>5302</v>
      </c>
      <c r="C2446" s="5" t="s">
        <v>5303</v>
      </c>
      <c r="D2446" s="4"/>
      <c r="E2446" s="4"/>
      <c r="F2446" s="4" t="s">
        <v>22</v>
      </c>
      <c r="G2446" s="6">
        <v>4.05</v>
      </c>
      <c r="H2446" s="7" t="s">
        <v>1606</v>
      </c>
      <c r="I2446" s="4" t="s">
        <v>1623</v>
      </c>
      <c r="J2446" s="4" t="s">
        <v>2987</v>
      </c>
      <c r="K2446" s="8"/>
      <c r="L2446" s="8" t="s">
        <v>2988</v>
      </c>
      <c r="M2446" s="9">
        <f t="shared" si="1"/>
        <v>65</v>
      </c>
    </row>
    <row r="2447" ht="12.75" customHeight="1">
      <c r="A2447" s="4">
        <f t="shared" si="2"/>
        <v>2446</v>
      </c>
      <c r="B2447" s="4" t="s">
        <v>5304</v>
      </c>
      <c r="C2447" s="5" t="s">
        <v>5305</v>
      </c>
      <c r="D2447" s="4"/>
      <c r="E2447" s="4"/>
      <c r="F2447" s="4" t="s">
        <v>22</v>
      </c>
      <c r="G2447" s="6">
        <v>6.76</v>
      </c>
      <c r="H2447" s="7" t="s">
        <v>1606</v>
      </c>
      <c r="I2447" s="4" t="s">
        <v>1623</v>
      </c>
      <c r="J2447" s="4" t="s">
        <v>2987</v>
      </c>
      <c r="K2447" s="8"/>
      <c r="L2447" s="8" t="s">
        <v>2988</v>
      </c>
      <c r="M2447" s="9">
        <f t="shared" si="1"/>
        <v>67</v>
      </c>
    </row>
    <row r="2448" ht="12.75" customHeight="1">
      <c r="A2448" s="4">
        <f t="shared" si="2"/>
        <v>2447</v>
      </c>
      <c r="B2448" s="4" t="s">
        <v>5306</v>
      </c>
      <c r="C2448" s="5" t="s">
        <v>5307</v>
      </c>
      <c r="D2448" s="4"/>
      <c r="E2448" s="4"/>
      <c r="F2448" s="4" t="s">
        <v>22</v>
      </c>
      <c r="G2448" s="6">
        <v>8.11</v>
      </c>
      <c r="H2448" s="7" t="s">
        <v>1606</v>
      </c>
      <c r="I2448" s="4" t="s">
        <v>1623</v>
      </c>
      <c r="J2448" s="4" t="s">
        <v>2987</v>
      </c>
      <c r="K2448" s="8"/>
      <c r="L2448" s="8" t="s">
        <v>2988</v>
      </c>
      <c r="M2448" s="9">
        <f t="shared" si="1"/>
        <v>63</v>
      </c>
    </row>
    <row r="2449" ht="12.75" customHeight="1">
      <c r="A2449" s="4">
        <f t="shared" si="2"/>
        <v>2448</v>
      </c>
      <c r="B2449" s="4" t="s">
        <v>5308</v>
      </c>
      <c r="C2449" s="5" t="s">
        <v>5309</v>
      </c>
      <c r="D2449" s="4"/>
      <c r="E2449" s="4"/>
      <c r="F2449" s="4" t="s">
        <v>22</v>
      </c>
      <c r="G2449" s="6">
        <v>0.81</v>
      </c>
      <c r="H2449" s="7" t="s">
        <v>1606</v>
      </c>
      <c r="I2449" s="4" t="s">
        <v>1623</v>
      </c>
      <c r="J2449" s="4" t="s">
        <v>2987</v>
      </c>
      <c r="K2449" s="8"/>
      <c r="L2449" s="8" t="s">
        <v>2988</v>
      </c>
      <c r="M2449" s="9">
        <f t="shared" si="1"/>
        <v>67</v>
      </c>
    </row>
    <row r="2450" ht="12.75" customHeight="1">
      <c r="A2450" s="4">
        <f t="shared" si="2"/>
        <v>2449</v>
      </c>
      <c r="B2450" s="4" t="s">
        <v>5310</v>
      </c>
      <c r="C2450" s="5" t="s">
        <v>5311</v>
      </c>
      <c r="D2450" s="4"/>
      <c r="E2450" s="4"/>
      <c r="F2450" s="4" t="s">
        <v>22</v>
      </c>
      <c r="G2450" s="6">
        <v>0.81</v>
      </c>
      <c r="H2450" s="7" t="s">
        <v>1606</v>
      </c>
      <c r="I2450" s="4" t="s">
        <v>1623</v>
      </c>
      <c r="J2450" s="4" t="s">
        <v>2230</v>
      </c>
      <c r="K2450" s="8"/>
      <c r="L2450" s="8" t="s">
        <v>2988</v>
      </c>
      <c r="M2450" s="9">
        <f t="shared" si="1"/>
        <v>67</v>
      </c>
    </row>
    <row r="2451" ht="12.75" customHeight="1">
      <c r="A2451" s="4">
        <f t="shared" si="2"/>
        <v>2450</v>
      </c>
      <c r="B2451" s="4" t="s">
        <v>5312</v>
      </c>
      <c r="C2451" s="5" t="s">
        <v>5313</v>
      </c>
      <c r="D2451" s="4"/>
      <c r="E2451" s="4"/>
      <c r="F2451" s="4" t="s">
        <v>22</v>
      </c>
      <c r="G2451" s="6">
        <v>13.24</v>
      </c>
      <c r="H2451" s="7" t="s">
        <v>1606</v>
      </c>
      <c r="I2451" s="4" t="s">
        <v>1623</v>
      </c>
      <c r="J2451" s="4" t="s">
        <v>2230</v>
      </c>
      <c r="K2451" s="8"/>
      <c r="L2451" s="8" t="s">
        <v>2988</v>
      </c>
      <c r="M2451" s="9">
        <f t="shared" si="1"/>
        <v>67</v>
      </c>
    </row>
    <row r="2452" ht="12.75" customHeight="1">
      <c r="A2452" s="4">
        <f t="shared" si="2"/>
        <v>2451</v>
      </c>
      <c r="B2452" s="4" t="s">
        <v>5314</v>
      </c>
      <c r="C2452" s="5" t="s">
        <v>5315</v>
      </c>
      <c r="D2452" s="4"/>
      <c r="E2452" s="4"/>
      <c r="F2452" s="4" t="s">
        <v>22</v>
      </c>
      <c r="G2452" s="6">
        <v>12.7</v>
      </c>
      <c r="H2452" s="7" t="s">
        <v>1606</v>
      </c>
      <c r="I2452" s="4" t="s">
        <v>1623</v>
      </c>
      <c r="J2452" s="4" t="s">
        <v>2230</v>
      </c>
      <c r="K2452" s="8"/>
      <c r="L2452" s="8" t="s">
        <v>2988</v>
      </c>
      <c r="M2452" s="9">
        <f t="shared" si="1"/>
        <v>63</v>
      </c>
    </row>
    <row r="2453" ht="12.75" customHeight="1">
      <c r="A2453" s="4">
        <f t="shared" si="2"/>
        <v>2452</v>
      </c>
      <c r="B2453" s="4" t="s">
        <v>5316</v>
      </c>
      <c r="C2453" s="5" t="s">
        <v>5317</v>
      </c>
      <c r="D2453" s="4"/>
      <c r="E2453" s="4"/>
      <c r="F2453" s="4" t="s">
        <v>22</v>
      </c>
      <c r="G2453" s="6">
        <v>3.51</v>
      </c>
      <c r="H2453" s="7" t="s">
        <v>1606</v>
      </c>
      <c r="I2453" s="4" t="s">
        <v>1574</v>
      </c>
      <c r="J2453" s="4" t="s">
        <v>2230</v>
      </c>
      <c r="K2453" s="8"/>
      <c r="L2453" s="8" t="s">
        <v>5318</v>
      </c>
      <c r="M2453" s="9">
        <f t="shared" si="1"/>
        <v>61</v>
      </c>
    </row>
    <row r="2454" ht="12.75" customHeight="1">
      <c r="A2454" s="4">
        <f t="shared" si="2"/>
        <v>2453</v>
      </c>
      <c r="B2454" s="4" t="s">
        <v>5319</v>
      </c>
      <c r="C2454" s="5" t="s">
        <v>5320</v>
      </c>
      <c r="D2454" s="4"/>
      <c r="E2454" s="4"/>
      <c r="F2454" s="4" t="s">
        <v>22</v>
      </c>
      <c r="G2454" s="6">
        <v>2.3</v>
      </c>
      <c r="H2454" s="7" t="s">
        <v>1606</v>
      </c>
      <c r="I2454" s="4" t="s">
        <v>1574</v>
      </c>
      <c r="J2454" s="4" t="s">
        <v>2230</v>
      </c>
      <c r="K2454" s="8"/>
      <c r="L2454" s="8" t="s">
        <v>5318</v>
      </c>
      <c r="M2454" s="9">
        <f t="shared" si="1"/>
        <v>57</v>
      </c>
    </row>
    <row r="2455" ht="12.75" customHeight="1">
      <c r="A2455" s="4">
        <f t="shared" si="2"/>
        <v>2454</v>
      </c>
      <c r="B2455" s="4" t="s">
        <v>5321</v>
      </c>
      <c r="C2455" s="5" t="s">
        <v>5322</v>
      </c>
      <c r="D2455" s="4"/>
      <c r="E2455" s="4"/>
      <c r="F2455" s="4" t="s">
        <v>22</v>
      </c>
      <c r="G2455" s="6">
        <v>1.76</v>
      </c>
      <c r="H2455" s="7" t="s">
        <v>1606</v>
      </c>
      <c r="I2455" s="4" t="s">
        <v>1574</v>
      </c>
      <c r="J2455" s="4" t="s">
        <v>2230</v>
      </c>
      <c r="K2455" s="8"/>
      <c r="L2455" s="8" t="s">
        <v>5318</v>
      </c>
      <c r="M2455" s="9">
        <f t="shared" si="1"/>
        <v>59</v>
      </c>
    </row>
    <row r="2456" ht="12.75" customHeight="1">
      <c r="A2456" s="4">
        <f t="shared" si="2"/>
        <v>2455</v>
      </c>
      <c r="B2456" s="4" t="s">
        <v>5323</v>
      </c>
      <c r="C2456" s="5" t="s">
        <v>5324</v>
      </c>
      <c r="D2456" s="4"/>
      <c r="E2456" s="4"/>
      <c r="F2456" s="4" t="s">
        <v>22</v>
      </c>
      <c r="G2456" s="6">
        <v>1.14</v>
      </c>
      <c r="H2456" s="7" t="s">
        <v>1606</v>
      </c>
      <c r="I2456" s="4" t="s">
        <v>1574</v>
      </c>
      <c r="J2456" s="4" t="s">
        <v>2230</v>
      </c>
      <c r="K2456" s="8"/>
      <c r="L2456" s="8" t="s">
        <v>5318</v>
      </c>
      <c r="M2456" s="9">
        <f t="shared" si="1"/>
        <v>59</v>
      </c>
    </row>
    <row r="2457" ht="12.75" customHeight="1">
      <c r="A2457" s="4">
        <f t="shared" si="2"/>
        <v>2456</v>
      </c>
      <c r="B2457" s="4" t="s">
        <v>5325</v>
      </c>
      <c r="C2457" s="5" t="s">
        <v>5326</v>
      </c>
      <c r="D2457" s="4"/>
      <c r="E2457" s="4"/>
      <c r="F2457" s="4" t="s">
        <v>22</v>
      </c>
      <c r="G2457" s="6">
        <v>1.35</v>
      </c>
      <c r="H2457" s="7" t="s">
        <v>1606</v>
      </c>
      <c r="I2457" s="4" t="s">
        <v>1574</v>
      </c>
      <c r="J2457" s="4" t="s">
        <v>2230</v>
      </c>
      <c r="K2457" s="8"/>
      <c r="L2457" s="8" t="s">
        <v>5318</v>
      </c>
      <c r="M2457" s="9">
        <f t="shared" si="1"/>
        <v>57</v>
      </c>
    </row>
    <row r="2458" ht="12.75" customHeight="1">
      <c r="A2458" s="4">
        <f t="shared" si="2"/>
        <v>2457</v>
      </c>
      <c r="B2458" s="4" t="s">
        <v>5327</v>
      </c>
      <c r="C2458" s="5" t="s">
        <v>5328</v>
      </c>
      <c r="D2458" s="4"/>
      <c r="E2458" s="4"/>
      <c r="F2458" s="4" t="s">
        <v>22</v>
      </c>
      <c r="G2458" s="6">
        <v>0.95</v>
      </c>
      <c r="H2458" s="7" t="s">
        <v>1606</v>
      </c>
      <c r="I2458" s="4" t="s">
        <v>1574</v>
      </c>
      <c r="J2458" s="4" t="s">
        <v>2230</v>
      </c>
      <c r="K2458" s="8"/>
      <c r="L2458" s="8" t="s">
        <v>5318</v>
      </c>
      <c r="M2458" s="9">
        <f t="shared" si="1"/>
        <v>59</v>
      </c>
    </row>
    <row r="2459" ht="12.75" customHeight="1">
      <c r="A2459" s="4">
        <f t="shared" si="2"/>
        <v>2458</v>
      </c>
      <c r="B2459" s="4" t="s">
        <v>5329</v>
      </c>
      <c r="C2459" s="5" t="s">
        <v>5330</v>
      </c>
      <c r="D2459" s="4"/>
      <c r="E2459" s="4"/>
      <c r="F2459" s="4" t="s">
        <v>22</v>
      </c>
      <c r="G2459" s="6">
        <v>1.62</v>
      </c>
      <c r="H2459" s="7" t="s">
        <v>1606</v>
      </c>
      <c r="I2459" s="4" t="s">
        <v>1574</v>
      </c>
      <c r="J2459" s="4" t="s">
        <v>2230</v>
      </c>
      <c r="K2459" s="8"/>
      <c r="L2459" s="8" t="s">
        <v>5318</v>
      </c>
      <c r="M2459" s="9">
        <f t="shared" si="1"/>
        <v>55</v>
      </c>
    </row>
    <row r="2460" ht="12.75" customHeight="1">
      <c r="A2460" s="4">
        <f t="shared" si="2"/>
        <v>2459</v>
      </c>
      <c r="B2460" s="4" t="s">
        <v>5331</v>
      </c>
      <c r="C2460" s="5" t="s">
        <v>5332</v>
      </c>
      <c r="D2460" s="4"/>
      <c r="E2460" s="4"/>
      <c r="F2460" s="4" t="s">
        <v>22</v>
      </c>
      <c r="G2460" s="6">
        <v>1.35</v>
      </c>
      <c r="H2460" s="7" t="s">
        <v>1606</v>
      </c>
      <c r="I2460" s="4" t="s">
        <v>1574</v>
      </c>
      <c r="J2460" s="4" t="s">
        <v>2230</v>
      </c>
      <c r="K2460" s="8"/>
      <c r="L2460" s="8" t="s">
        <v>5318</v>
      </c>
      <c r="M2460" s="9">
        <f t="shared" si="1"/>
        <v>55</v>
      </c>
    </row>
    <row r="2461" ht="12.75" customHeight="1">
      <c r="A2461" s="4">
        <f t="shared" si="2"/>
        <v>2460</v>
      </c>
      <c r="B2461" s="4" t="s">
        <v>5333</v>
      </c>
      <c r="C2461" s="5" t="s">
        <v>5334</v>
      </c>
      <c r="D2461" s="4"/>
      <c r="E2461" s="4"/>
      <c r="F2461" s="4" t="s">
        <v>22</v>
      </c>
      <c r="G2461" s="6">
        <v>0.65</v>
      </c>
      <c r="H2461" s="7" t="s">
        <v>1606</v>
      </c>
      <c r="I2461" s="4" t="s">
        <v>1574</v>
      </c>
      <c r="J2461" s="4" t="s">
        <v>2230</v>
      </c>
      <c r="K2461" s="8"/>
      <c r="L2461" s="8" t="s">
        <v>5318</v>
      </c>
      <c r="M2461" s="9">
        <f t="shared" si="1"/>
        <v>57</v>
      </c>
    </row>
    <row r="2462" ht="12.75" customHeight="1">
      <c r="A2462" s="4">
        <f t="shared" si="2"/>
        <v>2461</v>
      </c>
      <c r="B2462" s="4" t="s">
        <v>5335</v>
      </c>
      <c r="C2462" s="5" t="s">
        <v>5336</v>
      </c>
      <c r="D2462" s="4"/>
      <c r="E2462" s="4"/>
      <c r="F2462" s="4" t="s">
        <v>22</v>
      </c>
      <c r="G2462" s="6">
        <v>2.65</v>
      </c>
      <c r="H2462" s="7" t="s">
        <v>1606</v>
      </c>
      <c r="I2462" s="4" t="s">
        <v>1574</v>
      </c>
      <c r="J2462" s="4" t="s">
        <v>2230</v>
      </c>
      <c r="K2462" s="8"/>
      <c r="L2462" s="8" t="s">
        <v>5318</v>
      </c>
      <c r="M2462" s="9">
        <f t="shared" si="1"/>
        <v>61</v>
      </c>
    </row>
    <row r="2463" ht="12.75" customHeight="1">
      <c r="A2463" s="4">
        <f t="shared" si="2"/>
        <v>2462</v>
      </c>
      <c r="B2463" s="4" t="s">
        <v>5337</v>
      </c>
      <c r="C2463" s="5" t="s">
        <v>5338</v>
      </c>
      <c r="D2463" s="4"/>
      <c r="E2463" s="4"/>
      <c r="F2463" s="4" t="s">
        <v>22</v>
      </c>
      <c r="G2463" s="6">
        <v>2.65</v>
      </c>
      <c r="H2463" s="7" t="s">
        <v>1606</v>
      </c>
      <c r="I2463" s="4" t="s">
        <v>1574</v>
      </c>
      <c r="J2463" s="4" t="s">
        <v>2230</v>
      </c>
      <c r="K2463" s="8"/>
      <c r="L2463" s="8" t="s">
        <v>5318</v>
      </c>
      <c r="M2463" s="9">
        <f t="shared" si="1"/>
        <v>61</v>
      </c>
    </row>
    <row r="2464" ht="12.75" customHeight="1">
      <c r="A2464" s="4">
        <f t="shared" si="2"/>
        <v>2463</v>
      </c>
      <c r="B2464" s="4" t="s">
        <v>5339</v>
      </c>
      <c r="C2464" s="5" t="s">
        <v>5340</v>
      </c>
      <c r="D2464" s="4"/>
      <c r="E2464" s="4"/>
      <c r="F2464" s="4" t="s">
        <v>22</v>
      </c>
      <c r="G2464" s="6">
        <v>2.65</v>
      </c>
      <c r="H2464" s="7" t="s">
        <v>1606</v>
      </c>
      <c r="I2464" s="4" t="s">
        <v>1574</v>
      </c>
      <c r="J2464" s="4" t="s">
        <v>2230</v>
      </c>
      <c r="K2464" s="8"/>
      <c r="L2464" s="8" t="s">
        <v>5318</v>
      </c>
      <c r="M2464" s="9">
        <f t="shared" si="1"/>
        <v>57</v>
      </c>
    </row>
    <row r="2465" ht="12.75" customHeight="1">
      <c r="A2465" s="4">
        <f t="shared" si="2"/>
        <v>2464</v>
      </c>
      <c r="B2465" s="4" t="s">
        <v>5341</v>
      </c>
      <c r="C2465" s="5" t="s">
        <v>5342</v>
      </c>
      <c r="D2465" s="4"/>
      <c r="E2465" s="4"/>
      <c r="F2465" s="4" t="s">
        <v>22</v>
      </c>
      <c r="G2465" s="6">
        <v>3.78</v>
      </c>
      <c r="H2465" s="7" t="s">
        <v>1606</v>
      </c>
      <c r="I2465" s="4" t="s">
        <v>1574</v>
      </c>
      <c r="J2465" s="4" t="s">
        <v>2230</v>
      </c>
      <c r="K2465" s="8"/>
      <c r="L2465" s="8" t="s">
        <v>5318</v>
      </c>
      <c r="M2465" s="9">
        <f t="shared" si="1"/>
        <v>57</v>
      </c>
    </row>
    <row r="2466" ht="12.75" customHeight="1">
      <c r="A2466" s="4">
        <f t="shared" si="2"/>
        <v>2465</v>
      </c>
      <c r="B2466" s="4" t="s">
        <v>5343</v>
      </c>
      <c r="C2466" s="5" t="s">
        <v>5344</v>
      </c>
      <c r="D2466" s="4"/>
      <c r="E2466" s="4"/>
      <c r="F2466" s="4" t="s">
        <v>22</v>
      </c>
      <c r="G2466" s="6">
        <v>3.11</v>
      </c>
      <c r="H2466" s="7" t="s">
        <v>1606</v>
      </c>
      <c r="I2466" s="4" t="s">
        <v>1574</v>
      </c>
      <c r="J2466" s="4" t="s">
        <v>2230</v>
      </c>
      <c r="K2466" s="8"/>
      <c r="L2466" s="8" t="s">
        <v>5318</v>
      </c>
      <c r="M2466" s="9">
        <f t="shared" si="1"/>
        <v>57</v>
      </c>
    </row>
    <row r="2467" ht="12.75" customHeight="1">
      <c r="A2467" s="4">
        <f t="shared" si="2"/>
        <v>2466</v>
      </c>
      <c r="B2467" s="4" t="s">
        <v>5345</v>
      </c>
      <c r="C2467" s="5" t="s">
        <v>5346</v>
      </c>
      <c r="D2467" s="4"/>
      <c r="E2467" s="4"/>
      <c r="F2467" s="4" t="s">
        <v>22</v>
      </c>
      <c r="G2467" s="6">
        <v>1.62</v>
      </c>
      <c r="H2467" s="7" t="s">
        <v>1606</v>
      </c>
      <c r="I2467" s="4" t="s">
        <v>1574</v>
      </c>
      <c r="J2467" s="4" t="s">
        <v>2230</v>
      </c>
      <c r="K2467" s="8"/>
      <c r="L2467" s="8" t="s">
        <v>5318</v>
      </c>
      <c r="M2467" s="9">
        <f t="shared" si="1"/>
        <v>57</v>
      </c>
    </row>
    <row r="2468" ht="12.75" customHeight="1">
      <c r="A2468" s="4">
        <f t="shared" si="2"/>
        <v>2467</v>
      </c>
      <c r="B2468" s="4" t="s">
        <v>5347</v>
      </c>
      <c r="C2468" s="5" t="s">
        <v>5348</v>
      </c>
      <c r="D2468" s="4"/>
      <c r="E2468" s="4"/>
      <c r="F2468" s="4" t="s">
        <v>22</v>
      </c>
      <c r="G2468" s="6">
        <v>4.05</v>
      </c>
      <c r="H2468" s="7" t="s">
        <v>1606</v>
      </c>
      <c r="I2468" s="4" t="s">
        <v>1574</v>
      </c>
      <c r="J2468" s="4" t="s">
        <v>2230</v>
      </c>
      <c r="K2468" s="8"/>
      <c r="L2468" s="8" t="s">
        <v>5318</v>
      </c>
      <c r="M2468" s="9">
        <f t="shared" si="1"/>
        <v>53</v>
      </c>
    </row>
    <row r="2469" ht="12.75" customHeight="1">
      <c r="A2469" s="4">
        <f t="shared" si="2"/>
        <v>2468</v>
      </c>
      <c r="B2469" s="4" t="s">
        <v>5349</v>
      </c>
      <c r="C2469" s="5" t="s">
        <v>5350</v>
      </c>
      <c r="D2469" s="4"/>
      <c r="E2469" s="4"/>
      <c r="F2469" s="4" t="s">
        <v>22</v>
      </c>
      <c r="G2469" s="6">
        <v>4.59</v>
      </c>
      <c r="H2469" s="7" t="s">
        <v>1606</v>
      </c>
      <c r="I2469" s="4" t="s">
        <v>1574</v>
      </c>
      <c r="J2469" s="4" t="s">
        <v>2230</v>
      </c>
      <c r="K2469" s="8"/>
      <c r="L2469" s="8" t="s">
        <v>5318</v>
      </c>
      <c r="M2469" s="9">
        <f t="shared" si="1"/>
        <v>57</v>
      </c>
    </row>
    <row r="2470" ht="12.75" customHeight="1">
      <c r="A2470" s="4">
        <f t="shared" si="2"/>
        <v>2469</v>
      </c>
      <c r="B2470" s="4" t="s">
        <v>5351</v>
      </c>
      <c r="C2470" s="5" t="s">
        <v>5352</v>
      </c>
      <c r="D2470" s="4"/>
      <c r="E2470" s="4"/>
      <c r="F2470" s="4" t="s">
        <v>22</v>
      </c>
      <c r="G2470" s="6">
        <v>4.59</v>
      </c>
      <c r="H2470" s="7" t="s">
        <v>1606</v>
      </c>
      <c r="I2470" s="4" t="s">
        <v>1574</v>
      </c>
      <c r="J2470" s="4" t="s">
        <v>2230</v>
      </c>
      <c r="K2470" s="8"/>
      <c r="L2470" s="8" t="s">
        <v>5318</v>
      </c>
      <c r="M2470" s="9">
        <f t="shared" si="1"/>
        <v>53</v>
      </c>
    </row>
    <row r="2471" ht="12.75" customHeight="1">
      <c r="A2471" s="4">
        <f t="shared" si="2"/>
        <v>2470</v>
      </c>
      <c r="B2471" s="4" t="s">
        <v>5353</v>
      </c>
      <c r="C2471" s="5" t="s">
        <v>5354</v>
      </c>
      <c r="D2471" s="4"/>
      <c r="E2471" s="4"/>
      <c r="F2471" s="4" t="s">
        <v>22</v>
      </c>
      <c r="G2471" s="6">
        <v>3.38</v>
      </c>
      <c r="H2471" s="7" t="s">
        <v>1606</v>
      </c>
      <c r="I2471" s="4" t="s">
        <v>1574</v>
      </c>
      <c r="J2471" s="4" t="s">
        <v>2230</v>
      </c>
      <c r="K2471" s="8"/>
      <c r="L2471" s="8" t="s">
        <v>5318</v>
      </c>
      <c r="M2471" s="9">
        <f t="shared" si="1"/>
        <v>57</v>
      </c>
    </row>
    <row r="2472" ht="12.75" customHeight="1">
      <c r="A2472" s="4">
        <f t="shared" si="2"/>
        <v>2471</v>
      </c>
      <c r="B2472" s="4" t="s">
        <v>5355</v>
      </c>
      <c r="C2472" s="5" t="s">
        <v>5356</v>
      </c>
      <c r="D2472" s="4"/>
      <c r="E2472" s="4"/>
      <c r="F2472" s="4" t="s">
        <v>22</v>
      </c>
      <c r="G2472" s="6">
        <v>4.86</v>
      </c>
      <c r="H2472" s="7" t="s">
        <v>1606</v>
      </c>
      <c r="I2472" s="4" t="s">
        <v>1574</v>
      </c>
      <c r="J2472" s="4" t="s">
        <v>2230</v>
      </c>
      <c r="K2472" s="8"/>
      <c r="L2472" s="8" t="s">
        <v>5318</v>
      </c>
      <c r="M2472" s="9">
        <f t="shared" si="1"/>
        <v>53</v>
      </c>
    </row>
    <row r="2473" ht="12.75" customHeight="1">
      <c r="A2473" s="4">
        <f t="shared" si="2"/>
        <v>2472</v>
      </c>
      <c r="B2473" s="4" t="s">
        <v>5357</v>
      </c>
      <c r="C2473" s="5" t="s">
        <v>5358</v>
      </c>
      <c r="D2473" s="4"/>
      <c r="E2473" s="4"/>
      <c r="F2473" s="4" t="s">
        <v>22</v>
      </c>
      <c r="G2473" s="6">
        <v>0.43</v>
      </c>
      <c r="H2473" s="7" t="s">
        <v>1606</v>
      </c>
      <c r="I2473" s="4" t="s">
        <v>1574</v>
      </c>
      <c r="J2473" s="4" t="s">
        <v>2230</v>
      </c>
      <c r="K2473" s="8"/>
      <c r="L2473" s="8" t="s">
        <v>5318</v>
      </c>
      <c r="M2473" s="9">
        <f t="shared" si="1"/>
        <v>57</v>
      </c>
    </row>
    <row r="2474" ht="12.75" customHeight="1">
      <c r="A2474" s="4">
        <f t="shared" si="2"/>
        <v>2473</v>
      </c>
      <c r="B2474" s="4" t="s">
        <v>5359</v>
      </c>
      <c r="C2474" s="5" t="s">
        <v>5360</v>
      </c>
      <c r="D2474" s="4"/>
      <c r="E2474" s="4"/>
      <c r="F2474" s="4" t="s">
        <v>22</v>
      </c>
      <c r="G2474" s="6">
        <v>25.95</v>
      </c>
      <c r="H2474" s="7" t="s">
        <v>1606</v>
      </c>
      <c r="I2474" s="4" t="s">
        <v>1574</v>
      </c>
      <c r="J2474" s="4" t="s">
        <v>2230</v>
      </c>
      <c r="K2474" s="8"/>
      <c r="L2474" s="8" t="s">
        <v>5318</v>
      </c>
      <c r="M2474" s="9">
        <f t="shared" si="1"/>
        <v>55</v>
      </c>
    </row>
    <row r="2475" ht="12.75" customHeight="1">
      <c r="A2475" s="4">
        <f t="shared" si="2"/>
        <v>2474</v>
      </c>
      <c r="B2475" s="4" t="s">
        <v>5361</v>
      </c>
      <c r="C2475" s="5" t="s">
        <v>5362</v>
      </c>
      <c r="D2475" s="4"/>
      <c r="E2475" s="4"/>
      <c r="F2475" s="4" t="s">
        <v>22</v>
      </c>
      <c r="G2475" s="6">
        <v>6.35</v>
      </c>
      <c r="H2475" s="7" t="s">
        <v>1606</v>
      </c>
      <c r="I2475" s="4" t="s">
        <v>1574</v>
      </c>
      <c r="J2475" s="4" t="s">
        <v>2230</v>
      </c>
      <c r="K2475" s="8"/>
      <c r="L2475" s="8" t="s">
        <v>5318</v>
      </c>
      <c r="M2475" s="9">
        <f t="shared" si="1"/>
        <v>53</v>
      </c>
    </row>
    <row r="2476" ht="12.75" customHeight="1">
      <c r="A2476" s="4">
        <f t="shared" si="2"/>
        <v>2475</v>
      </c>
      <c r="B2476" s="4" t="s">
        <v>5363</v>
      </c>
      <c r="C2476" s="5" t="s">
        <v>5364</v>
      </c>
      <c r="D2476" s="4"/>
      <c r="E2476" s="4"/>
      <c r="F2476" s="4" t="s">
        <v>22</v>
      </c>
      <c r="G2476" s="21">
        <v>6.35</v>
      </c>
      <c r="H2476" s="7" t="s">
        <v>1606</v>
      </c>
      <c r="I2476" s="4" t="s">
        <v>1574</v>
      </c>
      <c r="J2476" s="4" t="s">
        <v>2230</v>
      </c>
      <c r="K2476" s="8"/>
      <c r="L2476" s="8" t="s">
        <v>5318</v>
      </c>
      <c r="M2476" s="9">
        <f t="shared" si="1"/>
        <v>57</v>
      </c>
    </row>
    <row r="2477" ht="12.75" customHeight="1">
      <c r="A2477" s="4">
        <f t="shared" si="2"/>
        <v>2476</v>
      </c>
      <c r="B2477" s="4" t="s">
        <v>5365</v>
      </c>
      <c r="C2477" s="5" t="s">
        <v>5366</v>
      </c>
      <c r="D2477" s="4"/>
      <c r="E2477" s="4"/>
      <c r="F2477" s="4" t="s">
        <v>22</v>
      </c>
      <c r="G2477" s="6">
        <v>6.35</v>
      </c>
      <c r="H2477" s="7" t="s">
        <v>1606</v>
      </c>
      <c r="I2477" s="4" t="s">
        <v>1574</v>
      </c>
      <c r="J2477" s="4" t="s">
        <v>2230</v>
      </c>
      <c r="K2477" s="8"/>
      <c r="L2477" s="8" t="s">
        <v>5318</v>
      </c>
      <c r="M2477" s="9">
        <f t="shared" si="1"/>
        <v>53</v>
      </c>
    </row>
    <row r="2478" ht="12.75" customHeight="1">
      <c r="A2478" s="4">
        <f t="shared" si="2"/>
        <v>2477</v>
      </c>
      <c r="B2478" s="4" t="s">
        <v>5367</v>
      </c>
      <c r="C2478" s="5" t="s">
        <v>5368</v>
      </c>
      <c r="D2478" s="4"/>
      <c r="E2478" s="4"/>
      <c r="F2478" s="4" t="s">
        <v>22</v>
      </c>
      <c r="G2478" s="21">
        <v>6.35</v>
      </c>
      <c r="H2478" s="7" t="s">
        <v>1606</v>
      </c>
      <c r="I2478" s="4" t="s">
        <v>1574</v>
      </c>
      <c r="J2478" s="4" t="s">
        <v>2230</v>
      </c>
      <c r="K2478" s="8"/>
      <c r="L2478" s="8" t="s">
        <v>5318</v>
      </c>
      <c r="M2478" s="9">
        <f t="shared" si="1"/>
        <v>53</v>
      </c>
    </row>
    <row r="2479" ht="12.75" customHeight="1">
      <c r="A2479" s="4">
        <f t="shared" si="2"/>
        <v>2478</v>
      </c>
      <c r="B2479" s="4" t="s">
        <v>5369</v>
      </c>
      <c r="C2479" s="5" t="s">
        <v>5370</v>
      </c>
      <c r="D2479" s="4"/>
      <c r="E2479" s="4"/>
      <c r="F2479" s="4" t="s">
        <v>22</v>
      </c>
      <c r="G2479" s="21">
        <v>35.68</v>
      </c>
      <c r="H2479" s="7" t="s">
        <v>1606</v>
      </c>
      <c r="I2479" s="4" t="s">
        <v>1574</v>
      </c>
      <c r="J2479" s="4" t="s">
        <v>2230</v>
      </c>
      <c r="K2479" s="8"/>
      <c r="L2479" s="8" t="s">
        <v>5318</v>
      </c>
      <c r="M2479" s="9">
        <f t="shared" si="1"/>
        <v>55</v>
      </c>
    </row>
    <row r="2480" ht="12.75" customHeight="1">
      <c r="A2480" s="4">
        <f t="shared" si="2"/>
        <v>2479</v>
      </c>
      <c r="B2480" s="4" t="s">
        <v>5371</v>
      </c>
      <c r="C2480" s="5" t="s">
        <v>5372</v>
      </c>
      <c r="D2480" s="4"/>
      <c r="E2480" s="4"/>
      <c r="F2480" s="4" t="s">
        <v>22</v>
      </c>
      <c r="G2480" s="6">
        <v>38.92</v>
      </c>
      <c r="H2480" s="7" t="s">
        <v>1606</v>
      </c>
      <c r="I2480" s="4" t="s">
        <v>1574</v>
      </c>
      <c r="J2480" s="4" t="s">
        <v>2230</v>
      </c>
      <c r="K2480" s="8"/>
      <c r="L2480" s="8" t="s">
        <v>5318</v>
      </c>
      <c r="M2480" s="9">
        <f t="shared" si="1"/>
        <v>55</v>
      </c>
    </row>
    <row r="2481" ht="12.75" customHeight="1">
      <c r="A2481" s="4">
        <f t="shared" si="2"/>
        <v>2480</v>
      </c>
      <c r="B2481" s="4" t="s">
        <v>5373</v>
      </c>
      <c r="C2481" s="5" t="s">
        <v>5374</v>
      </c>
      <c r="D2481" s="4"/>
      <c r="E2481" s="4"/>
      <c r="F2481" s="4" t="s">
        <v>22</v>
      </c>
      <c r="G2481" s="6">
        <v>1.49</v>
      </c>
      <c r="H2481" s="7" t="s">
        <v>1606</v>
      </c>
      <c r="I2481" s="4" t="s">
        <v>1623</v>
      </c>
      <c r="J2481" s="4" t="s">
        <v>2230</v>
      </c>
      <c r="K2481" s="8"/>
      <c r="L2481" s="8" t="s">
        <v>2231</v>
      </c>
      <c r="M2481" s="9">
        <f t="shared" si="1"/>
        <v>49</v>
      </c>
    </row>
    <row r="2482" ht="12.75" customHeight="1">
      <c r="A2482" s="4">
        <f t="shared" si="2"/>
        <v>2481</v>
      </c>
      <c r="B2482" s="4" t="s">
        <v>5375</v>
      </c>
      <c r="C2482" s="5" t="s">
        <v>5376</v>
      </c>
      <c r="D2482" s="4"/>
      <c r="E2482" s="4"/>
      <c r="F2482" s="4" t="s">
        <v>22</v>
      </c>
      <c r="G2482" s="6">
        <v>2.84</v>
      </c>
      <c r="H2482" s="7" t="s">
        <v>1606</v>
      </c>
      <c r="I2482" s="4" t="s">
        <v>1623</v>
      </c>
      <c r="J2482" s="4" t="s">
        <v>2230</v>
      </c>
      <c r="K2482" s="8"/>
      <c r="L2482" s="8" t="s">
        <v>2231</v>
      </c>
      <c r="M2482" s="9">
        <f t="shared" si="1"/>
        <v>53</v>
      </c>
    </row>
    <row r="2483" ht="12.75" customHeight="1">
      <c r="A2483" s="4">
        <f t="shared" si="2"/>
        <v>2482</v>
      </c>
      <c r="B2483" s="4" t="s">
        <v>5377</v>
      </c>
      <c r="C2483" s="5" t="s">
        <v>5378</v>
      </c>
      <c r="D2483" s="4"/>
      <c r="E2483" s="4"/>
      <c r="F2483" s="4" t="s">
        <v>22</v>
      </c>
      <c r="G2483" s="6">
        <v>3.38</v>
      </c>
      <c r="H2483" s="7" t="s">
        <v>1606</v>
      </c>
      <c r="I2483" s="4" t="s">
        <v>1623</v>
      </c>
      <c r="J2483" s="4" t="s">
        <v>2230</v>
      </c>
      <c r="K2483" s="8"/>
      <c r="L2483" s="8" t="s">
        <v>2231</v>
      </c>
      <c r="M2483" s="9">
        <f t="shared" si="1"/>
        <v>53</v>
      </c>
    </row>
    <row r="2484" ht="12.75" customHeight="1">
      <c r="A2484" s="4">
        <f t="shared" si="2"/>
        <v>2483</v>
      </c>
      <c r="B2484" s="4" t="s">
        <v>5379</v>
      </c>
      <c r="C2484" s="5" t="s">
        <v>5380</v>
      </c>
      <c r="D2484" s="4"/>
      <c r="E2484" s="4"/>
      <c r="F2484" s="4" t="s">
        <v>22</v>
      </c>
      <c r="G2484" s="6">
        <v>2.7</v>
      </c>
      <c r="H2484" s="7" t="s">
        <v>1606</v>
      </c>
      <c r="I2484" s="4" t="s">
        <v>1623</v>
      </c>
      <c r="J2484" s="4" t="s">
        <v>2953</v>
      </c>
      <c r="K2484" s="8"/>
      <c r="L2484" s="8" t="s">
        <v>2231</v>
      </c>
      <c r="M2484" s="9">
        <f t="shared" si="1"/>
        <v>45</v>
      </c>
    </row>
    <row r="2485" ht="12.75" customHeight="1">
      <c r="A2485" s="4">
        <f t="shared" si="2"/>
        <v>2484</v>
      </c>
      <c r="B2485" s="4" t="s">
        <v>5381</v>
      </c>
      <c r="C2485" s="5" t="s">
        <v>5382</v>
      </c>
      <c r="D2485" s="4"/>
      <c r="E2485" s="4"/>
      <c r="F2485" s="4" t="s">
        <v>22</v>
      </c>
      <c r="G2485" s="6">
        <v>3.51</v>
      </c>
      <c r="H2485" s="7" t="s">
        <v>1606</v>
      </c>
      <c r="I2485" s="4" t="s">
        <v>1623</v>
      </c>
      <c r="J2485" s="4" t="s">
        <v>2230</v>
      </c>
      <c r="K2485" s="8"/>
      <c r="L2485" s="8" t="s">
        <v>2231</v>
      </c>
      <c r="M2485" s="9">
        <f t="shared" si="1"/>
        <v>49</v>
      </c>
    </row>
    <row r="2486" ht="12.75" customHeight="1">
      <c r="A2486" s="4">
        <f t="shared" si="2"/>
        <v>2485</v>
      </c>
      <c r="B2486" s="4" t="s">
        <v>5383</v>
      </c>
      <c r="C2486" s="5" t="s">
        <v>5384</v>
      </c>
      <c r="D2486" s="4"/>
      <c r="E2486" s="4"/>
      <c r="F2486" s="4" t="s">
        <v>22</v>
      </c>
      <c r="G2486" s="6">
        <v>5.95</v>
      </c>
      <c r="H2486" s="7" t="s">
        <v>1606</v>
      </c>
      <c r="I2486" s="4" t="s">
        <v>1623</v>
      </c>
      <c r="J2486" s="4" t="s">
        <v>2230</v>
      </c>
      <c r="K2486" s="8"/>
      <c r="L2486" s="8" t="s">
        <v>2231</v>
      </c>
      <c r="M2486" s="9">
        <f t="shared" si="1"/>
        <v>49</v>
      </c>
    </row>
    <row r="2487" ht="12.75" customHeight="1">
      <c r="A2487" s="4">
        <f t="shared" si="2"/>
        <v>2486</v>
      </c>
      <c r="B2487" s="4" t="s">
        <v>5385</v>
      </c>
      <c r="C2487" s="5" t="s">
        <v>5386</v>
      </c>
      <c r="D2487" s="4"/>
      <c r="E2487" s="4"/>
      <c r="F2487" s="4" t="s">
        <v>22</v>
      </c>
      <c r="G2487" s="6">
        <v>3.51</v>
      </c>
      <c r="H2487" s="7" t="s">
        <v>1606</v>
      </c>
      <c r="I2487" s="4" t="s">
        <v>1623</v>
      </c>
      <c r="J2487" s="4" t="s">
        <v>2230</v>
      </c>
      <c r="K2487" s="8"/>
      <c r="L2487" s="8" t="s">
        <v>2231</v>
      </c>
      <c r="M2487" s="9">
        <f t="shared" si="1"/>
        <v>49</v>
      </c>
    </row>
    <row r="2488" ht="12.75" customHeight="1">
      <c r="A2488" s="4">
        <f t="shared" si="2"/>
        <v>2487</v>
      </c>
      <c r="B2488" s="4" t="s">
        <v>5387</v>
      </c>
      <c r="C2488" s="5" t="s">
        <v>5388</v>
      </c>
      <c r="D2488" s="4"/>
      <c r="E2488" s="4"/>
      <c r="F2488" s="4" t="s">
        <v>22</v>
      </c>
      <c r="G2488" s="6">
        <v>36.49</v>
      </c>
      <c r="H2488" s="7" t="s">
        <v>1606</v>
      </c>
      <c r="I2488" s="4" t="s">
        <v>1623</v>
      </c>
      <c r="J2488" s="4" t="s">
        <v>2230</v>
      </c>
      <c r="K2488" s="8"/>
      <c r="L2488" s="8" t="s">
        <v>2231</v>
      </c>
      <c r="M2488" s="9">
        <f t="shared" si="1"/>
        <v>45</v>
      </c>
    </row>
    <row r="2489" ht="12.75" customHeight="1">
      <c r="A2489" s="4">
        <f t="shared" si="2"/>
        <v>2488</v>
      </c>
      <c r="B2489" s="4" t="s">
        <v>5389</v>
      </c>
      <c r="C2489" s="5" t="s">
        <v>5390</v>
      </c>
      <c r="D2489" s="4"/>
      <c r="E2489" s="4"/>
      <c r="F2489" s="4" t="s">
        <v>22</v>
      </c>
      <c r="G2489" s="6">
        <v>6.05</v>
      </c>
      <c r="H2489" s="7" t="s">
        <v>1606</v>
      </c>
      <c r="I2489" s="4" t="s">
        <v>1623</v>
      </c>
      <c r="J2489" s="4" t="s">
        <v>2230</v>
      </c>
      <c r="K2489" s="8"/>
      <c r="L2489" s="8" t="s">
        <v>2231</v>
      </c>
      <c r="M2489" s="9">
        <f t="shared" si="1"/>
        <v>49</v>
      </c>
    </row>
    <row r="2490" ht="12.75" customHeight="1">
      <c r="A2490" s="4">
        <f t="shared" si="2"/>
        <v>2489</v>
      </c>
      <c r="B2490" s="4" t="s">
        <v>5391</v>
      </c>
      <c r="C2490" s="5" t="s">
        <v>5392</v>
      </c>
      <c r="D2490" s="4"/>
      <c r="E2490" s="4"/>
      <c r="F2490" s="4" t="s">
        <v>22</v>
      </c>
      <c r="G2490" s="6">
        <v>8.51</v>
      </c>
      <c r="H2490" s="7" t="s">
        <v>1606</v>
      </c>
      <c r="I2490" s="4" t="s">
        <v>1623</v>
      </c>
      <c r="J2490" s="4" t="s">
        <v>2230</v>
      </c>
      <c r="K2490" s="8"/>
      <c r="L2490" s="8" t="s">
        <v>2231</v>
      </c>
      <c r="M2490" s="9">
        <f t="shared" si="1"/>
        <v>45</v>
      </c>
    </row>
    <row r="2491" ht="12.75" customHeight="1">
      <c r="A2491" s="4">
        <f t="shared" si="2"/>
        <v>2490</v>
      </c>
      <c r="B2491" s="4" t="s">
        <v>5393</v>
      </c>
      <c r="C2491" s="5" t="s">
        <v>5394</v>
      </c>
      <c r="D2491" s="4"/>
      <c r="E2491" s="4"/>
      <c r="F2491" s="4" t="s">
        <v>22</v>
      </c>
      <c r="G2491" s="6">
        <v>5.97</v>
      </c>
      <c r="H2491" s="7" t="s">
        <v>1606</v>
      </c>
      <c r="I2491" s="4" t="s">
        <v>1623</v>
      </c>
      <c r="J2491" s="4" t="s">
        <v>2230</v>
      </c>
      <c r="K2491" s="8"/>
      <c r="L2491" s="8" t="s">
        <v>2231</v>
      </c>
      <c r="M2491" s="9">
        <f t="shared" si="1"/>
        <v>45</v>
      </c>
    </row>
    <row r="2492" ht="12.75" customHeight="1">
      <c r="A2492" s="4">
        <f t="shared" si="2"/>
        <v>2491</v>
      </c>
      <c r="B2492" s="4" t="s">
        <v>5395</v>
      </c>
      <c r="C2492" s="5" t="s">
        <v>5396</v>
      </c>
      <c r="D2492" s="4"/>
      <c r="E2492" s="4"/>
      <c r="F2492" s="4" t="s">
        <v>22</v>
      </c>
      <c r="G2492" s="6">
        <v>1.7</v>
      </c>
      <c r="H2492" s="7" t="s">
        <v>1606</v>
      </c>
      <c r="I2492" s="4" t="s">
        <v>1623</v>
      </c>
      <c r="J2492" s="4" t="s">
        <v>3029</v>
      </c>
      <c r="K2492" s="8"/>
      <c r="L2492" s="8" t="s">
        <v>2623</v>
      </c>
      <c r="M2492" s="9">
        <f t="shared" si="1"/>
        <v>42</v>
      </c>
    </row>
    <row r="2493" ht="12.75" customHeight="1">
      <c r="A2493" s="4">
        <f t="shared" si="2"/>
        <v>2492</v>
      </c>
      <c r="B2493" s="4" t="s">
        <v>5397</v>
      </c>
      <c r="C2493" s="5" t="s">
        <v>5398</v>
      </c>
      <c r="D2493" s="4"/>
      <c r="E2493" s="4"/>
      <c r="F2493" s="4" t="s">
        <v>22</v>
      </c>
      <c r="G2493" s="6">
        <v>0.86</v>
      </c>
      <c r="H2493" s="7" t="s">
        <v>1606</v>
      </c>
      <c r="I2493" s="4" t="s">
        <v>1623</v>
      </c>
      <c r="J2493" s="4" t="s">
        <v>3029</v>
      </c>
      <c r="K2493" s="8"/>
      <c r="L2493" s="8" t="s">
        <v>2623</v>
      </c>
      <c r="M2493" s="9">
        <f t="shared" si="1"/>
        <v>44</v>
      </c>
    </row>
    <row r="2494" ht="12.75" customHeight="1">
      <c r="A2494" s="4">
        <f t="shared" si="2"/>
        <v>2493</v>
      </c>
      <c r="B2494" s="4" t="s">
        <v>5399</v>
      </c>
      <c r="C2494" s="5" t="s">
        <v>5400</v>
      </c>
      <c r="D2494" s="4"/>
      <c r="E2494" s="4"/>
      <c r="F2494" s="4" t="s">
        <v>22</v>
      </c>
      <c r="G2494" s="6">
        <v>42.37</v>
      </c>
      <c r="H2494" s="7" t="s">
        <v>1606</v>
      </c>
      <c r="I2494" s="4" t="s">
        <v>1623</v>
      </c>
      <c r="J2494" s="4" t="s">
        <v>2230</v>
      </c>
      <c r="K2494" s="8"/>
      <c r="L2494" s="8" t="s">
        <v>2231</v>
      </c>
      <c r="M2494" s="9">
        <f t="shared" si="1"/>
        <v>63</v>
      </c>
    </row>
    <row r="2495" ht="12.75" customHeight="1">
      <c r="A2495" s="4">
        <f t="shared" si="2"/>
        <v>2494</v>
      </c>
      <c r="B2495" s="4" t="s">
        <v>5401</v>
      </c>
      <c r="C2495" s="5" t="s">
        <v>5402</v>
      </c>
      <c r="D2495" s="4"/>
      <c r="E2495" s="4"/>
      <c r="F2495" s="4" t="s">
        <v>22</v>
      </c>
      <c r="G2495" s="6">
        <v>7.27</v>
      </c>
      <c r="H2495" s="7" t="s">
        <v>1606</v>
      </c>
      <c r="I2495" s="4" t="s">
        <v>1623</v>
      </c>
      <c r="J2495" s="4" t="s">
        <v>2230</v>
      </c>
      <c r="K2495" s="8"/>
      <c r="L2495" s="8" t="s">
        <v>2231</v>
      </c>
      <c r="M2495" s="9">
        <f t="shared" si="1"/>
        <v>62</v>
      </c>
    </row>
    <row r="2496" ht="12.75" customHeight="1">
      <c r="A2496" s="4">
        <f t="shared" si="2"/>
        <v>2495</v>
      </c>
      <c r="B2496" s="4" t="s">
        <v>5403</v>
      </c>
      <c r="C2496" s="5" t="s">
        <v>5404</v>
      </c>
      <c r="D2496" s="4"/>
      <c r="E2496" s="4"/>
      <c r="F2496" s="4" t="s">
        <v>22</v>
      </c>
      <c r="G2496" s="6">
        <v>1.54</v>
      </c>
      <c r="H2496" s="7" t="s">
        <v>1606</v>
      </c>
      <c r="I2496" s="4" t="s">
        <v>1623</v>
      </c>
      <c r="J2496" s="4" t="s">
        <v>3029</v>
      </c>
      <c r="K2496" s="8"/>
      <c r="L2496" s="8" t="s">
        <v>2623</v>
      </c>
      <c r="M2496" s="9">
        <f t="shared" si="1"/>
        <v>38</v>
      </c>
    </row>
    <row r="2497" ht="12.75" customHeight="1">
      <c r="A2497" s="4">
        <f t="shared" si="2"/>
        <v>2496</v>
      </c>
      <c r="B2497" s="4" t="s">
        <v>5405</v>
      </c>
      <c r="C2497" s="5" t="s">
        <v>5406</v>
      </c>
      <c r="D2497" s="4"/>
      <c r="E2497" s="4"/>
      <c r="F2497" s="4" t="s">
        <v>22</v>
      </c>
      <c r="G2497" s="6">
        <v>0.81</v>
      </c>
      <c r="H2497" s="7" t="s">
        <v>1606</v>
      </c>
      <c r="I2497" s="4" t="s">
        <v>1623</v>
      </c>
      <c r="J2497" s="4" t="s">
        <v>3029</v>
      </c>
      <c r="K2497" s="8"/>
      <c r="L2497" s="8" t="s">
        <v>2623</v>
      </c>
      <c r="M2497" s="9">
        <f t="shared" si="1"/>
        <v>40</v>
      </c>
    </row>
    <row r="2498" ht="12.75" customHeight="1">
      <c r="A2498" s="4">
        <f t="shared" si="2"/>
        <v>2497</v>
      </c>
      <c r="B2498" s="4" t="s">
        <v>5407</v>
      </c>
      <c r="C2498" s="5" t="s">
        <v>5408</v>
      </c>
      <c r="D2498" s="4"/>
      <c r="E2498" s="4"/>
      <c r="F2498" s="4" t="s">
        <v>22</v>
      </c>
      <c r="G2498" s="6">
        <v>2.14</v>
      </c>
      <c r="H2498" s="7" t="s">
        <v>1606</v>
      </c>
      <c r="I2498" s="4" t="s">
        <v>1623</v>
      </c>
      <c r="J2498" s="4" t="s">
        <v>3029</v>
      </c>
      <c r="K2498" s="8"/>
      <c r="L2498" s="8" t="s">
        <v>2623</v>
      </c>
      <c r="M2498" s="9">
        <f t="shared" si="1"/>
        <v>40</v>
      </c>
    </row>
    <row r="2499" ht="12.75" customHeight="1">
      <c r="A2499" s="4">
        <f t="shared" si="2"/>
        <v>2498</v>
      </c>
      <c r="B2499" s="4" t="s">
        <v>5409</v>
      </c>
      <c r="C2499" s="5" t="s">
        <v>5410</v>
      </c>
      <c r="D2499" s="4"/>
      <c r="E2499" s="4"/>
      <c r="F2499" s="4" t="s">
        <v>22</v>
      </c>
      <c r="G2499" s="6">
        <v>0.59</v>
      </c>
      <c r="H2499" s="7" t="s">
        <v>1606</v>
      </c>
      <c r="I2499" s="4" t="s">
        <v>1623</v>
      </c>
      <c r="J2499" s="4" t="s">
        <v>3029</v>
      </c>
      <c r="K2499" s="8"/>
      <c r="L2499" s="8" t="s">
        <v>2623</v>
      </c>
      <c r="M2499" s="9">
        <f t="shared" si="1"/>
        <v>36</v>
      </c>
    </row>
    <row r="2500" ht="12.75" customHeight="1">
      <c r="A2500" s="4">
        <f t="shared" si="2"/>
        <v>2499</v>
      </c>
      <c r="B2500" s="4" t="s">
        <v>5411</v>
      </c>
      <c r="C2500" s="5" t="s">
        <v>5412</v>
      </c>
      <c r="D2500" s="4"/>
      <c r="E2500" s="4"/>
      <c r="F2500" s="4" t="s">
        <v>22</v>
      </c>
      <c r="G2500" s="6">
        <v>0.89</v>
      </c>
      <c r="H2500" s="7" t="s">
        <v>1606</v>
      </c>
      <c r="I2500" s="4" t="s">
        <v>1623</v>
      </c>
      <c r="J2500" s="4" t="s">
        <v>3029</v>
      </c>
      <c r="K2500" s="8"/>
      <c r="L2500" s="8" t="s">
        <v>2623</v>
      </c>
      <c r="M2500" s="9">
        <f t="shared" si="1"/>
        <v>36</v>
      </c>
    </row>
    <row r="2501" ht="12.75" customHeight="1">
      <c r="A2501" s="4">
        <f t="shared" si="2"/>
        <v>2500</v>
      </c>
      <c r="B2501" s="4" t="s">
        <v>5413</v>
      </c>
      <c r="C2501" s="5" t="s">
        <v>5414</v>
      </c>
      <c r="D2501" s="4"/>
      <c r="E2501" s="4"/>
      <c r="F2501" s="4" t="s">
        <v>22</v>
      </c>
      <c r="G2501" s="6">
        <v>3.81</v>
      </c>
      <c r="H2501" s="7" t="s">
        <v>1606</v>
      </c>
      <c r="I2501" s="4" t="s">
        <v>1623</v>
      </c>
      <c r="J2501" s="4" t="s">
        <v>3029</v>
      </c>
      <c r="K2501" s="8"/>
      <c r="L2501" s="8" t="s">
        <v>2623</v>
      </c>
      <c r="M2501" s="9">
        <f t="shared" si="1"/>
        <v>38</v>
      </c>
    </row>
    <row r="2502" ht="12.75" customHeight="1">
      <c r="A2502" s="4">
        <f t="shared" si="2"/>
        <v>2501</v>
      </c>
      <c r="B2502" s="4" t="s">
        <v>5415</v>
      </c>
      <c r="C2502" s="5" t="s">
        <v>5416</v>
      </c>
      <c r="D2502" s="4"/>
      <c r="E2502" s="4"/>
      <c r="F2502" s="4" t="s">
        <v>22</v>
      </c>
      <c r="G2502" s="6">
        <v>4.03</v>
      </c>
      <c r="H2502" s="7" t="s">
        <v>1606</v>
      </c>
      <c r="I2502" s="4" t="s">
        <v>1623</v>
      </c>
      <c r="J2502" s="4" t="s">
        <v>3029</v>
      </c>
      <c r="K2502" s="8"/>
      <c r="L2502" s="8" t="s">
        <v>2623</v>
      </c>
      <c r="M2502" s="9">
        <f t="shared" si="1"/>
        <v>34</v>
      </c>
    </row>
    <row r="2503" ht="12.75" customHeight="1">
      <c r="A2503" s="4">
        <f t="shared" si="2"/>
        <v>2502</v>
      </c>
      <c r="B2503" s="4" t="s">
        <v>5417</v>
      </c>
      <c r="C2503" s="5" t="s">
        <v>5418</v>
      </c>
      <c r="D2503" s="4"/>
      <c r="E2503" s="4"/>
      <c r="F2503" s="4" t="s">
        <v>22</v>
      </c>
      <c r="G2503" s="6">
        <v>3.22</v>
      </c>
      <c r="H2503" s="7" t="s">
        <v>1606</v>
      </c>
      <c r="I2503" s="4" t="s">
        <v>1623</v>
      </c>
      <c r="J2503" s="4" t="s">
        <v>3029</v>
      </c>
      <c r="K2503" s="8"/>
      <c r="L2503" s="8" t="s">
        <v>2623</v>
      </c>
      <c r="M2503" s="9">
        <f t="shared" si="1"/>
        <v>36</v>
      </c>
    </row>
    <row r="2504" ht="12.75" customHeight="1">
      <c r="A2504" s="4">
        <f t="shared" si="2"/>
        <v>2503</v>
      </c>
      <c r="B2504" s="4" t="s">
        <v>5419</v>
      </c>
      <c r="C2504" s="5" t="s">
        <v>5420</v>
      </c>
      <c r="D2504" s="4"/>
      <c r="E2504" s="4"/>
      <c r="F2504" s="4" t="s">
        <v>22</v>
      </c>
      <c r="G2504" s="6">
        <v>9.7</v>
      </c>
      <c r="H2504" s="7" t="s">
        <v>1606</v>
      </c>
      <c r="I2504" s="4" t="s">
        <v>1623</v>
      </c>
      <c r="J2504" s="4" t="s">
        <v>3029</v>
      </c>
      <c r="K2504" s="8"/>
      <c r="L2504" s="8" t="s">
        <v>2623</v>
      </c>
      <c r="M2504" s="9">
        <f t="shared" si="1"/>
        <v>34</v>
      </c>
    </row>
    <row r="2505" ht="12.75" customHeight="1">
      <c r="A2505" s="4">
        <f t="shared" si="2"/>
        <v>2504</v>
      </c>
      <c r="B2505" s="4" t="s">
        <v>5421</v>
      </c>
      <c r="C2505" s="5" t="s">
        <v>5422</v>
      </c>
      <c r="D2505" s="4"/>
      <c r="E2505" s="4"/>
      <c r="F2505" s="4" t="s">
        <v>22</v>
      </c>
      <c r="G2505" s="6">
        <v>0.57</v>
      </c>
      <c r="H2505" s="7" t="s">
        <v>1606</v>
      </c>
      <c r="I2505" s="4" t="s">
        <v>1623</v>
      </c>
      <c r="J2505" s="4" t="s">
        <v>3029</v>
      </c>
      <c r="K2505" s="8"/>
      <c r="L2505" s="8" t="s">
        <v>2623</v>
      </c>
      <c r="M2505" s="9">
        <f t="shared" si="1"/>
        <v>38</v>
      </c>
    </row>
    <row r="2506" ht="12.75" customHeight="1">
      <c r="A2506" s="4">
        <f t="shared" si="2"/>
        <v>2505</v>
      </c>
      <c r="B2506" s="4" t="s">
        <v>5423</v>
      </c>
      <c r="C2506" s="5" t="s">
        <v>5424</v>
      </c>
      <c r="D2506" s="4"/>
      <c r="E2506" s="4"/>
      <c r="F2506" s="4" t="s">
        <v>22</v>
      </c>
      <c r="G2506" s="6">
        <v>13.84</v>
      </c>
      <c r="H2506" s="7" t="s">
        <v>1606</v>
      </c>
      <c r="I2506" s="4" t="s">
        <v>1623</v>
      </c>
      <c r="J2506" s="4" t="s">
        <v>3029</v>
      </c>
      <c r="K2506" s="8"/>
      <c r="L2506" s="8" t="s">
        <v>2623</v>
      </c>
      <c r="M2506" s="9">
        <f t="shared" si="1"/>
        <v>34</v>
      </c>
    </row>
    <row r="2507" ht="12.75" customHeight="1">
      <c r="A2507" s="4">
        <f t="shared" si="2"/>
        <v>2506</v>
      </c>
      <c r="B2507" s="4" t="s">
        <v>5425</v>
      </c>
      <c r="C2507" s="5" t="s">
        <v>5426</v>
      </c>
      <c r="D2507" s="4"/>
      <c r="E2507" s="4"/>
      <c r="F2507" s="4" t="s">
        <v>22</v>
      </c>
      <c r="G2507" s="6">
        <v>2.33</v>
      </c>
      <c r="H2507" s="7" t="s">
        <v>1606</v>
      </c>
      <c r="I2507" s="4" t="s">
        <v>1623</v>
      </c>
      <c r="J2507" s="4" t="s">
        <v>3029</v>
      </c>
      <c r="K2507" s="8"/>
      <c r="L2507" s="8" t="s">
        <v>2623</v>
      </c>
      <c r="M2507" s="9">
        <f t="shared" si="1"/>
        <v>25</v>
      </c>
    </row>
    <row r="2508" ht="12.75" customHeight="1">
      <c r="A2508" s="4">
        <f t="shared" si="2"/>
        <v>2507</v>
      </c>
      <c r="B2508" s="4" t="s">
        <v>5427</v>
      </c>
      <c r="C2508" s="5" t="s">
        <v>5428</v>
      </c>
      <c r="D2508" s="4"/>
      <c r="E2508" s="4"/>
      <c r="F2508" s="4" t="s">
        <v>22</v>
      </c>
      <c r="G2508" s="6">
        <v>22.97</v>
      </c>
      <c r="H2508" s="7" t="s">
        <v>1606</v>
      </c>
      <c r="I2508" s="4" t="s">
        <v>1574</v>
      </c>
      <c r="J2508" s="4" t="s">
        <v>1575</v>
      </c>
      <c r="K2508" s="8"/>
      <c r="L2508" s="8" t="s">
        <v>1576</v>
      </c>
      <c r="M2508" s="9">
        <f t="shared" si="1"/>
        <v>36</v>
      </c>
    </row>
    <row r="2509" ht="12.75" customHeight="1">
      <c r="A2509" s="4">
        <f t="shared" si="2"/>
        <v>2508</v>
      </c>
      <c r="B2509" s="4" t="s">
        <v>5429</v>
      </c>
      <c r="C2509" s="5" t="s">
        <v>5430</v>
      </c>
      <c r="D2509" s="4"/>
      <c r="E2509" s="4"/>
      <c r="F2509" s="4" t="s">
        <v>22</v>
      </c>
      <c r="G2509" s="6">
        <v>108.11</v>
      </c>
      <c r="H2509" s="7" t="s">
        <v>1606</v>
      </c>
      <c r="I2509" s="4" t="s">
        <v>1704</v>
      </c>
      <c r="J2509" s="4" t="s">
        <v>736</v>
      </c>
      <c r="K2509" s="8"/>
      <c r="L2509" s="8" t="s">
        <v>33</v>
      </c>
      <c r="M2509" s="9">
        <f t="shared" si="1"/>
        <v>55</v>
      </c>
    </row>
    <row r="2510" ht="12.75" customHeight="1">
      <c r="A2510" s="4">
        <f t="shared" si="2"/>
        <v>2509</v>
      </c>
      <c r="B2510" s="4" t="s">
        <v>5431</v>
      </c>
      <c r="C2510" s="5" t="s">
        <v>5432</v>
      </c>
      <c r="D2510" s="4"/>
      <c r="E2510" s="4"/>
      <c r="F2510" s="4" t="s">
        <v>22</v>
      </c>
      <c r="G2510" s="6">
        <v>68.94</v>
      </c>
      <c r="H2510" s="7" t="s">
        <v>1606</v>
      </c>
      <c r="I2510" s="4" t="s">
        <v>1704</v>
      </c>
      <c r="J2510" s="4" t="s">
        <v>736</v>
      </c>
      <c r="K2510" s="8"/>
      <c r="L2510" s="8" t="s">
        <v>33</v>
      </c>
      <c r="M2510" s="9">
        <f t="shared" si="1"/>
        <v>51</v>
      </c>
    </row>
    <row r="2511" ht="12.75" customHeight="1">
      <c r="A2511" s="4">
        <f t="shared" si="2"/>
        <v>2510</v>
      </c>
      <c r="B2511" s="4" t="s">
        <v>5433</v>
      </c>
      <c r="C2511" s="5" t="s">
        <v>5434</v>
      </c>
      <c r="D2511" s="4"/>
      <c r="E2511" s="4"/>
      <c r="F2511" s="4" t="s">
        <v>22</v>
      </c>
      <c r="G2511" s="6">
        <v>1.14</v>
      </c>
      <c r="H2511" s="7" t="s">
        <v>1606</v>
      </c>
      <c r="I2511" s="4" t="s">
        <v>1773</v>
      </c>
      <c r="J2511" s="4" t="s">
        <v>1774</v>
      </c>
      <c r="K2511" s="8"/>
      <c r="L2511" s="8" t="s">
        <v>2097</v>
      </c>
      <c r="M2511" s="9">
        <f t="shared" si="1"/>
        <v>23</v>
      </c>
    </row>
    <row r="2512" ht="12.75" customHeight="1">
      <c r="A2512" s="4">
        <f t="shared" si="2"/>
        <v>2511</v>
      </c>
      <c r="B2512" s="4" t="s">
        <v>5435</v>
      </c>
      <c r="C2512" s="5" t="s">
        <v>5436</v>
      </c>
      <c r="D2512" s="4"/>
      <c r="E2512" s="4"/>
      <c r="F2512" s="4" t="s">
        <v>22</v>
      </c>
      <c r="G2512" s="6">
        <v>5.95</v>
      </c>
      <c r="H2512" s="7" t="s">
        <v>1606</v>
      </c>
      <c r="I2512" s="4" t="s">
        <v>1869</v>
      </c>
      <c r="J2512" s="4" t="s">
        <v>5437</v>
      </c>
      <c r="K2512" s="8"/>
      <c r="L2512" s="8" t="s">
        <v>33</v>
      </c>
      <c r="M2512" s="9">
        <f t="shared" si="1"/>
        <v>31</v>
      </c>
    </row>
    <row r="2513" ht="12.75" customHeight="1">
      <c r="A2513" s="4">
        <f t="shared" si="2"/>
        <v>2512</v>
      </c>
      <c r="B2513" s="4" t="s">
        <v>5438</v>
      </c>
      <c r="C2513" s="5" t="s">
        <v>5439</v>
      </c>
      <c r="D2513" s="4"/>
      <c r="E2513" s="4"/>
      <c r="F2513" s="4" t="s">
        <v>22</v>
      </c>
      <c r="G2513" s="6">
        <v>5.95</v>
      </c>
      <c r="H2513" s="7" t="s">
        <v>1606</v>
      </c>
      <c r="I2513" s="4" t="s">
        <v>1869</v>
      </c>
      <c r="J2513" s="4" t="s">
        <v>5437</v>
      </c>
      <c r="K2513" s="8"/>
      <c r="L2513" s="8" t="s">
        <v>33</v>
      </c>
      <c r="M2513" s="9">
        <f t="shared" si="1"/>
        <v>33</v>
      </c>
    </row>
    <row r="2514" ht="12.75" customHeight="1">
      <c r="A2514" s="4">
        <f t="shared" si="2"/>
        <v>2513</v>
      </c>
      <c r="B2514" s="4" t="s">
        <v>5440</v>
      </c>
      <c r="C2514" s="5" t="s">
        <v>5441</v>
      </c>
      <c r="D2514" s="4"/>
      <c r="E2514" s="4"/>
      <c r="F2514" s="4" t="s">
        <v>22</v>
      </c>
      <c r="G2514" s="6">
        <v>5.95</v>
      </c>
      <c r="H2514" s="7" t="s">
        <v>1606</v>
      </c>
      <c r="I2514" s="4" t="s">
        <v>1869</v>
      </c>
      <c r="J2514" s="4" t="s">
        <v>5437</v>
      </c>
      <c r="K2514" s="8"/>
      <c r="L2514" s="8" t="s">
        <v>33</v>
      </c>
      <c r="M2514" s="9">
        <f t="shared" si="1"/>
        <v>33</v>
      </c>
    </row>
    <row r="2515" ht="12.75" customHeight="1">
      <c r="A2515" s="4">
        <f t="shared" si="2"/>
        <v>2514</v>
      </c>
      <c r="B2515" s="4" t="s">
        <v>5442</v>
      </c>
      <c r="C2515" s="5" t="s">
        <v>5443</v>
      </c>
      <c r="D2515" s="4"/>
      <c r="E2515" s="4"/>
      <c r="F2515" s="4" t="s">
        <v>22</v>
      </c>
      <c r="G2515" s="6">
        <v>4.05</v>
      </c>
      <c r="H2515" s="7" t="s">
        <v>1606</v>
      </c>
      <c r="I2515" s="4" t="s">
        <v>1869</v>
      </c>
      <c r="J2515" s="4" t="s">
        <v>5437</v>
      </c>
      <c r="K2515" s="8"/>
      <c r="L2515" s="8" t="s">
        <v>33</v>
      </c>
      <c r="M2515" s="9">
        <f t="shared" si="1"/>
        <v>31</v>
      </c>
    </row>
    <row r="2516" ht="12.75" customHeight="1">
      <c r="A2516" s="4">
        <f t="shared" si="2"/>
        <v>2515</v>
      </c>
      <c r="B2516" s="4" t="s">
        <v>5444</v>
      </c>
      <c r="C2516" s="5" t="s">
        <v>5445</v>
      </c>
      <c r="D2516" s="4"/>
      <c r="E2516" s="4"/>
      <c r="F2516" s="4" t="s">
        <v>22</v>
      </c>
      <c r="G2516" s="6">
        <v>4.05</v>
      </c>
      <c r="H2516" s="7" t="s">
        <v>1606</v>
      </c>
      <c r="I2516" s="4" t="s">
        <v>1869</v>
      </c>
      <c r="J2516" s="4" t="s">
        <v>5437</v>
      </c>
      <c r="K2516" s="8"/>
      <c r="L2516" s="8" t="s">
        <v>33</v>
      </c>
      <c r="M2516" s="9">
        <f t="shared" si="1"/>
        <v>33</v>
      </c>
    </row>
    <row r="2517" ht="12.75" customHeight="1">
      <c r="A2517" s="4">
        <f t="shared" si="2"/>
        <v>2516</v>
      </c>
      <c r="B2517" s="4" t="s">
        <v>5446</v>
      </c>
      <c r="C2517" s="5" t="s">
        <v>5447</v>
      </c>
      <c r="D2517" s="4"/>
      <c r="E2517" s="4"/>
      <c r="F2517" s="4" t="s">
        <v>22</v>
      </c>
      <c r="G2517" s="6">
        <v>4.05</v>
      </c>
      <c r="H2517" s="7" t="s">
        <v>1606</v>
      </c>
      <c r="I2517" s="4" t="s">
        <v>1869</v>
      </c>
      <c r="J2517" s="4" t="s">
        <v>5437</v>
      </c>
      <c r="K2517" s="8"/>
      <c r="L2517" s="8" t="s">
        <v>33</v>
      </c>
      <c r="M2517" s="9">
        <f t="shared" si="1"/>
        <v>33</v>
      </c>
    </row>
    <row r="2518" ht="12.75" customHeight="1">
      <c r="A2518" s="4">
        <f t="shared" si="2"/>
        <v>2517</v>
      </c>
      <c r="B2518" s="4" t="s">
        <v>5448</v>
      </c>
      <c r="C2518" s="5" t="s">
        <v>5449</v>
      </c>
      <c r="D2518" s="4"/>
      <c r="E2518" s="4"/>
      <c r="F2518" s="4" t="s">
        <v>22</v>
      </c>
      <c r="G2518" s="6">
        <v>4.86</v>
      </c>
      <c r="H2518" s="7" t="s">
        <v>1606</v>
      </c>
      <c r="I2518" s="4" t="s">
        <v>1869</v>
      </c>
      <c r="J2518" s="4" t="s">
        <v>5437</v>
      </c>
      <c r="K2518" s="8"/>
      <c r="L2518" s="8" t="s">
        <v>33</v>
      </c>
      <c r="M2518" s="9">
        <f t="shared" si="1"/>
        <v>32</v>
      </c>
    </row>
    <row r="2519" ht="12.75" customHeight="1">
      <c r="A2519" s="4">
        <f t="shared" si="2"/>
        <v>2518</v>
      </c>
      <c r="B2519" s="4" t="s">
        <v>5450</v>
      </c>
      <c r="C2519" s="5" t="s">
        <v>5451</v>
      </c>
      <c r="D2519" s="4"/>
      <c r="E2519" s="4"/>
      <c r="F2519" s="4" t="s">
        <v>22</v>
      </c>
      <c r="G2519" s="6">
        <v>4.86</v>
      </c>
      <c r="H2519" s="7" t="s">
        <v>1606</v>
      </c>
      <c r="I2519" s="4" t="s">
        <v>1869</v>
      </c>
      <c r="J2519" s="4" t="s">
        <v>5437</v>
      </c>
      <c r="K2519" s="8"/>
      <c r="L2519" s="8" t="s">
        <v>33</v>
      </c>
      <c r="M2519" s="9">
        <f t="shared" si="1"/>
        <v>34</v>
      </c>
    </row>
    <row r="2520" ht="12.75" customHeight="1">
      <c r="A2520" s="4">
        <f t="shared" si="2"/>
        <v>2519</v>
      </c>
      <c r="B2520" s="4" t="s">
        <v>5452</v>
      </c>
      <c r="C2520" s="5" t="s">
        <v>5453</v>
      </c>
      <c r="D2520" s="4"/>
      <c r="E2520" s="4"/>
      <c r="F2520" s="4" t="s">
        <v>22</v>
      </c>
      <c r="G2520" s="6">
        <v>4.86</v>
      </c>
      <c r="H2520" s="7" t="s">
        <v>1606</v>
      </c>
      <c r="I2520" s="4" t="s">
        <v>1869</v>
      </c>
      <c r="J2520" s="4" t="s">
        <v>5437</v>
      </c>
      <c r="K2520" s="8"/>
      <c r="L2520" s="8" t="s">
        <v>33</v>
      </c>
      <c r="M2520" s="9">
        <f t="shared" si="1"/>
        <v>33</v>
      </c>
    </row>
    <row r="2521" ht="12.75" customHeight="1">
      <c r="A2521" s="4">
        <f t="shared" si="2"/>
        <v>2520</v>
      </c>
      <c r="B2521" s="4" t="s">
        <v>5454</v>
      </c>
      <c r="C2521" s="5" t="s">
        <v>5455</v>
      </c>
      <c r="D2521" s="4"/>
      <c r="E2521" s="4"/>
      <c r="F2521" s="4" t="s">
        <v>22</v>
      </c>
      <c r="G2521" s="6">
        <v>4.46</v>
      </c>
      <c r="H2521" s="7" t="s">
        <v>1606</v>
      </c>
      <c r="I2521" s="4" t="s">
        <v>1869</v>
      </c>
      <c r="J2521" s="4" t="s">
        <v>5437</v>
      </c>
      <c r="K2521" s="8"/>
      <c r="L2521" s="8" t="s">
        <v>33</v>
      </c>
      <c r="M2521" s="9">
        <f t="shared" si="1"/>
        <v>32</v>
      </c>
    </row>
    <row r="2522" ht="12.75" customHeight="1">
      <c r="A2522" s="4">
        <f t="shared" si="2"/>
        <v>2521</v>
      </c>
      <c r="B2522" s="4" t="s">
        <v>5456</v>
      </c>
      <c r="C2522" s="5" t="s">
        <v>5457</v>
      </c>
      <c r="D2522" s="4"/>
      <c r="E2522" s="4"/>
      <c r="F2522" s="4" t="s">
        <v>22</v>
      </c>
      <c r="G2522" s="6">
        <v>4.46</v>
      </c>
      <c r="H2522" s="7" t="s">
        <v>1606</v>
      </c>
      <c r="I2522" s="4" t="s">
        <v>1869</v>
      </c>
      <c r="J2522" s="4" t="s">
        <v>5437</v>
      </c>
      <c r="K2522" s="8"/>
      <c r="L2522" s="8" t="s">
        <v>33</v>
      </c>
      <c r="M2522" s="9">
        <f t="shared" si="1"/>
        <v>34</v>
      </c>
    </row>
    <row r="2523" ht="12.75" customHeight="1">
      <c r="A2523" s="4">
        <f t="shared" si="2"/>
        <v>2522</v>
      </c>
      <c r="B2523" s="4" t="s">
        <v>5458</v>
      </c>
      <c r="C2523" s="5" t="s">
        <v>5459</v>
      </c>
      <c r="D2523" s="4"/>
      <c r="E2523" s="4"/>
      <c r="F2523" s="4" t="s">
        <v>22</v>
      </c>
      <c r="G2523" s="6">
        <v>4.46</v>
      </c>
      <c r="H2523" s="7" t="s">
        <v>1606</v>
      </c>
      <c r="I2523" s="4" t="s">
        <v>1869</v>
      </c>
      <c r="J2523" s="4" t="s">
        <v>5437</v>
      </c>
      <c r="K2523" s="8"/>
      <c r="L2523" s="8" t="s">
        <v>33</v>
      </c>
      <c r="M2523" s="9">
        <f t="shared" si="1"/>
        <v>34</v>
      </c>
    </row>
    <row r="2524" ht="12.75" customHeight="1">
      <c r="A2524" s="4">
        <f t="shared" si="2"/>
        <v>2523</v>
      </c>
      <c r="B2524" s="4" t="s">
        <v>5460</v>
      </c>
      <c r="C2524" s="5" t="s">
        <v>5461</v>
      </c>
      <c r="D2524" s="4"/>
      <c r="E2524" s="4"/>
      <c r="F2524" s="4" t="s">
        <v>22</v>
      </c>
      <c r="G2524" s="6">
        <v>21.57</v>
      </c>
      <c r="H2524" s="7" t="s">
        <v>1606</v>
      </c>
      <c r="I2524" s="4" t="s">
        <v>1697</v>
      </c>
      <c r="J2524" s="4" t="s">
        <v>1698</v>
      </c>
      <c r="K2524" s="8"/>
      <c r="L2524" s="8" t="s">
        <v>1701</v>
      </c>
      <c r="M2524" s="9">
        <f t="shared" si="1"/>
        <v>26</v>
      </c>
    </row>
    <row r="2525" ht="12.75" customHeight="1">
      <c r="A2525" s="4">
        <f t="shared" si="2"/>
        <v>2524</v>
      </c>
      <c r="B2525" s="4" t="s">
        <v>5462</v>
      </c>
      <c r="C2525" s="5" t="s">
        <v>5463</v>
      </c>
      <c r="D2525" s="4"/>
      <c r="E2525" s="4"/>
      <c r="F2525" s="4" t="s">
        <v>22</v>
      </c>
      <c r="G2525" s="6">
        <v>18.35</v>
      </c>
      <c r="H2525" s="7" t="s">
        <v>1606</v>
      </c>
      <c r="I2525" s="4" t="s">
        <v>2423</v>
      </c>
      <c r="J2525" s="4" t="s">
        <v>2424</v>
      </c>
      <c r="K2525" s="8"/>
      <c r="L2525" s="8" t="s">
        <v>5464</v>
      </c>
      <c r="M2525" s="9">
        <f t="shared" si="1"/>
        <v>35</v>
      </c>
    </row>
    <row r="2526" ht="12.75" customHeight="1">
      <c r="A2526" s="4">
        <f t="shared" si="2"/>
        <v>2525</v>
      </c>
      <c r="B2526" s="4" t="s">
        <v>5465</v>
      </c>
      <c r="C2526" s="5" t="s">
        <v>5466</v>
      </c>
      <c r="D2526" s="4"/>
      <c r="E2526" s="4"/>
      <c r="F2526" s="4" t="s">
        <v>22</v>
      </c>
      <c r="G2526" s="6">
        <v>1.35</v>
      </c>
      <c r="H2526" s="7" t="s">
        <v>1606</v>
      </c>
      <c r="I2526" s="4" t="s">
        <v>1794</v>
      </c>
      <c r="J2526" s="4" t="s">
        <v>165</v>
      </c>
      <c r="K2526" s="8"/>
      <c r="L2526" s="8" t="s">
        <v>33</v>
      </c>
      <c r="M2526" s="9">
        <f t="shared" si="1"/>
        <v>33</v>
      </c>
    </row>
    <row r="2527" ht="12.75" customHeight="1">
      <c r="A2527" s="4">
        <f t="shared" si="2"/>
        <v>2526</v>
      </c>
      <c r="B2527" s="4" t="s">
        <v>5467</v>
      </c>
      <c r="C2527" s="5" t="s">
        <v>5468</v>
      </c>
      <c r="D2527" s="4"/>
      <c r="E2527" s="4"/>
      <c r="F2527" s="4" t="s">
        <v>22</v>
      </c>
      <c r="G2527" s="6">
        <v>0.42</v>
      </c>
      <c r="H2527" s="7" t="s">
        <v>1606</v>
      </c>
      <c r="I2527" s="4" t="s">
        <v>1773</v>
      </c>
      <c r="J2527" s="4" t="s">
        <v>1774</v>
      </c>
      <c r="K2527" s="8"/>
      <c r="L2527" s="8" t="s">
        <v>2097</v>
      </c>
      <c r="M2527" s="9">
        <f t="shared" si="1"/>
        <v>25</v>
      </c>
    </row>
    <row r="2528" ht="12.75" customHeight="1">
      <c r="A2528" s="4">
        <f t="shared" si="2"/>
        <v>2527</v>
      </c>
      <c r="B2528" s="4" t="s">
        <v>5469</v>
      </c>
      <c r="C2528" s="5" t="s">
        <v>5470</v>
      </c>
      <c r="D2528" s="4"/>
      <c r="E2528" s="4"/>
      <c r="F2528" s="4" t="s">
        <v>22</v>
      </c>
      <c r="G2528" s="6">
        <v>0.42</v>
      </c>
      <c r="H2528" s="7" t="s">
        <v>1606</v>
      </c>
      <c r="I2528" s="4" t="s">
        <v>1773</v>
      </c>
      <c r="J2528" s="4" t="s">
        <v>1774</v>
      </c>
      <c r="K2528" s="8"/>
      <c r="L2528" s="8" t="s">
        <v>2097</v>
      </c>
      <c r="M2528" s="9">
        <f t="shared" si="1"/>
        <v>24</v>
      </c>
    </row>
    <row r="2529" ht="12.75" customHeight="1">
      <c r="A2529" s="4">
        <f t="shared" si="2"/>
        <v>2528</v>
      </c>
      <c r="B2529" s="4" t="s">
        <v>5471</v>
      </c>
      <c r="C2529" s="5" t="s">
        <v>5472</v>
      </c>
      <c r="D2529" s="4"/>
      <c r="E2529" s="4"/>
      <c r="F2529" s="4" t="s">
        <v>22</v>
      </c>
      <c r="G2529" s="6">
        <v>0.42</v>
      </c>
      <c r="H2529" s="7" t="s">
        <v>1606</v>
      </c>
      <c r="I2529" s="4" t="s">
        <v>1773</v>
      </c>
      <c r="J2529" s="4" t="s">
        <v>1774</v>
      </c>
      <c r="K2529" s="8"/>
      <c r="L2529" s="8" t="s">
        <v>2097</v>
      </c>
      <c r="M2529" s="9">
        <f t="shared" si="1"/>
        <v>22</v>
      </c>
    </row>
    <row r="2530" ht="12.75" customHeight="1">
      <c r="A2530" s="4">
        <f t="shared" si="2"/>
        <v>2529</v>
      </c>
      <c r="B2530" s="4" t="s">
        <v>5473</v>
      </c>
      <c r="C2530" s="5" t="s">
        <v>5474</v>
      </c>
      <c r="D2530" s="4"/>
      <c r="E2530" s="4"/>
      <c r="F2530" s="4" t="s">
        <v>22</v>
      </c>
      <c r="G2530" s="6">
        <v>17.7</v>
      </c>
      <c r="H2530" s="7" t="s">
        <v>1606</v>
      </c>
      <c r="I2530" s="4" t="s">
        <v>1697</v>
      </c>
      <c r="J2530" s="4" t="s">
        <v>1811</v>
      </c>
      <c r="K2530" s="8"/>
      <c r="L2530" s="8" t="s">
        <v>1509</v>
      </c>
      <c r="M2530" s="9">
        <f t="shared" si="1"/>
        <v>42</v>
      </c>
    </row>
    <row r="2531" ht="12.75" customHeight="1">
      <c r="A2531" s="4">
        <f t="shared" si="2"/>
        <v>2530</v>
      </c>
      <c r="B2531" s="4" t="s">
        <v>5475</v>
      </c>
      <c r="C2531" s="5" t="s">
        <v>5476</v>
      </c>
      <c r="D2531" s="4"/>
      <c r="E2531" s="4"/>
      <c r="F2531" s="4" t="s">
        <v>22</v>
      </c>
      <c r="G2531" s="6">
        <v>2.3</v>
      </c>
      <c r="H2531" s="7" t="s">
        <v>1606</v>
      </c>
      <c r="I2531" s="4" t="s">
        <v>1574</v>
      </c>
      <c r="J2531" s="4" t="s">
        <v>830</v>
      </c>
      <c r="K2531" s="8"/>
      <c r="L2531" s="8" t="s">
        <v>5477</v>
      </c>
      <c r="M2531" s="9">
        <f t="shared" si="1"/>
        <v>25</v>
      </c>
    </row>
    <row r="2532" ht="12.75" customHeight="1">
      <c r="A2532" s="4">
        <f t="shared" si="2"/>
        <v>2531</v>
      </c>
      <c r="B2532" s="4" t="s">
        <v>5478</v>
      </c>
      <c r="C2532" s="5" t="s">
        <v>5479</v>
      </c>
      <c r="D2532" s="4"/>
      <c r="E2532" s="4"/>
      <c r="F2532" s="4" t="s">
        <v>22</v>
      </c>
      <c r="G2532" s="6">
        <v>3.76</v>
      </c>
      <c r="H2532" s="7" t="s">
        <v>1606</v>
      </c>
      <c r="I2532" s="4" t="s">
        <v>2028</v>
      </c>
      <c r="J2532" s="4" t="s">
        <v>2029</v>
      </c>
      <c r="K2532" s="8"/>
      <c r="L2532" s="8" t="s">
        <v>5480</v>
      </c>
      <c r="M2532" s="9">
        <f t="shared" si="1"/>
        <v>27</v>
      </c>
    </row>
    <row r="2533" ht="12.75" customHeight="1">
      <c r="A2533" s="4">
        <f t="shared" si="2"/>
        <v>2532</v>
      </c>
      <c r="B2533" s="4" t="s">
        <v>5481</v>
      </c>
      <c r="C2533" s="5" t="s">
        <v>5482</v>
      </c>
      <c r="D2533" s="4"/>
      <c r="E2533" s="4"/>
      <c r="F2533" s="4" t="s">
        <v>22</v>
      </c>
      <c r="G2533" s="6">
        <v>4.32</v>
      </c>
      <c r="H2533" s="7" t="s">
        <v>1606</v>
      </c>
      <c r="I2533" s="4" t="s">
        <v>2028</v>
      </c>
      <c r="J2533" s="4" t="s">
        <v>2029</v>
      </c>
      <c r="K2533" s="8"/>
      <c r="L2533" s="8" t="s">
        <v>5480</v>
      </c>
      <c r="M2533" s="9">
        <f t="shared" si="1"/>
        <v>27</v>
      </c>
    </row>
    <row r="2534" ht="12.75" customHeight="1">
      <c r="A2534" s="4">
        <f t="shared" si="2"/>
        <v>2533</v>
      </c>
      <c r="B2534" s="4" t="s">
        <v>5483</v>
      </c>
      <c r="C2534" s="5" t="s">
        <v>5484</v>
      </c>
      <c r="D2534" s="4"/>
      <c r="E2534" s="4"/>
      <c r="F2534" s="4" t="s">
        <v>22</v>
      </c>
      <c r="G2534" s="6">
        <v>2.24</v>
      </c>
      <c r="H2534" s="7" t="s">
        <v>1606</v>
      </c>
      <c r="I2534" s="4" t="s">
        <v>2028</v>
      </c>
      <c r="J2534" s="4" t="s">
        <v>2029</v>
      </c>
      <c r="K2534" s="8"/>
      <c r="L2534" s="8" t="s">
        <v>5480</v>
      </c>
      <c r="M2534" s="9">
        <f t="shared" si="1"/>
        <v>26</v>
      </c>
    </row>
    <row r="2535" ht="12.75" customHeight="1">
      <c r="A2535" s="4">
        <f t="shared" si="2"/>
        <v>2534</v>
      </c>
      <c r="B2535" s="4" t="s">
        <v>5485</v>
      </c>
      <c r="C2535" s="5" t="s">
        <v>5486</v>
      </c>
      <c r="D2535" s="4"/>
      <c r="E2535" s="4"/>
      <c r="F2535" s="4" t="s">
        <v>22</v>
      </c>
      <c r="G2535" s="6">
        <v>3.26</v>
      </c>
      <c r="H2535" s="7" t="s">
        <v>1606</v>
      </c>
      <c r="I2535" s="4" t="s">
        <v>2028</v>
      </c>
      <c r="J2535" s="4" t="s">
        <v>2029</v>
      </c>
      <c r="K2535" s="8"/>
      <c r="L2535" s="8" t="s">
        <v>5480</v>
      </c>
      <c r="M2535" s="9">
        <f t="shared" si="1"/>
        <v>26</v>
      </c>
    </row>
    <row r="2536" ht="12.75" customHeight="1">
      <c r="A2536" s="4">
        <f t="shared" si="2"/>
        <v>2535</v>
      </c>
      <c r="B2536" s="4" t="s">
        <v>5487</v>
      </c>
      <c r="C2536" s="5" t="s">
        <v>5488</v>
      </c>
      <c r="D2536" s="4"/>
      <c r="E2536" s="4"/>
      <c r="F2536" s="4" t="s">
        <v>22</v>
      </c>
      <c r="G2536" s="6">
        <v>2.43</v>
      </c>
      <c r="H2536" s="7" t="s">
        <v>1606</v>
      </c>
      <c r="I2536" s="4" t="s">
        <v>2028</v>
      </c>
      <c r="J2536" s="4" t="s">
        <v>2029</v>
      </c>
      <c r="K2536" s="8"/>
      <c r="L2536" s="8" t="s">
        <v>5480</v>
      </c>
      <c r="M2536" s="9">
        <f t="shared" si="1"/>
        <v>26</v>
      </c>
    </row>
    <row r="2537" ht="12.75" customHeight="1">
      <c r="A2537" s="4">
        <f t="shared" si="2"/>
        <v>2536</v>
      </c>
      <c r="B2537" s="4" t="s">
        <v>5489</v>
      </c>
      <c r="C2537" s="5" t="s">
        <v>5490</v>
      </c>
      <c r="D2537" s="4"/>
      <c r="E2537" s="4"/>
      <c r="F2537" s="4" t="s">
        <v>22</v>
      </c>
      <c r="G2537" s="6">
        <v>3.49</v>
      </c>
      <c r="H2537" s="7" t="s">
        <v>1606</v>
      </c>
      <c r="I2537" s="4" t="s">
        <v>2028</v>
      </c>
      <c r="J2537" s="4" t="s">
        <v>2029</v>
      </c>
      <c r="K2537" s="8"/>
      <c r="L2537" s="8" t="s">
        <v>5480</v>
      </c>
      <c r="M2537" s="9">
        <f t="shared" si="1"/>
        <v>26</v>
      </c>
    </row>
    <row r="2538" ht="12.75" customHeight="1">
      <c r="A2538" s="4">
        <f t="shared" si="2"/>
        <v>2537</v>
      </c>
      <c r="B2538" s="4" t="s">
        <v>5491</v>
      </c>
      <c r="C2538" s="5" t="s">
        <v>5492</v>
      </c>
      <c r="D2538" s="4"/>
      <c r="E2538" s="4"/>
      <c r="F2538" s="4" t="s">
        <v>22</v>
      </c>
      <c r="G2538" s="6">
        <v>2.14</v>
      </c>
      <c r="H2538" s="7" t="s">
        <v>1606</v>
      </c>
      <c r="I2538" s="4" t="s">
        <v>2028</v>
      </c>
      <c r="J2538" s="4" t="s">
        <v>2029</v>
      </c>
      <c r="K2538" s="8"/>
      <c r="L2538" s="8" t="s">
        <v>5480</v>
      </c>
      <c r="M2538" s="9">
        <f t="shared" si="1"/>
        <v>26</v>
      </c>
    </row>
    <row r="2539" ht="12.75" customHeight="1">
      <c r="A2539" s="4">
        <f t="shared" si="2"/>
        <v>2538</v>
      </c>
      <c r="B2539" s="4" t="s">
        <v>5493</v>
      </c>
      <c r="C2539" s="5" t="s">
        <v>5494</v>
      </c>
      <c r="D2539" s="4"/>
      <c r="E2539" s="4"/>
      <c r="F2539" s="4" t="s">
        <v>22</v>
      </c>
      <c r="G2539" s="6">
        <v>3.33</v>
      </c>
      <c r="H2539" s="7" t="s">
        <v>1606</v>
      </c>
      <c r="I2539" s="4" t="s">
        <v>2028</v>
      </c>
      <c r="J2539" s="4" t="s">
        <v>2029</v>
      </c>
      <c r="K2539" s="8"/>
      <c r="L2539" s="8" t="s">
        <v>5480</v>
      </c>
      <c r="M2539" s="9">
        <f t="shared" si="1"/>
        <v>26</v>
      </c>
    </row>
    <row r="2540" ht="12.75" customHeight="1">
      <c r="A2540" s="4">
        <f t="shared" si="2"/>
        <v>2539</v>
      </c>
      <c r="B2540" s="4" t="s">
        <v>5495</v>
      </c>
      <c r="C2540" s="5" t="s">
        <v>5496</v>
      </c>
      <c r="D2540" s="4"/>
      <c r="E2540" s="4"/>
      <c r="F2540" s="4" t="s">
        <v>22</v>
      </c>
      <c r="G2540" s="6">
        <v>4.05</v>
      </c>
      <c r="H2540" s="7" t="s">
        <v>1606</v>
      </c>
      <c r="I2540" s="4" t="s">
        <v>1704</v>
      </c>
      <c r="J2540" s="4" t="s">
        <v>736</v>
      </c>
      <c r="K2540" s="8"/>
      <c r="L2540" s="8" t="s">
        <v>33</v>
      </c>
      <c r="M2540" s="9">
        <f t="shared" si="1"/>
        <v>28</v>
      </c>
    </row>
    <row r="2541" ht="12.75" customHeight="1">
      <c r="A2541" s="4">
        <f t="shared" si="2"/>
        <v>2540</v>
      </c>
      <c r="B2541" s="4" t="s">
        <v>5497</v>
      </c>
      <c r="C2541" s="5" t="s">
        <v>5498</v>
      </c>
      <c r="D2541" s="4"/>
      <c r="E2541" s="4"/>
      <c r="F2541" s="4" t="s">
        <v>22</v>
      </c>
      <c r="G2541" s="6">
        <v>8.12</v>
      </c>
      <c r="H2541" s="7" t="s">
        <v>1606</v>
      </c>
      <c r="I2541" s="4" t="s">
        <v>2423</v>
      </c>
      <c r="J2541" s="4" t="s">
        <v>2424</v>
      </c>
      <c r="K2541" s="8"/>
      <c r="L2541" s="8" t="s">
        <v>636</v>
      </c>
      <c r="M2541" s="9">
        <f t="shared" si="1"/>
        <v>51</v>
      </c>
    </row>
    <row r="2542" ht="12.75" customHeight="1">
      <c r="A2542" s="4">
        <f t="shared" si="2"/>
        <v>2541</v>
      </c>
      <c r="B2542" s="4" t="s">
        <v>5499</v>
      </c>
      <c r="C2542" s="5" t="s">
        <v>5500</v>
      </c>
      <c r="D2542" s="4"/>
      <c r="E2542" s="4"/>
      <c r="F2542" s="4" t="s">
        <v>1764</v>
      </c>
      <c r="G2542" s="6">
        <v>9.46</v>
      </c>
      <c r="H2542" s="7" t="s">
        <v>1606</v>
      </c>
      <c r="I2542" s="4" t="s">
        <v>1574</v>
      </c>
      <c r="J2542" s="4" t="s">
        <v>2082</v>
      </c>
      <c r="K2542" s="8"/>
      <c r="L2542" s="8" t="s">
        <v>33</v>
      </c>
      <c r="M2542" s="9">
        <f t="shared" si="1"/>
        <v>22</v>
      </c>
    </row>
    <row r="2543" ht="12.75" customHeight="1">
      <c r="A2543" s="4">
        <f t="shared" si="2"/>
        <v>2542</v>
      </c>
      <c r="B2543" s="4" t="s">
        <v>5501</v>
      </c>
      <c r="C2543" s="5" t="s">
        <v>5502</v>
      </c>
      <c r="D2543" s="4"/>
      <c r="E2543" s="4"/>
      <c r="F2543" s="4" t="s">
        <v>22</v>
      </c>
      <c r="G2543" s="6">
        <v>7.54</v>
      </c>
      <c r="H2543" s="7" t="s">
        <v>1606</v>
      </c>
      <c r="I2543" s="4" t="s">
        <v>1475</v>
      </c>
      <c r="J2543" s="4" t="s">
        <v>1476</v>
      </c>
      <c r="K2543" s="8"/>
      <c r="L2543" s="8" t="s">
        <v>3309</v>
      </c>
      <c r="M2543" s="9">
        <f t="shared" si="1"/>
        <v>26</v>
      </c>
    </row>
    <row r="2544" ht="12.75" customHeight="1">
      <c r="A2544" s="4">
        <f t="shared" si="2"/>
        <v>2543</v>
      </c>
      <c r="B2544" s="4" t="s">
        <v>5503</v>
      </c>
      <c r="C2544" s="5" t="s">
        <v>5504</v>
      </c>
      <c r="D2544" s="4"/>
      <c r="E2544" s="4"/>
      <c r="F2544" s="4" t="s">
        <v>1694</v>
      </c>
      <c r="G2544" s="6">
        <v>18.24</v>
      </c>
      <c r="H2544" s="7" t="s">
        <v>1606</v>
      </c>
      <c r="I2544" s="4" t="s">
        <v>2044</v>
      </c>
      <c r="J2544" s="4" t="s">
        <v>4380</v>
      </c>
      <c r="K2544" s="8"/>
      <c r="L2544" s="8" t="s">
        <v>4381</v>
      </c>
      <c r="M2544" s="9">
        <f t="shared" si="1"/>
        <v>30</v>
      </c>
    </row>
    <row r="2545" ht="12.75" customHeight="1">
      <c r="A2545" s="4">
        <f t="shared" si="2"/>
        <v>2544</v>
      </c>
      <c r="B2545" s="4" t="s">
        <v>5505</v>
      </c>
      <c r="C2545" s="5" t="s">
        <v>5506</v>
      </c>
      <c r="D2545" s="4"/>
      <c r="E2545" s="4"/>
      <c r="F2545" s="4" t="s">
        <v>1694</v>
      </c>
      <c r="G2545" s="6">
        <v>27.0</v>
      </c>
      <c r="H2545" s="7" t="s">
        <v>1606</v>
      </c>
      <c r="I2545" s="4" t="s">
        <v>2748</v>
      </c>
      <c r="J2545" s="4" t="s">
        <v>4911</v>
      </c>
      <c r="K2545" s="8"/>
      <c r="L2545" s="8" t="s">
        <v>1701</v>
      </c>
      <c r="M2545" s="9">
        <f t="shared" si="1"/>
        <v>41</v>
      </c>
    </row>
    <row r="2546" ht="12.75" customHeight="1">
      <c r="A2546" s="4">
        <f t="shared" si="2"/>
        <v>2545</v>
      </c>
      <c r="B2546" s="4" t="s">
        <v>5507</v>
      </c>
      <c r="C2546" s="5" t="s">
        <v>5508</v>
      </c>
      <c r="D2546" s="4"/>
      <c r="E2546" s="4"/>
      <c r="F2546" s="4" t="s">
        <v>22</v>
      </c>
      <c r="G2546" s="6">
        <v>1756.76</v>
      </c>
      <c r="H2546" s="7" t="s">
        <v>1606</v>
      </c>
      <c r="I2546" s="4" t="s">
        <v>2860</v>
      </c>
      <c r="J2546" s="4" t="s">
        <v>2861</v>
      </c>
      <c r="K2546" s="8"/>
      <c r="L2546" s="8" t="s">
        <v>739</v>
      </c>
      <c r="M2546" s="9">
        <f t="shared" si="1"/>
        <v>55</v>
      </c>
    </row>
    <row r="2547" ht="12.75" customHeight="1">
      <c r="A2547" s="4">
        <f t="shared" si="2"/>
        <v>2546</v>
      </c>
      <c r="B2547" s="4" t="s">
        <v>5509</v>
      </c>
      <c r="C2547" s="5" t="s">
        <v>5510</v>
      </c>
      <c r="D2547" s="4"/>
      <c r="E2547" s="4"/>
      <c r="F2547" s="4" t="s">
        <v>22</v>
      </c>
      <c r="G2547" s="6">
        <v>9.97</v>
      </c>
      <c r="H2547" s="7" t="s">
        <v>1606</v>
      </c>
      <c r="I2547" s="4" t="s">
        <v>1697</v>
      </c>
      <c r="J2547" s="4" t="s">
        <v>1698</v>
      </c>
      <c r="K2547" s="8"/>
      <c r="L2547" s="8" t="s">
        <v>1509</v>
      </c>
      <c r="M2547" s="9">
        <f t="shared" si="1"/>
        <v>37</v>
      </c>
    </row>
    <row r="2548" ht="12.75" customHeight="1">
      <c r="A2548" s="4">
        <f t="shared" si="2"/>
        <v>2547</v>
      </c>
      <c r="B2548" s="4" t="s">
        <v>5511</v>
      </c>
      <c r="C2548" s="5" t="s">
        <v>5512</v>
      </c>
      <c r="D2548" s="4"/>
      <c r="E2548" s="4"/>
      <c r="F2548" s="4" t="s">
        <v>1694</v>
      </c>
      <c r="G2548" s="6">
        <v>24.86</v>
      </c>
      <c r="H2548" s="7" t="s">
        <v>1606</v>
      </c>
      <c r="I2548" s="4" t="s">
        <v>2044</v>
      </c>
      <c r="J2548" s="4" t="s">
        <v>4380</v>
      </c>
      <c r="K2548" s="8"/>
      <c r="L2548" s="8" t="s">
        <v>4381</v>
      </c>
      <c r="M2548" s="9">
        <f t="shared" si="1"/>
        <v>37</v>
      </c>
    </row>
    <row r="2549" ht="12.75" customHeight="1">
      <c r="A2549" s="4">
        <f t="shared" si="2"/>
        <v>2548</v>
      </c>
      <c r="B2549" s="4" t="s">
        <v>5513</v>
      </c>
      <c r="C2549" s="5" t="s">
        <v>5514</v>
      </c>
      <c r="D2549" s="4"/>
      <c r="E2549" s="4"/>
      <c r="F2549" s="4" t="s">
        <v>22</v>
      </c>
      <c r="G2549" s="6">
        <v>12.16</v>
      </c>
      <c r="H2549" s="7" t="s">
        <v>1606</v>
      </c>
      <c r="I2549" s="4" t="s">
        <v>2860</v>
      </c>
      <c r="J2549" s="4" t="s">
        <v>2861</v>
      </c>
      <c r="K2549" s="8"/>
      <c r="L2549" s="8" t="s">
        <v>1509</v>
      </c>
      <c r="M2549" s="9">
        <f t="shared" si="1"/>
        <v>48</v>
      </c>
    </row>
    <row r="2550" ht="12.75" customHeight="1">
      <c r="A2550" s="4">
        <f t="shared" si="2"/>
        <v>2549</v>
      </c>
      <c r="B2550" s="4" t="s">
        <v>5515</v>
      </c>
      <c r="C2550" s="5" t="s">
        <v>5516</v>
      </c>
      <c r="D2550" s="4"/>
      <c r="E2550" s="4"/>
      <c r="F2550" s="4" t="s">
        <v>22</v>
      </c>
      <c r="G2550" s="6">
        <v>12.16</v>
      </c>
      <c r="H2550" s="7" t="s">
        <v>1606</v>
      </c>
      <c r="I2550" s="4" t="s">
        <v>2860</v>
      </c>
      <c r="J2550" s="4" t="s">
        <v>2861</v>
      </c>
      <c r="K2550" s="8"/>
      <c r="L2550" s="8" t="s">
        <v>1509</v>
      </c>
      <c r="M2550" s="9">
        <f t="shared" si="1"/>
        <v>49</v>
      </c>
    </row>
    <row r="2551" ht="12.75" customHeight="1">
      <c r="A2551" s="4">
        <f t="shared" si="2"/>
        <v>2550</v>
      </c>
      <c r="B2551" s="4" t="s">
        <v>5517</v>
      </c>
      <c r="C2551" s="5" t="s">
        <v>5518</v>
      </c>
      <c r="D2551" s="4"/>
      <c r="E2551" s="4"/>
      <c r="F2551" s="4" t="s">
        <v>22</v>
      </c>
      <c r="G2551" s="6">
        <v>152.06</v>
      </c>
      <c r="H2551" s="7" t="s">
        <v>1606</v>
      </c>
      <c r="I2551" s="4" t="s">
        <v>1574</v>
      </c>
      <c r="J2551" s="4" t="s">
        <v>1624</v>
      </c>
      <c r="K2551" s="8"/>
      <c r="L2551" s="8" t="s">
        <v>3409</v>
      </c>
      <c r="M2551" s="9">
        <f t="shared" si="1"/>
        <v>60</v>
      </c>
    </row>
    <row r="2552" ht="12.75" customHeight="1">
      <c r="A2552" s="4">
        <f t="shared" si="2"/>
        <v>2551</v>
      </c>
      <c r="B2552" s="4" t="s">
        <v>5519</v>
      </c>
      <c r="C2552" s="5" t="s">
        <v>5520</v>
      </c>
      <c r="D2552" s="4"/>
      <c r="E2552" s="4"/>
      <c r="F2552" s="4" t="s">
        <v>22</v>
      </c>
      <c r="G2552" s="6">
        <v>17.57</v>
      </c>
      <c r="H2552" s="7" t="s">
        <v>1606</v>
      </c>
      <c r="I2552" s="4" t="s">
        <v>1773</v>
      </c>
      <c r="J2552" s="4" t="s">
        <v>1774</v>
      </c>
      <c r="K2552" s="8"/>
      <c r="L2552" s="8" t="s">
        <v>5521</v>
      </c>
      <c r="M2552" s="9">
        <f t="shared" si="1"/>
        <v>14</v>
      </c>
    </row>
    <row r="2553" ht="12.75" customHeight="1">
      <c r="A2553" s="4">
        <f t="shared" si="2"/>
        <v>2552</v>
      </c>
      <c r="B2553" s="4" t="s">
        <v>5522</v>
      </c>
      <c r="C2553" s="5" t="s">
        <v>5523</v>
      </c>
      <c r="D2553" s="4"/>
      <c r="E2553" s="4"/>
      <c r="F2553" s="4" t="s">
        <v>22</v>
      </c>
      <c r="G2553" s="6">
        <v>12.16</v>
      </c>
      <c r="H2553" s="7" t="s">
        <v>1606</v>
      </c>
      <c r="I2553" s="4" t="s">
        <v>1773</v>
      </c>
      <c r="J2553" s="4" t="s">
        <v>1774</v>
      </c>
      <c r="K2553" s="8"/>
      <c r="L2553" s="8" t="s">
        <v>5521</v>
      </c>
      <c r="M2553" s="9">
        <f t="shared" si="1"/>
        <v>10</v>
      </c>
    </row>
    <row r="2554" ht="12.75" customHeight="1">
      <c r="A2554" s="4">
        <f t="shared" si="2"/>
        <v>2553</v>
      </c>
      <c r="B2554" s="4" t="s">
        <v>5524</v>
      </c>
      <c r="C2554" s="5" t="s">
        <v>5525</v>
      </c>
      <c r="D2554" s="4"/>
      <c r="E2554" s="4"/>
      <c r="F2554" s="4" t="s">
        <v>22</v>
      </c>
      <c r="G2554" s="6">
        <v>0.1</v>
      </c>
      <c r="H2554" s="7" t="s">
        <v>1606</v>
      </c>
      <c r="I2554" s="4" t="s">
        <v>1697</v>
      </c>
      <c r="J2554" s="4" t="s">
        <v>5526</v>
      </c>
      <c r="K2554" s="8"/>
      <c r="L2554" s="8" t="s">
        <v>5527</v>
      </c>
      <c r="M2554" s="9">
        <f t="shared" si="1"/>
        <v>46</v>
      </c>
    </row>
    <row r="2555" ht="12.75" customHeight="1">
      <c r="A2555" s="4">
        <f t="shared" si="2"/>
        <v>2554</v>
      </c>
      <c r="B2555" s="4" t="s">
        <v>5528</v>
      </c>
      <c r="C2555" s="5" t="s">
        <v>5529</v>
      </c>
      <c r="D2555" s="4"/>
      <c r="E2555" s="4"/>
      <c r="F2555" s="4" t="s">
        <v>2078</v>
      </c>
      <c r="G2555" s="6">
        <v>2.7</v>
      </c>
      <c r="H2555" s="7" t="s">
        <v>1606</v>
      </c>
      <c r="I2555" s="4" t="s">
        <v>1773</v>
      </c>
      <c r="J2555" s="4" t="s">
        <v>1774</v>
      </c>
      <c r="K2555" s="8"/>
      <c r="L2555" s="8" t="s">
        <v>3551</v>
      </c>
      <c r="M2555" s="9">
        <f t="shared" si="1"/>
        <v>56</v>
      </c>
    </row>
    <row r="2556" ht="12.75" customHeight="1">
      <c r="A2556" s="4">
        <f t="shared" si="2"/>
        <v>2555</v>
      </c>
      <c r="B2556" s="4" t="s">
        <v>5530</v>
      </c>
      <c r="C2556" s="5" t="s">
        <v>5531</v>
      </c>
      <c r="D2556" s="4"/>
      <c r="E2556" s="4"/>
      <c r="F2556" s="4" t="s">
        <v>2078</v>
      </c>
      <c r="G2556" s="6">
        <v>2.3</v>
      </c>
      <c r="H2556" s="7" t="s">
        <v>1606</v>
      </c>
      <c r="I2556" s="4" t="s">
        <v>1773</v>
      </c>
      <c r="J2556" s="4" t="s">
        <v>1774</v>
      </c>
      <c r="K2556" s="8"/>
      <c r="L2556" s="8" t="s">
        <v>3551</v>
      </c>
      <c r="M2556" s="9">
        <f t="shared" si="1"/>
        <v>55</v>
      </c>
    </row>
    <row r="2557" ht="12.75" customHeight="1">
      <c r="A2557" s="4">
        <f t="shared" si="2"/>
        <v>2556</v>
      </c>
      <c r="B2557" s="4" t="s">
        <v>5532</v>
      </c>
      <c r="C2557" s="5" t="s">
        <v>5533</v>
      </c>
      <c r="D2557" s="4"/>
      <c r="E2557" s="4"/>
      <c r="F2557" s="4" t="s">
        <v>371</v>
      </c>
      <c r="G2557" s="6">
        <v>4.68</v>
      </c>
      <c r="H2557" s="7" t="s">
        <v>1606</v>
      </c>
      <c r="I2557" s="4" t="s">
        <v>1773</v>
      </c>
      <c r="J2557" s="4" t="s">
        <v>1774</v>
      </c>
      <c r="K2557" s="8"/>
      <c r="L2557" s="8" t="s">
        <v>3551</v>
      </c>
      <c r="M2557" s="9">
        <f t="shared" si="1"/>
        <v>48</v>
      </c>
    </row>
    <row r="2558" ht="12.75" customHeight="1">
      <c r="A2558" s="4">
        <f t="shared" si="2"/>
        <v>2557</v>
      </c>
      <c r="B2558" s="4" t="s">
        <v>5534</v>
      </c>
      <c r="C2558" s="5" t="s">
        <v>5535</v>
      </c>
      <c r="D2558" s="4"/>
      <c r="E2558" s="4"/>
      <c r="F2558" s="4" t="s">
        <v>371</v>
      </c>
      <c r="G2558" s="6">
        <v>7.84</v>
      </c>
      <c r="H2558" s="7" t="s">
        <v>1606</v>
      </c>
      <c r="I2558" s="4" t="s">
        <v>1773</v>
      </c>
      <c r="J2558" s="4" t="s">
        <v>1774</v>
      </c>
      <c r="K2558" s="8"/>
      <c r="L2558" s="8" t="s">
        <v>3551</v>
      </c>
      <c r="M2558" s="9">
        <f t="shared" si="1"/>
        <v>35</v>
      </c>
    </row>
    <row r="2559" ht="12.75" customHeight="1">
      <c r="A2559" s="4">
        <f t="shared" si="2"/>
        <v>2558</v>
      </c>
      <c r="B2559" s="4" t="s">
        <v>5536</v>
      </c>
      <c r="C2559" s="5" t="s">
        <v>5537</v>
      </c>
      <c r="D2559" s="4"/>
      <c r="E2559" s="4"/>
      <c r="F2559" s="4" t="s">
        <v>371</v>
      </c>
      <c r="G2559" s="6">
        <v>2.24</v>
      </c>
      <c r="H2559" s="7" t="s">
        <v>1606</v>
      </c>
      <c r="I2559" s="4" t="s">
        <v>1773</v>
      </c>
      <c r="J2559" s="4" t="s">
        <v>1774</v>
      </c>
      <c r="K2559" s="8"/>
      <c r="L2559" s="8" t="s">
        <v>3551</v>
      </c>
      <c r="M2559" s="9">
        <f t="shared" si="1"/>
        <v>34</v>
      </c>
    </row>
    <row r="2560" ht="12.75" customHeight="1">
      <c r="A2560" s="4">
        <f t="shared" si="2"/>
        <v>2559</v>
      </c>
      <c r="B2560" s="4" t="s">
        <v>5538</v>
      </c>
      <c r="C2560" s="5" t="s">
        <v>5539</v>
      </c>
      <c r="D2560" s="4"/>
      <c r="E2560" s="4"/>
      <c r="F2560" s="4" t="s">
        <v>22</v>
      </c>
      <c r="G2560" s="6">
        <v>8.89</v>
      </c>
      <c r="H2560" s="7" t="s">
        <v>1606</v>
      </c>
      <c r="I2560" s="4" t="s">
        <v>1746</v>
      </c>
      <c r="J2560" s="4" t="s">
        <v>3726</v>
      </c>
      <c r="K2560" s="8"/>
      <c r="L2560" s="8" t="s">
        <v>507</v>
      </c>
      <c r="M2560" s="9">
        <f t="shared" si="1"/>
        <v>35</v>
      </c>
    </row>
    <row r="2561" ht="12.75" customHeight="1">
      <c r="A2561" s="4">
        <f t="shared" si="2"/>
        <v>2560</v>
      </c>
      <c r="B2561" s="4" t="s">
        <v>5540</v>
      </c>
      <c r="C2561" s="5" t="s">
        <v>5541</v>
      </c>
      <c r="D2561" s="4"/>
      <c r="E2561" s="4"/>
      <c r="F2561" s="4" t="s">
        <v>22</v>
      </c>
      <c r="G2561" s="6">
        <v>4.86</v>
      </c>
      <c r="H2561" s="7" t="s">
        <v>1606</v>
      </c>
      <c r="I2561" s="4" t="s">
        <v>1746</v>
      </c>
      <c r="J2561" s="4" t="s">
        <v>3726</v>
      </c>
      <c r="K2561" s="8"/>
      <c r="L2561" s="8" t="s">
        <v>507</v>
      </c>
      <c r="M2561" s="9">
        <f t="shared" si="1"/>
        <v>31</v>
      </c>
    </row>
    <row r="2562" ht="12.75" customHeight="1">
      <c r="A2562" s="4">
        <f t="shared" si="2"/>
        <v>2561</v>
      </c>
      <c r="B2562" s="4" t="s">
        <v>5542</v>
      </c>
      <c r="C2562" s="5" t="s">
        <v>5543</v>
      </c>
      <c r="D2562" s="4"/>
      <c r="E2562" s="4"/>
      <c r="F2562" s="4" t="s">
        <v>22</v>
      </c>
      <c r="G2562" s="6">
        <v>4.22</v>
      </c>
      <c r="H2562" s="7" t="s">
        <v>1606</v>
      </c>
      <c r="I2562" s="4" t="s">
        <v>1746</v>
      </c>
      <c r="J2562" s="4" t="s">
        <v>3726</v>
      </c>
      <c r="K2562" s="8"/>
      <c r="L2562" s="8" t="s">
        <v>507</v>
      </c>
      <c r="M2562" s="9">
        <f t="shared" si="1"/>
        <v>33</v>
      </c>
    </row>
    <row r="2563" ht="12.75" customHeight="1">
      <c r="A2563" s="4">
        <f t="shared" si="2"/>
        <v>2562</v>
      </c>
      <c r="B2563" s="4" t="s">
        <v>5544</v>
      </c>
      <c r="C2563" s="5" t="s">
        <v>5545</v>
      </c>
      <c r="D2563" s="4"/>
      <c r="E2563" s="4"/>
      <c r="F2563" s="4" t="s">
        <v>22</v>
      </c>
      <c r="G2563" s="6">
        <v>10.78</v>
      </c>
      <c r="H2563" s="7" t="s">
        <v>1606</v>
      </c>
      <c r="I2563" s="4" t="s">
        <v>1746</v>
      </c>
      <c r="J2563" s="4" t="s">
        <v>3726</v>
      </c>
      <c r="K2563" s="8"/>
      <c r="L2563" s="8" t="s">
        <v>507</v>
      </c>
      <c r="M2563" s="9">
        <f t="shared" si="1"/>
        <v>31</v>
      </c>
    </row>
    <row r="2564" ht="12.75" customHeight="1">
      <c r="A2564" s="4">
        <f t="shared" si="2"/>
        <v>2563</v>
      </c>
      <c r="B2564" s="4" t="s">
        <v>5546</v>
      </c>
      <c r="C2564" s="5" t="s">
        <v>5547</v>
      </c>
      <c r="D2564" s="4"/>
      <c r="E2564" s="4"/>
      <c r="F2564" s="4" t="s">
        <v>22</v>
      </c>
      <c r="G2564" s="6">
        <v>9.7</v>
      </c>
      <c r="H2564" s="7" t="s">
        <v>1606</v>
      </c>
      <c r="I2564" s="4" t="s">
        <v>1746</v>
      </c>
      <c r="J2564" s="4" t="s">
        <v>3726</v>
      </c>
      <c r="K2564" s="8"/>
      <c r="L2564" s="8" t="s">
        <v>507</v>
      </c>
      <c r="M2564" s="9">
        <f t="shared" si="1"/>
        <v>33</v>
      </c>
    </row>
    <row r="2565" ht="12.75" customHeight="1">
      <c r="A2565" s="4">
        <f t="shared" si="2"/>
        <v>2564</v>
      </c>
      <c r="B2565" s="4" t="s">
        <v>5548</v>
      </c>
      <c r="C2565" s="5" t="s">
        <v>5549</v>
      </c>
      <c r="D2565" s="4"/>
      <c r="E2565" s="4"/>
      <c r="F2565" s="4" t="s">
        <v>22</v>
      </c>
      <c r="G2565" s="6">
        <v>12.97</v>
      </c>
      <c r="H2565" s="7" t="s">
        <v>1606</v>
      </c>
      <c r="I2565" s="4" t="s">
        <v>1697</v>
      </c>
      <c r="J2565" s="4" t="s">
        <v>1698</v>
      </c>
      <c r="K2565" s="8"/>
      <c r="L2565" s="8" t="s">
        <v>1509</v>
      </c>
      <c r="M2565" s="9">
        <f t="shared" si="1"/>
        <v>31</v>
      </c>
    </row>
    <row r="2566" ht="12.75" customHeight="1">
      <c r="A2566" s="4">
        <f t="shared" si="2"/>
        <v>2565</v>
      </c>
      <c r="B2566" s="4" t="s">
        <v>5550</v>
      </c>
      <c r="C2566" s="5" t="s">
        <v>5551</v>
      </c>
      <c r="D2566" s="4"/>
      <c r="E2566" s="4"/>
      <c r="F2566" s="4" t="s">
        <v>22</v>
      </c>
      <c r="G2566" s="6">
        <v>11.72</v>
      </c>
      <c r="H2566" s="7" t="s">
        <v>1606</v>
      </c>
      <c r="I2566" s="4" t="s">
        <v>1697</v>
      </c>
      <c r="J2566" s="4" t="s">
        <v>1698</v>
      </c>
      <c r="K2566" s="8"/>
      <c r="L2566" s="8" t="s">
        <v>1509</v>
      </c>
      <c r="M2566" s="9">
        <f t="shared" si="1"/>
        <v>51</v>
      </c>
    </row>
    <row r="2567" ht="12.75" customHeight="1">
      <c r="A2567" s="4">
        <f t="shared" si="2"/>
        <v>2566</v>
      </c>
      <c r="B2567" s="4" t="s">
        <v>5552</v>
      </c>
      <c r="C2567" s="5" t="s">
        <v>5553</v>
      </c>
      <c r="D2567" s="4"/>
      <c r="E2567" s="4"/>
      <c r="F2567" s="4" t="s">
        <v>1764</v>
      </c>
      <c r="G2567" s="6">
        <v>25.14</v>
      </c>
      <c r="H2567" s="7" t="s">
        <v>1606</v>
      </c>
      <c r="I2567" s="4" t="s">
        <v>1697</v>
      </c>
      <c r="J2567" s="4" t="s">
        <v>1698</v>
      </c>
      <c r="K2567" s="8"/>
      <c r="L2567" s="8" t="s">
        <v>1509</v>
      </c>
      <c r="M2567" s="9">
        <f t="shared" si="1"/>
        <v>58</v>
      </c>
    </row>
    <row r="2568" ht="12.75" customHeight="1">
      <c r="A2568" s="4">
        <f t="shared" si="2"/>
        <v>2567</v>
      </c>
      <c r="B2568" s="4" t="s">
        <v>5554</v>
      </c>
      <c r="C2568" s="5" t="s">
        <v>5555</v>
      </c>
      <c r="D2568" s="4"/>
      <c r="E2568" s="4"/>
      <c r="F2568" s="4" t="s">
        <v>22</v>
      </c>
      <c r="G2568" s="6">
        <v>0.68</v>
      </c>
      <c r="H2568" s="7" t="s">
        <v>1606</v>
      </c>
      <c r="I2568" s="4" t="s">
        <v>17</v>
      </c>
      <c r="J2568" s="4" t="s">
        <v>2037</v>
      </c>
      <c r="K2568" s="8"/>
      <c r="L2568" s="8" t="s">
        <v>33</v>
      </c>
      <c r="M2568" s="9">
        <f t="shared" si="1"/>
        <v>18</v>
      </c>
    </row>
    <row r="2569" ht="12.75" customHeight="1">
      <c r="A2569" s="4">
        <f t="shared" si="2"/>
        <v>2568</v>
      </c>
      <c r="B2569" s="4" t="s">
        <v>5556</v>
      </c>
      <c r="C2569" s="5" t="s">
        <v>5557</v>
      </c>
      <c r="D2569" s="4"/>
      <c r="E2569" s="4"/>
      <c r="F2569" s="4" t="s">
        <v>22</v>
      </c>
      <c r="G2569" s="6">
        <v>3.29</v>
      </c>
      <c r="H2569" s="7" t="s">
        <v>1606</v>
      </c>
      <c r="I2569" s="4" t="s">
        <v>2044</v>
      </c>
      <c r="J2569" s="4" t="s">
        <v>2861</v>
      </c>
      <c r="K2569" s="8"/>
      <c r="L2569" s="8" t="s">
        <v>1509</v>
      </c>
      <c r="M2569" s="9">
        <f t="shared" si="1"/>
        <v>54</v>
      </c>
    </row>
    <row r="2570" ht="12.75" customHeight="1">
      <c r="A2570" s="4">
        <f t="shared" si="2"/>
        <v>2569</v>
      </c>
      <c r="B2570" s="4" t="s">
        <v>5558</v>
      </c>
      <c r="C2570" s="5" t="s">
        <v>5559</v>
      </c>
      <c r="D2570" s="4"/>
      <c r="E2570" s="4"/>
      <c r="F2570" s="4" t="s">
        <v>22</v>
      </c>
      <c r="G2570" s="6">
        <v>7.46</v>
      </c>
      <c r="H2570" s="7" t="s">
        <v>1606</v>
      </c>
      <c r="I2570" s="4" t="s">
        <v>2044</v>
      </c>
      <c r="J2570" s="4" t="s">
        <v>2861</v>
      </c>
      <c r="K2570" s="8"/>
      <c r="L2570" s="8" t="s">
        <v>5560</v>
      </c>
      <c r="M2570" s="9">
        <f t="shared" si="1"/>
        <v>33</v>
      </c>
    </row>
    <row r="2571" ht="12.75" customHeight="1">
      <c r="A2571" s="4">
        <f t="shared" si="2"/>
        <v>2570</v>
      </c>
      <c r="B2571" s="4" t="s">
        <v>5561</v>
      </c>
      <c r="C2571" s="5" t="s">
        <v>5562</v>
      </c>
      <c r="D2571" s="4"/>
      <c r="E2571" s="4"/>
      <c r="F2571" s="4" t="s">
        <v>22</v>
      </c>
      <c r="G2571" s="6">
        <v>4.17</v>
      </c>
      <c r="H2571" s="7" t="s">
        <v>1606</v>
      </c>
      <c r="I2571" s="4" t="s">
        <v>1475</v>
      </c>
      <c r="J2571" s="4" t="s">
        <v>1476</v>
      </c>
      <c r="K2571" s="8"/>
      <c r="L2571" s="8" t="s">
        <v>33</v>
      </c>
      <c r="M2571" s="9">
        <f t="shared" si="1"/>
        <v>28</v>
      </c>
    </row>
    <row r="2572" ht="12.75" customHeight="1">
      <c r="A2572" s="4">
        <f t="shared" si="2"/>
        <v>2571</v>
      </c>
      <c r="B2572" s="4" t="s">
        <v>5563</v>
      </c>
      <c r="C2572" s="5" t="s">
        <v>5564</v>
      </c>
      <c r="D2572" s="4"/>
      <c r="E2572" s="4"/>
      <c r="F2572" s="4" t="s">
        <v>22</v>
      </c>
      <c r="G2572" s="6">
        <v>8.11</v>
      </c>
      <c r="H2572" s="7" t="s">
        <v>1606</v>
      </c>
      <c r="I2572" s="4" t="s">
        <v>5565</v>
      </c>
      <c r="J2572" s="4" t="s">
        <v>5566</v>
      </c>
      <c r="K2572" s="8"/>
      <c r="L2572" s="8" t="s">
        <v>3693</v>
      </c>
      <c r="M2572" s="9">
        <f t="shared" si="1"/>
        <v>21</v>
      </c>
    </row>
    <row r="2573" ht="12.75" customHeight="1">
      <c r="A2573" s="4">
        <f t="shared" si="2"/>
        <v>2572</v>
      </c>
      <c r="B2573" s="4" t="s">
        <v>5567</v>
      </c>
      <c r="C2573" s="5" t="s">
        <v>5568</v>
      </c>
      <c r="D2573" s="4"/>
      <c r="E2573" s="4"/>
      <c r="F2573" s="4" t="s">
        <v>22</v>
      </c>
      <c r="G2573" s="6">
        <v>2.84</v>
      </c>
      <c r="H2573" s="7" t="s">
        <v>1606</v>
      </c>
      <c r="I2573" s="4" t="s">
        <v>2044</v>
      </c>
      <c r="J2573" s="4" t="s">
        <v>2861</v>
      </c>
      <c r="K2573" s="8"/>
      <c r="L2573" s="8" t="s">
        <v>1509</v>
      </c>
      <c r="M2573" s="9">
        <f t="shared" si="1"/>
        <v>42</v>
      </c>
    </row>
    <row r="2574" ht="12.75" customHeight="1">
      <c r="A2574" s="4">
        <f t="shared" si="2"/>
        <v>2573</v>
      </c>
      <c r="B2574" s="4" t="s">
        <v>5569</v>
      </c>
      <c r="C2574" s="5" t="s">
        <v>5570</v>
      </c>
      <c r="D2574" s="4"/>
      <c r="E2574" s="4"/>
      <c r="F2574" s="4" t="s">
        <v>22</v>
      </c>
      <c r="G2574" s="6">
        <v>80.81</v>
      </c>
      <c r="H2574" s="7" t="s">
        <v>1606</v>
      </c>
      <c r="I2574" s="4" t="s">
        <v>5147</v>
      </c>
      <c r="J2574" s="4" t="s">
        <v>5148</v>
      </c>
      <c r="K2574" s="8"/>
      <c r="L2574" s="8" t="s">
        <v>33</v>
      </c>
      <c r="M2574" s="9">
        <f t="shared" si="1"/>
        <v>37</v>
      </c>
    </row>
    <row r="2575" ht="12.75" customHeight="1">
      <c r="A2575" s="4">
        <f t="shared" si="2"/>
        <v>2574</v>
      </c>
      <c r="B2575" s="4" t="s">
        <v>5571</v>
      </c>
      <c r="C2575" s="5" t="s">
        <v>5572</v>
      </c>
      <c r="D2575" s="4"/>
      <c r="E2575" s="4"/>
      <c r="F2575" s="4" t="s">
        <v>22</v>
      </c>
      <c r="G2575" s="6">
        <v>2.02</v>
      </c>
      <c r="H2575" s="7" t="s">
        <v>1606</v>
      </c>
      <c r="I2575" s="4" t="s">
        <v>1773</v>
      </c>
      <c r="J2575" s="4" t="s">
        <v>1774</v>
      </c>
      <c r="K2575" s="8"/>
      <c r="L2575" s="8" t="s">
        <v>5573</v>
      </c>
      <c r="M2575" s="9">
        <f t="shared" si="1"/>
        <v>26</v>
      </c>
    </row>
    <row r="2576" ht="12.75" customHeight="1">
      <c r="A2576" s="4">
        <f t="shared" si="2"/>
        <v>2575</v>
      </c>
      <c r="B2576" s="4" t="s">
        <v>5574</v>
      </c>
      <c r="C2576" s="5" t="s">
        <v>5575</v>
      </c>
      <c r="D2576" s="4"/>
      <c r="E2576" s="4"/>
      <c r="F2576" s="4" t="s">
        <v>1779</v>
      </c>
      <c r="G2576" s="21">
        <v>5.14</v>
      </c>
      <c r="H2576" s="7" t="s">
        <v>1606</v>
      </c>
      <c r="I2576" s="4" t="s">
        <v>2392</v>
      </c>
      <c r="J2576" s="4" t="s">
        <v>5576</v>
      </c>
      <c r="K2576" s="8"/>
      <c r="L2576" s="8" t="s">
        <v>5577</v>
      </c>
      <c r="M2576" s="9">
        <f t="shared" si="1"/>
        <v>34</v>
      </c>
    </row>
    <row r="2577" ht="12.75" customHeight="1">
      <c r="A2577" s="4">
        <f t="shared" si="2"/>
        <v>2576</v>
      </c>
      <c r="B2577" s="4" t="s">
        <v>5578</v>
      </c>
      <c r="C2577" s="5" t="s">
        <v>5579</v>
      </c>
      <c r="D2577" s="4"/>
      <c r="E2577" s="4"/>
      <c r="F2577" s="4" t="s">
        <v>1779</v>
      </c>
      <c r="G2577" s="6">
        <v>7.57</v>
      </c>
      <c r="H2577" s="7" t="s">
        <v>1606</v>
      </c>
      <c r="I2577" s="4" t="s">
        <v>2392</v>
      </c>
      <c r="J2577" s="4" t="s">
        <v>5576</v>
      </c>
      <c r="K2577" s="8"/>
      <c r="L2577" s="8" t="s">
        <v>5577</v>
      </c>
      <c r="M2577" s="9">
        <f t="shared" si="1"/>
        <v>34</v>
      </c>
    </row>
    <row r="2578" ht="12.75" customHeight="1">
      <c r="A2578" s="4">
        <f t="shared" si="2"/>
        <v>2577</v>
      </c>
      <c r="B2578" s="4" t="s">
        <v>5580</v>
      </c>
      <c r="C2578" s="5" t="s">
        <v>5581</v>
      </c>
      <c r="D2578" s="4"/>
      <c r="E2578" s="4"/>
      <c r="F2578" s="4" t="s">
        <v>1779</v>
      </c>
      <c r="G2578" s="21">
        <v>5.68</v>
      </c>
      <c r="H2578" s="7" t="s">
        <v>1606</v>
      </c>
      <c r="I2578" s="4" t="s">
        <v>2392</v>
      </c>
      <c r="J2578" s="4" t="s">
        <v>5576</v>
      </c>
      <c r="K2578" s="8"/>
      <c r="L2578" s="8" t="s">
        <v>5577</v>
      </c>
      <c r="M2578" s="9">
        <f t="shared" si="1"/>
        <v>35</v>
      </c>
    </row>
    <row r="2579" ht="12.75" customHeight="1">
      <c r="A2579" s="4">
        <f t="shared" si="2"/>
        <v>2578</v>
      </c>
      <c r="B2579" s="4" t="s">
        <v>5582</v>
      </c>
      <c r="C2579" s="5" t="s">
        <v>5583</v>
      </c>
      <c r="D2579" s="4"/>
      <c r="E2579" s="4"/>
      <c r="F2579" s="4" t="s">
        <v>1779</v>
      </c>
      <c r="G2579" s="6">
        <v>6.49</v>
      </c>
      <c r="H2579" s="7" t="s">
        <v>1606</v>
      </c>
      <c r="I2579" s="4" t="s">
        <v>2392</v>
      </c>
      <c r="J2579" s="4" t="s">
        <v>5576</v>
      </c>
      <c r="K2579" s="8"/>
      <c r="L2579" s="8" t="s">
        <v>5577</v>
      </c>
      <c r="M2579" s="9">
        <f t="shared" si="1"/>
        <v>34</v>
      </c>
    </row>
    <row r="2580" ht="12.75" customHeight="1">
      <c r="A2580" s="4">
        <f t="shared" si="2"/>
        <v>2579</v>
      </c>
      <c r="B2580" s="4" t="s">
        <v>5584</v>
      </c>
      <c r="C2580" s="5" t="s">
        <v>5585</v>
      </c>
      <c r="D2580" s="4"/>
      <c r="E2580" s="4"/>
      <c r="F2580" s="4" t="s">
        <v>1779</v>
      </c>
      <c r="G2580" s="6">
        <v>4.59</v>
      </c>
      <c r="H2580" s="7" t="s">
        <v>1606</v>
      </c>
      <c r="I2580" s="4" t="s">
        <v>2392</v>
      </c>
      <c r="J2580" s="4" t="s">
        <v>5576</v>
      </c>
      <c r="K2580" s="8"/>
      <c r="L2580" s="8" t="s">
        <v>5577</v>
      </c>
      <c r="M2580" s="9">
        <f t="shared" si="1"/>
        <v>35</v>
      </c>
    </row>
    <row r="2581" ht="12.75" customHeight="1">
      <c r="A2581" s="4">
        <f t="shared" si="2"/>
        <v>2580</v>
      </c>
      <c r="B2581" s="4" t="s">
        <v>5586</v>
      </c>
      <c r="C2581" s="5" t="s">
        <v>5587</v>
      </c>
      <c r="D2581" s="4"/>
      <c r="E2581" s="4"/>
      <c r="F2581" s="4" t="s">
        <v>1779</v>
      </c>
      <c r="G2581" s="6">
        <v>6.49</v>
      </c>
      <c r="H2581" s="7" t="s">
        <v>1606</v>
      </c>
      <c r="I2581" s="4" t="s">
        <v>2392</v>
      </c>
      <c r="J2581" s="4" t="s">
        <v>5576</v>
      </c>
      <c r="K2581" s="8"/>
      <c r="L2581" s="8" t="s">
        <v>5577</v>
      </c>
      <c r="M2581" s="9">
        <f t="shared" si="1"/>
        <v>33</v>
      </c>
    </row>
    <row r="2582" ht="12.75" customHeight="1">
      <c r="A2582" s="4">
        <f t="shared" si="2"/>
        <v>2581</v>
      </c>
      <c r="B2582" s="4" t="s">
        <v>5588</v>
      </c>
      <c r="C2582" s="5" t="s">
        <v>5589</v>
      </c>
      <c r="D2582" s="4"/>
      <c r="E2582" s="4"/>
      <c r="F2582" s="4" t="s">
        <v>1779</v>
      </c>
      <c r="G2582" s="6">
        <v>4.59</v>
      </c>
      <c r="H2582" s="7" t="s">
        <v>1606</v>
      </c>
      <c r="I2582" s="4" t="s">
        <v>1794</v>
      </c>
      <c r="J2582" s="4" t="s">
        <v>1795</v>
      </c>
      <c r="K2582" s="8"/>
      <c r="L2582" s="8" t="s">
        <v>5590</v>
      </c>
      <c r="M2582" s="9">
        <f t="shared" si="1"/>
        <v>34</v>
      </c>
    </row>
    <row r="2583" ht="12.75" customHeight="1">
      <c r="A2583" s="4">
        <f t="shared" si="2"/>
        <v>2582</v>
      </c>
      <c r="B2583" s="4" t="s">
        <v>5591</v>
      </c>
      <c r="C2583" s="5" t="s">
        <v>5592</v>
      </c>
      <c r="D2583" s="4"/>
      <c r="E2583" s="4"/>
      <c r="F2583" s="4" t="s">
        <v>1779</v>
      </c>
      <c r="G2583" s="6">
        <v>4.86</v>
      </c>
      <c r="H2583" s="7" t="s">
        <v>1606</v>
      </c>
      <c r="I2583" s="4" t="s">
        <v>1794</v>
      </c>
      <c r="J2583" s="4" t="s">
        <v>1795</v>
      </c>
      <c r="K2583" s="8"/>
      <c r="L2583" s="8" t="s">
        <v>5590</v>
      </c>
      <c r="M2583" s="9">
        <f t="shared" si="1"/>
        <v>35</v>
      </c>
    </row>
    <row r="2584" ht="12.75" customHeight="1">
      <c r="A2584" s="4">
        <f t="shared" si="2"/>
        <v>2583</v>
      </c>
      <c r="B2584" s="4" t="s">
        <v>5593</v>
      </c>
      <c r="C2584" s="5" t="s">
        <v>5594</v>
      </c>
      <c r="D2584" s="4"/>
      <c r="E2584" s="4"/>
      <c r="F2584" s="4" t="s">
        <v>1779</v>
      </c>
      <c r="G2584" s="6">
        <v>3.79</v>
      </c>
      <c r="H2584" s="7" t="s">
        <v>1606</v>
      </c>
      <c r="I2584" s="4" t="s">
        <v>1794</v>
      </c>
      <c r="J2584" s="4" t="s">
        <v>1795</v>
      </c>
      <c r="K2584" s="8"/>
      <c r="L2584" s="8" t="s">
        <v>5590</v>
      </c>
      <c r="M2584" s="9">
        <f t="shared" si="1"/>
        <v>35</v>
      </c>
    </row>
    <row r="2585" ht="12.75" customHeight="1">
      <c r="A2585" s="4">
        <f t="shared" si="2"/>
        <v>2584</v>
      </c>
      <c r="B2585" s="4" t="s">
        <v>5595</v>
      </c>
      <c r="C2585" s="5" t="s">
        <v>5596</v>
      </c>
      <c r="D2585" s="4"/>
      <c r="E2585" s="4"/>
      <c r="F2585" s="4" t="s">
        <v>1779</v>
      </c>
      <c r="G2585" s="6">
        <v>4.57</v>
      </c>
      <c r="H2585" s="7" t="s">
        <v>1606</v>
      </c>
      <c r="I2585" s="4" t="s">
        <v>1794</v>
      </c>
      <c r="J2585" s="4" t="s">
        <v>1795</v>
      </c>
      <c r="K2585" s="8"/>
      <c r="L2585" s="8" t="s">
        <v>5590</v>
      </c>
      <c r="M2585" s="9">
        <f t="shared" si="1"/>
        <v>35</v>
      </c>
    </row>
    <row r="2586" ht="12.75" customHeight="1">
      <c r="A2586" s="4">
        <f t="shared" si="2"/>
        <v>2585</v>
      </c>
      <c r="B2586" s="4" t="s">
        <v>5597</v>
      </c>
      <c r="C2586" s="5" t="s">
        <v>5598</v>
      </c>
      <c r="D2586" s="4"/>
      <c r="E2586" s="4"/>
      <c r="F2586" s="4" t="s">
        <v>1779</v>
      </c>
      <c r="G2586" s="6">
        <v>6.54</v>
      </c>
      <c r="H2586" s="7" t="s">
        <v>1606</v>
      </c>
      <c r="I2586" s="4" t="s">
        <v>1794</v>
      </c>
      <c r="J2586" s="4" t="s">
        <v>1795</v>
      </c>
      <c r="K2586" s="8"/>
      <c r="L2586" s="8" t="s">
        <v>5590</v>
      </c>
      <c r="M2586" s="9">
        <f t="shared" si="1"/>
        <v>32</v>
      </c>
    </row>
    <row r="2587" ht="12.75" customHeight="1">
      <c r="A2587" s="4">
        <f t="shared" si="2"/>
        <v>2586</v>
      </c>
      <c r="B2587" s="4" t="s">
        <v>5599</v>
      </c>
      <c r="C2587" s="5" t="s">
        <v>5600</v>
      </c>
      <c r="D2587" s="4"/>
      <c r="E2587" s="4"/>
      <c r="F2587" s="4" t="s">
        <v>1779</v>
      </c>
      <c r="G2587" s="21">
        <v>8.11</v>
      </c>
      <c r="H2587" s="7" t="s">
        <v>1606</v>
      </c>
      <c r="I2587" s="4" t="s">
        <v>1794</v>
      </c>
      <c r="J2587" s="4" t="s">
        <v>1795</v>
      </c>
      <c r="K2587" s="8"/>
      <c r="L2587" s="8" t="s">
        <v>5590</v>
      </c>
      <c r="M2587" s="9">
        <f t="shared" si="1"/>
        <v>33</v>
      </c>
    </row>
    <row r="2588" ht="12.75" customHeight="1">
      <c r="A2588" s="4">
        <f t="shared" si="2"/>
        <v>2587</v>
      </c>
      <c r="B2588" s="4" t="s">
        <v>5601</v>
      </c>
      <c r="C2588" s="5" t="s">
        <v>5602</v>
      </c>
      <c r="D2588" s="4"/>
      <c r="E2588" s="4"/>
      <c r="F2588" s="4" t="s">
        <v>1779</v>
      </c>
      <c r="G2588" s="6">
        <v>91.04</v>
      </c>
      <c r="H2588" s="7" t="s">
        <v>1606</v>
      </c>
      <c r="I2588" s="4" t="s">
        <v>1794</v>
      </c>
      <c r="J2588" s="4" t="s">
        <v>1795</v>
      </c>
      <c r="K2588" s="8"/>
      <c r="L2588" s="8" t="s">
        <v>5590</v>
      </c>
      <c r="M2588" s="9">
        <f t="shared" si="1"/>
        <v>35</v>
      </c>
    </row>
    <row r="2589" ht="12.75" customHeight="1">
      <c r="A2589" s="4">
        <f t="shared" si="2"/>
        <v>2588</v>
      </c>
      <c r="B2589" s="4" t="s">
        <v>5603</v>
      </c>
      <c r="C2589" s="5" t="s">
        <v>5604</v>
      </c>
      <c r="D2589" s="4"/>
      <c r="E2589" s="4"/>
      <c r="F2589" s="4" t="s">
        <v>1779</v>
      </c>
      <c r="G2589" s="6">
        <v>23.6</v>
      </c>
      <c r="H2589" s="7" t="s">
        <v>1606</v>
      </c>
      <c r="I2589" s="4" t="s">
        <v>1794</v>
      </c>
      <c r="J2589" s="4" t="s">
        <v>1795</v>
      </c>
      <c r="K2589" s="8"/>
      <c r="L2589" s="8" t="s">
        <v>5590</v>
      </c>
      <c r="M2589" s="9">
        <f t="shared" si="1"/>
        <v>27</v>
      </c>
    </row>
    <row r="2590" ht="12.75" customHeight="1">
      <c r="A2590" s="4">
        <f t="shared" si="2"/>
        <v>2589</v>
      </c>
      <c r="B2590" s="4" t="s">
        <v>5605</v>
      </c>
      <c r="C2590" s="5" t="s">
        <v>5606</v>
      </c>
      <c r="D2590" s="4"/>
      <c r="E2590" s="4"/>
      <c r="F2590" s="4" t="s">
        <v>1779</v>
      </c>
      <c r="G2590" s="6">
        <v>20.13</v>
      </c>
      <c r="H2590" s="7" t="s">
        <v>1606</v>
      </c>
      <c r="I2590" s="4" t="s">
        <v>1794</v>
      </c>
      <c r="J2590" s="4" t="s">
        <v>1795</v>
      </c>
      <c r="K2590" s="8"/>
      <c r="L2590" s="8" t="s">
        <v>5590</v>
      </c>
      <c r="M2590" s="9">
        <f t="shared" si="1"/>
        <v>35</v>
      </c>
    </row>
    <row r="2591" ht="12.75" customHeight="1">
      <c r="A2591" s="4">
        <f t="shared" si="2"/>
        <v>2590</v>
      </c>
      <c r="B2591" s="4" t="s">
        <v>5607</v>
      </c>
      <c r="C2591" s="5" t="s">
        <v>5608</v>
      </c>
      <c r="D2591" s="4"/>
      <c r="E2591" s="4"/>
      <c r="F2591" s="4" t="s">
        <v>1779</v>
      </c>
      <c r="G2591" s="6">
        <v>23.47</v>
      </c>
      <c r="H2591" s="7" t="s">
        <v>1606</v>
      </c>
      <c r="I2591" s="4" t="s">
        <v>1794</v>
      </c>
      <c r="J2591" s="4" t="s">
        <v>1795</v>
      </c>
      <c r="K2591" s="8"/>
      <c r="L2591" s="8" t="s">
        <v>5590</v>
      </c>
      <c r="M2591" s="9">
        <f t="shared" si="1"/>
        <v>36</v>
      </c>
    </row>
    <row r="2592" ht="12.75" customHeight="1">
      <c r="A2592" s="4">
        <f t="shared" si="2"/>
        <v>2591</v>
      </c>
      <c r="B2592" s="4" t="s">
        <v>5609</v>
      </c>
      <c r="C2592" s="5" t="s">
        <v>5610</v>
      </c>
      <c r="D2592" s="4"/>
      <c r="E2592" s="4"/>
      <c r="F2592" s="4" t="s">
        <v>1779</v>
      </c>
      <c r="G2592" s="6">
        <v>4.59</v>
      </c>
      <c r="H2592" s="7" t="s">
        <v>1606</v>
      </c>
      <c r="I2592" s="4" t="s">
        <v>1794</v>
      </c>
      <c r="J2592" s="4" t="s">
        <v>1795</v>
      </c>
      <c r="K2592" s="8"/>
      <c r="L2592" s="8" t="s">
        <v>5590</v>
      </c>
      <c r="M2592" s="9">
        <f t="shared" si="1"/>
        <v>34</v>
      </c>
    </row>
    <row r="2593" ht="12.75" customHeight="1">
      <c r="A2593" s="4">
        <f t="shared" si="2"/>
        <v>2592</v>
      </c>
      <c r="B2593" s="4" t="s">
        <v>5611</v>
      </c>
      <c r="C2593" s="5" t="s">
        <v>5612</v>
      </c>
      <c r="D2593" s="4"/>
      <c r="E2593" s="4"/>
      <c r="F2593" s="4" t="s">
        <v>1779</v>
      </c>
      <c r="G2593" s="6">
        <v>4.86</v>
      </c>
      <c r="H2593" s="7" t="s">
        <v>1606</v>
      </c>
      <c r="I2593" s="4" t="s">
        <v>1794</v>
      </c>
      <c r="J2593" s="4" t="s">
        <v>1795</v>
      </c>
      <c r="K2593" s="8"/>
      <c r="L2593" s="8" t="s">
        <v>5590</v>
      </c>
      <c r="M2593" s="9">
        <f t="shared" si="1"/>
        <v>35</v>
      </c>
    </row>
    <row r="2594" ht="12.75" customHeight="1">
      <c r="A2594" s="4">
        <f t="shared" si="2"/>
        <v>2593</v>
      </c>
      <c r="B2594" s="4" t="s">
        <v>5613</v>
      </c>
      <c r="C2594" s="5" t="s">
        <v>5614</v>
      </c>
      <c r="D2594" s="4"/>
      <c r="E2594" s="4"/>
      <c r="F2594" s="4" t="s">
        <v>1779</v>
      </c>
      <c r="G2594" s="6">
        <v>3.72</v>
      </c>
      <c r="H2594" s="7" t="s">
        <v>1606</v>
      </c>
      <c r="I2594" s="4" t="s">
        <v>1794</v>
      </c>
      <c r="J2594" s="4" t="s">
        <v>1795</v>
      </c>
      <c r="K2594" s="8"/>
      <c r="L2594" s="8" t="s">
        <v>5590</v>
      </c>
      <c r="M2594" s="9">
        <f t="shared" si="1"/>
        <v>35</v>
      </c>
    </row>
    <row r="2595" ht="12.75" customHeight="1">
      <c r="A2595" s="4">
        <f t="shared" si="2"/>
        <v>2594</v>
      </c>
      <c r="B2595" s="4" t="s">
        <v>5615</v>
      </c>
      <c r="C2595" s="5" t="s">
        <v>5616</v>
      </c>
      <c r="D2595" s="4"/>
      <c r="E2595" s="4"/>
      <c r="F2595" s="4" t="s">
        <v>1779</v>
      </c>
      <c r="G2595" s="6">
        <v>6.79</v>
      </c>
      <c r="H2595" s="7" t="s">
        <v>1606</v>
      </c>
      <c r="I2595" s="4" t="s">
        <v>1794</v>
      </c>
      <c r="J2595" s="4" t="s">
        <v>1795</v>
      </c>
      <c r="K2595" s="8"/>
      <c r="L2595" s="8" t="s">
        <v>5590</v>
      </c>
      <c r="M2595" s="9">
        <f t="shared" si="1"/>
        <v>35</v>
      </c>
    </row>
    <row r="2596" ht="12.75" customHeight="1">
      <c r="A2596" s="4">
        <f t="shared" si="2"/>
        <v>2595</v>
      </c>
      <c r="B2596" s="4" t="s">
        <v>5617</v>
      </c>
      <c r="C2596" s="5" t="s">
        <v>5618</v>
      </c>
      <c r="D2596" s="4"/>
      <c r="E2596" s="4"/>
      <c r="F2596" s="4" t="s">
        <v>3522</v>
      </c>
      <c r="G2596" s="6">
        <v>2.12</v>
      </c>
      <c r="H2596" s="7" t="s">
        <v>1606</v>
      </c>
      <c r="I2596" s="4" t="s">
        <v>5565</v>
      </c>
      <c r="J2596" s="4" t="s">
        <v>5566</v>
      </c>
      <c r="K2596" s="8"/>
      <c r="L2596" s="8" t="s">
        <v>5619</v>
      </c>
      <c r="M2596" s="9">
        <f t="shared" si="1"/>
        <v>21</v>
      </c>
    </row>
    <row r="2597" ht="12.75" customHeight="1">
      <c r="A2597" s="4">
        <f t="shared" si="2"/>
        <v>2596</v>
      </c>
      <c r="B2597" s="4" t="s">
        <v>5620</v>
      </c>
      <c r="C2597" s="5" t="s">
        <v>5621</v>
      </c>
      <c r="D2597" s="4"/>
      <c r="E2597" s="4"/>
      <c r="F2597" s="4" t="s">
        <v>22</v>
      </c>
      <c r="G2597" s="6">
        <v>8.11</v>
      </c>
      <c r="H2597" s="7" t="s">
        <v>1606</v>
      </c>
      <c r="I2597" s="4" t="s">
        <v>2819</v>
      </c>
      <c r="J2597" s="4" t="s">
        <v>1544</v>
      </c>
      <c r="K2597" s="8"/>
      <c r="L2597" s="8" t="s">
        <v>33</v>
      </c>
      <c r="M2597" s="9">
        <f t="shared" si="1"/>
        <v>35</v>
      </c>
    </row>
    <row r="2598" ht="12.75" customHeight="1">
      <c r="A2598" s="4">
        <f t="shared" si="2"/>
        <v>2597</v>
      </c>
      <c r="B2598" s="4" t="s">
        <v>5622</v>
      </c>
      <c r="C2598" s="5" t="s">
        <v>5623</v>
      </c>
      <c r="D2598" s="4"/>
      <c r="E2598" s="4"/>
      <c r="F2598" s="4" t="s">
        <v>22</v>
      </c>
      <c r="G2598" s="6">
        <v>5.65</v>
      </c>
      <c r="H2598" s="7" t="s">
        <v>1606</v>
      </c>
      <c r="I2598" s="4" t="s">
        <v>2085</v>
      </c>
      <c r="J2598" s="4" t="s">
        <v>4164</v>
      </c>
      <c r="K2598" s="8"/>
      <c r="L2598" s="8" t="s">
        <v>487</v>
      </c>
      <c r="M2598" s="9">
        <f t="shared" si="1"/>
        <v>23</v>
      </c>
    </row>
    <row r="2599" ht="12.75" customHeight="1">
      <c r="A2599" s="4">
        <f t="shared" si="2"/>
        <v>2598</v>
      </c>
      <c r="B2599" s="4" t="s">
        <v>5624</v>
      </c>
      <c r="C2599" s="5" t="s">
        <v>5625</v>
      </c>
      <c r="D2599" s="4"/>
      <c r="E2599" s="4"/>
      <c r="F2599" s="4" t="s">
        <v>22</v>
      </c>
      <c r="G2599" s="6">
        <v>14.84</v>
      </c>
      <c r="H2599" s="7" t="s">
        <v>1606</v>
      </c>
      <c r="I2599" s="4" t="s">
        <v>2085</v>
      </c>
      <c r="J2599" s="4" t="s">
        <v>4164</v>
      </c>
      <c r="K2599" s="8"/>
      <c r="L2599" s="8" t="s">
        <v>487</v>
      </c>
      <c r="M2599" s="9">
        <f t="shared" si="1"/>
        <v>23</v>
      </c>
    </row>
    <row r="2600" ht="12.75" customHeight="1">
      <c r="A2600" s="4">
        <f t="shared" si="2"/>
        <v>2599</v>
      </c>
      <c r="B2600" s="4" t="s">
        <v>5626</v>
      </c>
      <c r="C2600" s="5" t="s">
        <v>5627</v>
      </c>
      <c r="D2600" s="4"/>
      <c r="E2600" s="4"/>
      <c r="F2600" s="4" t="s">
        <v>22</v>
      </c>
      <c r="G2600" s="6">
        <v>6.3</v>
      </c>
      <c r="H2600" s="7" t="s">
        <v>1606</v>
      </c>
      <c r="I2600" s="4" t="s">
        <v>1773</v>
      </c>
      <c r="J2600" s="4" t="s">
        <v>2427</v>
      </c>
      <c r="K2600" s="8"/>
      <c r="L2600" s="8" t="s">
        <v>33</v>
      </c>
      <c r="M2600" s="9">
        <f t="shared" si="1"/>
        <v>27</v>
      </c>
    </row>
    <row r="2601" ht="12.75" customHeight="1">
      <c r="A2601" s="4">
        <f t="shared" si="2"/>
        <v>2600</v>
      </c>
      <c r="B2601" s="4" t="s">
        <v>5628</v>
      </c>
      <c r="C2601" s="5" t="s">
        <v>5629</v>
      </c>
      <c r="D2601" s="4"/>
      <c r="E2601" s="4"/>
      <c r="F2601" s="4" t="s">
        <v>22</v>
      </c>
      <c r="G2601" s="6">
        <v>125.0</v>
      </c>
      <c r="H2601" s="7" t="s">
        <v>1606</v>
      </c>
      <c r="I2601" s="4" t="s">
        <v>1574</v>
      </c>
      <c r="J2601" s="4" t="s">
        <v>5630</v>
      </c>
      <c r="K2601" s="8"/>
      <c r="L2601" s="8" t="s">
        <v>2618</v>
      </c>
      <c r="M2601" s="9">
        <f t="shared" si="1"/>
        <v>73</v>
      </c>
    </row>
    <row r="2602" ht="12.75" customHeight="1">
      <c r="A2602" s="4">
        <f t="shared" si="2"/>
        <v>2601</v>
      </c>
      <c r="B2602" s="4" t="s">
        <v>5631</v>
      </c>
      <c r="C2602" s="5" t="s">
        <v>5632</v>
      </c>
      <c r="D2602" s="4"/>
      <c r="E2602" s="4"/>
      <c r="F2602" s="4" t="s">
        <v>22</v>
      </c>
      <c r="G2602" s="6">
        <v>212.0</v>
      </c>
      <c r="H2602" s="7" t="s">
        <v>1606</v>
      </c>
      <c r="I2602" s="4" t="s">
        <v>1574</v>
      </c>
      <c r="J2602" s="4" t="s">
        <v>5630</v>
      </c>
      <c r="K2602" s="8"/>
      <c r="L2602" s="8" t="s">
        <v>2618</v>
      </c>
      <c r="M2602" s="9">
        <f t="shared" si="1"/>
        <v>73</v>
      </c>
    </row>
    <row r="2603" ht="12.75" customHeight="1">
      <c r="A2603" s="4">
        <f t="shared" si="2"/>
        <v>2602</v>
      </c>
      <c r="B2603" s="4" t="s">
        <v>5633</v>
      </c>
      <c r="C2603" s="5" t="s">
        <v>5634</v>
      </c>
      <c r="D2603" s="4"/>
      <c r="E2603" s="4"/>
      <c r="F2603" s="4" t="s">
        <v>22</v>
      </c>
      <c r="G2603" s="6">
        <v>2.84</v>
      </c>
      <c r="H2603" s="7" t="s">
        <v>1606</v>
      </c>
      <c r="I2603" s="4" t="s">
        <v>1773</v>
      </c>
      <c r="J2603" s="4" t="s">
        <v>1774</v>
      </c>
      <c r="K2603" s="8"/>
      <c r="L2603" s="8" t="s">
        <v>3551</v>
      </c>
      <c r="M2603" s="9">
        <f t="shared" si="1"/>
        <v>46</v>
      </c>
    </row>
    <row r="2604" ht="12.75" customHeight="1">
      <c r="A2604" s="4">
        <f t="shared" si="2"/>
        <v>2603</v>
      </c>
      <c r="B2604" s="4" t="s">
        <v>5635</v>
      </c>
      <c r="C2604" s="5" t="s">
        <v>5636</v>
      </c>
      <c r="D2604" s="4"/>
      <c r="E2604" s="4"/>
      <c r="F2604" s="4" t="s">
        <v>22</v>
      </c>
      <c r="G2604" s="6">
        <v>2.05</v>
      </c>
      <c r="H2604" s="7" t="s">
        <v>1606</v>
      </c>
      <c r="I2604" s="4" t="s">
        <v>1773</v>
      </c>
      <c r="J2604" s="4" t="s">
        <v>1774</v>
      </c>
      <c r="K2604" s="8"/>
      <c r="L2604" s="8" t="s">
        <v>3551</v>
      </c>
      <c r="M2604" s="9">
        <f t="shared" si="1"/>
        <v>47</v>
      </c>
    </row>
    <row r="2605" ht="12.75" customHeight="1">
      <c r="A2605" s="4">
        <f t="shared" si="2"/>
        <v>2604</v>
      </c>
      <c r="B2605" s="4" t="s">
        <v>5637</v>
      </c>
      <c r="C2605" s="5" t="s">
        <v>5638</v>
      </c>
      <c r="D2605" s="4"/>
      <c r="E2605" s="4"/>
      <c r="F2605" s="4" t="s">
        <v>22</v>
      </c>
      <c r="G2605" s="6">
        <v>1824.0</v>
      </c>
      <c r="H2605" s="7" t="s">
        <v>1606</v>
      </c>
      <c r="I2605" s="4" t="s">
        <v>1574</v>
      </c>
      <c r="J2605" s="4" t="s">
        <v>5630</v>
      </c>
      <c r="K2605" s="8"/>
      <c r="L2605" s="8" t="s">
        <v>5639</v>
      </c>
      <c r="M2605" s="9">
        <f t="shared" si="1"/>
        <v>73</v>
      </c>
    </row>
    <row r="2606" ht="12.75" customHeight="1">
      <c r="A2606" s="4">
        <f t="shared" si="2"/>
        <v>2605</v>
      </c>
      <c r="B2606" s="4" t="s">
        <v>5640</v>
      </c>
      <c r="C2606" s="5" t="s">
        <v>5641</v>
      </c>
      <c r="D2606" s="4"/>
      <c r="E2606" s="4"/>
      <c r="F2606" s="4" t="s">
        <v>22</v>
      </c>
      <c r="G2606" s="6">
        <v>2254.0</v>
      </c>
      <c r="H2606" s="7" t="s">
        <v>1606</v>
      </c>
      <c r="I2606" s="4" t="s">
        <v>1574</v>
      </c>
      <c r="J2606" s="4" t="s">
        <v>5630</v>
      </c>
      <c r="K2606" s="8"/>
      <c r="L2606" s="8" t="s">
        <v>5639</v>
      </c>
      <c r="M2606" s="9">
        <f t="shared" si="1"/>
        <v>77</v>
      </c>
    </row>
    <row r="2607" ht="12.75" customHeight="1">
      <c r="A2607" s="4">
        <f t="shared" si="2"/>
        <v>2606</v>
      </c>
      <c r="B2607" s="4" t="s">
        <v>5642</v>
      </c>
      <c r="C2607" s="5" t="s">
        <v>5643</v>
      </c>
      <c r="D2607" s="4"/>
      <c r="E2607" s="4"/>
      <c r="F2607" s="4" t="s">
        <v>22</v>
      </c>
      <c r="G2607" s="6">
        <v>1.41</v>
      </c>
      <c r="H2607" s="7" t="s">
        <v>1606</v>
      </c>
      <c r="I2607" s="4" t="s">
        <v>1773</v>
      </c>
      <c r="J2607" s="4" t="s">
        <v>1774</v>
      </c>
      <c r="K2607" s="8"/>
      <c r="L2607" s="8" t="s">
        <v>3551</v>
      </c>
      <c r="M2607" s="9">
        <f t="shared" si="1"/>
        <v>48</v>
      </c>
    </row>
    <row r="2608" ht="12.75" customHeight="1">
      <c r="A2608" s="4">
        <f t="shared" si="2"/>
        <v>2607</v>
      </c>
      <c r="B2608" s="4" t="s">
        <v>5644</v>
      </c>
      <c r="C2608" s="5" t="s">
        <v>5645</v>
      </c>
      <c r="D2608" s="4"/>
      <c r="E2608" s="4"/>
      <c r="F2608" s="4" t="s">
        <v>22</v>
      </c>
      <c r="G2608" s="6">
        <v>11.86</v>
      </c>
      <c r="H2608" s="7" t="s">
        <v>1606</v>
      </c>
      <c r="I2608" s="4" t="s">
        <v>2646</v>
      </c>
      <c r="J2608" s="4" t="s">
        <v>3904</v>
      </c>
      <c r="K2608" s="8"/>
      <c r="L2608" s="8" t="s">
        <v>5646</v>
      </c>
      <c r="M2608" s="9">
        <f t="shared" si="1"/>
        <v>73</v>
      </c>
    </row>
    <row r="2609" ht="12.75" customHeight="1">
      <c r="A2609" s="4">
        <f t="shared" si="2"/>
        <v>2608</v>
      </c>
      <c r="B2609" s="4" t="s">
        <v>5647</v>
      </c>
      <c r="C2609" s="5" t="s">
        <v>5648</v>
      </c>
      <c r="D2609" s="4"/>
      <c r="E2609" s="4"/>
      <c r="F2609" s="4" t="s">
        <v>22</v>
      </c>
      <c r="G2609" s="6">
        <v>16.19</v>
      </c>
      <c r="H2609" s="7" t="s">
        <v>1606</v>
      </c>
      <c r="I2609" s="4" t="s">
        <v>2646</v>
      </c>
      <c r="J2609" s="4" t="s">
        <v>3904</v>
      </c>
      <c r="K2609" s="8"/>
      <c r="L2609" s="8" t="s">
        <v>5646</v>
      </c>
      <c r="M2609" s="9">
        <f t="shared" si="1"/>
        <v>73</v>
      </c>
    </row>
    <row r="2610" ht="12.75" customHeight="1">
      <c r="A2610" s="4">
        <f t="shared" si="2"/>
        <v>2609</v>
      </c>
      <c r="B2610" s="4" t="s">
        <v>5649</v>
      </c>
      <c r="C2610" s="5" t="s">
        <v>5650</v>
      </c>
      <c r="D2610" s="4"/>
      <c r="E2610" s="4"/>
      <c r="F2610" s="4" t="s">
        <v>22</v>
      </c>
      <c r="G2610" s="6">
        <v>11.86</v>
      </c>
      <c r="H2610" s="7" t="s">
        <v>1606</v>
      </c>
      <c r="I2610" s="4" t="s">
        <v>2646</v>
      </c>
      <c r="J2610" s="4" t="s">
        <v>3904</v>
      </c>
      <c r="K2610" s="8"/>
      <c r="L2610" s="8" t="s">
        <v>5646</v>
      </c>
      <c r="M2610" s="9">
        <f t="shared" si="1"/>
        <v>65</v>
      </c>
    </row>
    <row r="2611" ht="12.75" customHeight="1">
      <c r="A2611" s="4">
        <f t="shared" si="2"/>
        <v>2610</v>
      </c>
      <c r="B2611" s="4" t="s">
        <v>5651</v>
      </c>
      <c r="C2611" s="5" t="s">
        <v>5652</v>
      </c>
      <c r="D2611" s="4"/>
      <c r="E2611" s="4"/>
      <c r="F2611" s="4" t="s">
        <v>22</v>
      </c>
      <c r="G2611" s="6">
        <v>16.19</v>
      </c>
      <c r="H2611" s="7" t="s">
        <v>1606</v>
      </c>
      <c r="I2611" s="4" t="s">
        <v>2646</v>
      </c>
      <c r="J2611" s="4" t="s">
        <v>3904</v>
      </c>
      <c r="K2611" s="8"/>
      <c r="L2611" s="8" t="s">
        <v>5646</v>
      </c>
      <c r="M2611" s="9">
        <f t="shared" si="1"/>
        <v>65</v>
      </c>
    </row>
    <row r="2612" ht="12.75" customHeight="1">
      <c r="A2612" s="4">
        <f t="shared" si="2"/>
        <v>2611</v>
      </c>
      <c r="B2612" s="4" t="s">
        <v>5653</v>
      </c>
      <c r="C2612" s="5" t="s">
        <v>5654</v>
      </c>
      <c r="D2612" s="4"/>
      <c r="E2612" s="4"/>
      <c r="F2612" s="4" t="s">
        <v>22</v>
      </c>
      <c r="G2612" s="6">
        <v>11.86</v>
      </c>
      <c r="H2612" s="7" t="s">
        <v>1606</v>
      </c>
      <c r="I2612" s="4" t="s">
        <v>2646</v>
      </c>
      <c r="J2612" s="4" t="s">
        <v>3904</v>
      </c>
      <c r="K2612" s="8"/>
      <c r="L2612" s="8" t="s">
        <v>5646</v>
      </c>
      <c r="M2612" s="9">
        <f t="shared" si="1"/>
        <v>75</v>
      </c>
    </row>
    <row r="2613" ht="12.75" customHeight="1">
      <c r="A2613" s="4">
        <f t="shared" si="2"/>
        <v>2612</v>
      </c>
      <c r="B2613" s="4" t="s">
        <v>5655</v>
      </c>
      <c r="C2613" s="5" t="s">
        <v>5656</v>
      </c>
      <c r="D2613" s="4"/>
      <c r="E2613" s="4"/>
      <c r="F2613" s="4" t="s">
        <v>22</v>
      </c>
      <c r="G2613" s="6">
        <v>16.19</v>
      </c>
      <c r="H2613" s="7" t="s">
        <v>1606</v>
      </c>
      <c r="I2613" s="4" t="s">
        <v>2646</v>
      </c>
      <c r="J2613" s="4" t="s">
        <v>3904</v>
      </c>
      <c r="K2613" s="8"/>
      <c r="L2613" s="8" t="s">
        <v>5646</v>
      </c>
      <c r="M2613" s="9">
        <f t="shared" si="1"/>
        <v>75</v>
      </c>
    </row>
    <row r="2614" ht="12.75" customHeight="1">
      <c r="A2614" s="4">
        <f t="shared" si="2"/>
        <v>2613</v>
      </c>
      <c r="B2614" s="4" t="s">
        <v>5657</v>
      </c>
      <c r="C2614" s="5" t="s">
        <v>5658</v>
      </c>
      <c r="D2614" s="4"/>
      <c r="E2614" s="4"/>
      <c r="F2614" s="4" t="s">
        <v>22</v>
      </c>
      <c r="G2614" s="6">
        <v>11.86</v>
      </c>
      <c r="H2614" s="7" t="s">
        <v>1606</v>
      </c>
      <c r="I2614" s="4" t="s">
        <v>2646</v>
      </c>
      <c r="J2614" s="4" t="s">
        <v>3904</v>
      </c>
      <c r="K2614" s="8"/>
      <c r="L2614" s="8" t="s">
        <v>5646</v>
      </c>
      <c r="M2614" s="9">
        <f t="shared" si="1"/>
        <v>71</v>
      </c>
    </row>
    <row r="2615" ht="12.75" customHeight="1">
      <c r="A2615" s="4">
        <f t="shared" si="2"/>
        <v>2614</v>
      </c>
      <c r="B2615" s="4" t="s">
        <v>5659</v>
      </c>
      <c r="C2615" s="5" t="s">
        <v>5660</v>
      </c>
      <c r="D2615" s="4"/>
      <c r="E2615" s="4"/>
      <c r="F2615" s="4" t="s">
        <v>22</v>
      </c>
      <c r="G2615" s="6">
        <v>16.19</v>
      </c>
      <c r="H2615" s="7" t="s">
        <v>1606</v>
      </c>
      <c r="I2615" s="4" t="s">
        <v>2646</v>
      </c>
      <c r="J2615" s="4" t="s">
        <v>3904</v>
      </c>
      <c r="K2615" s="8"/>
      <c r="L2615" s="8" t="s">
        <v>5646</v>
      </c>
      <c r="M2615" s="9">
        <f t="shared" si="1"/>
        <v>71</v>
      </c>
    </row>
    <row r="2616" ht="12.75" customHeight="1">
      <c r="A2616" s="4">
        <f t="shared" si="2"/>
        <v>2615</v>
      </c>
      <c r="B2616" s="4" t="s">
        <v>5661</v>
      </c>
      <c r="C2616" s="5" t="s">
        <v>5662</v>
      </c>
      <c r="D2616" s="4"/>
      <c r="E2616" s="4"/>
      <c r="F2616" s="4" t="s">
        <v>22</v>
      </c>
      <c r="G2616" s="6">
        <v>11.86</v>
      </c>
      <c r="H2616" s="7" t="s">
        <v>1606</v>
      </c>
      <c r="I2616" s="4" t="s">
        <v>2646</v>
      </c>
      <c r="J2616" s="4" t="s">
        <v>3904</v>
      </c>
      <c r="K2616" s="8"/>
      <c r="L2616" s="8" t="s">
        <v>5646</v>
      </c>
      <c r="M2616" s="9">
        <f t="shared" si="1"/>
        <v>70</v>
      </c>
    </row>
    <row r="2617" ht="12.75" customHeight="1">
      <c r="A2617" s="4">
        <f t="shared" si="2"/>
        <v>2616</v>
      </c>
      <c r="B2617" s="4" t="s">
        <v>5663</v>
      </c>
      <c r="C2617" s="5" t="s">
        <v>5664</v>
      </c>
      <c r="D2617" s="4"/>
      <c r="E2617" s="4"/>
      <c r="F2617" s="4" t="s">
        <v>22</v>
      </c>
      <c r="G2617" s="6">
        <v>16.19</v>
      </c>
      <c r="H2617" s="7" t="s">
        <v>1606</v>
      </c>
      <c r="I2617" s="4" t="s">
        <v>2646</v>
      </c>
      <c r="J2617" s="4" t="s">
        <v>3904</v>
      </c>
      <c r="K2617" s="8"/>
      <c r="L2617" s="8" t="s">
        <v>5646</v>
      </c>
      <c r="M2617" s="9">
        <f t="shared" si="1"/>
        <v>70</v>
      </c>
    </row>
    <row r="2618" ht="12.75" customHeight="1">
      <c r="A2618" s="4">
        <f t="shared" si="2"/>
        <v>2617</v>
      </c>
      <c r="B2618" s="4" t="s">
        <v>5665</v>
      </c>
      <c r="C2618" s="5" t="s">
        <v>5666</v>
      </c>
      <c r="D2618" s="4"/>
      <c r="E2618" s="4"/>
      <c r="F2618" s="4" t="s">
        <v>22</v>
      </c>
      <c r="G2618" s="6">
        <v>16.19</v>
      </c>
      <c r="H2618" s="7" t="s">
        <v>1606</v>
      </c>
      <c r="I2618" s="4" t="s">
        <v>2646</v>
      </c>
      <c r="J2618" s="4" t="s">
        <v>3904</v>
      </c>
      <c r="K2618" s="8"/>
      <c r="L2618" s="8" t="s">
        <v>5646</v>
      </c>
      <c r="M2618" s="9">
        <f t="shared" si="1"/>
        <v>70</v>
      </c>
    </row>
    <row r="2619" ht="12.75" customHeight="1">
      <c r="A2619" s="4">
        <f t="shared" si="2"/>
        <v>2618</v>
      </c>
      <c r="B2619" s="4" t="s">
        <v>5667</v>
      </c>
      <c r="C2619" s="5" t="s">
        <v>5668</v>
      </c>
      <c r="D2619" s="4"/>
      <c r="E2619" s="4"/>
      <c r="F2619" s="4" t="s">
        <v>22</v>
      </c>
      <c r="G2619" s="6">
        <v>21.62</v>
      </c>
      <c r="H2619" s="7" t="s">
        <v>1606</v>
      </c>
      <c r="I2619" s="4" t="s">
        <v>2011</v>
      </c>
      <c r="J2619" s="4" t="s">
        <v>4086</v>
      </c>
      <c r="K2619" s="8"/>
      <c r="L2619" s="8" t="s">
        <v>33</v>
      </c>
      <c r="M2619" s="9">
        <f t="shared" si="1"/>
        <v>62</v>
      </c>
    </row>
    <row r="2620" ht="12.75" customHeight="1">
      <c r="A2620" s="4">
        <f t="shared" si="2"/>
        <v>2619</v>
      </c>
      <c r="B2620" s="4" t="s">
        <v>5669</v>
      </c>
      <c r="C2620" s="5" t="s">
        <v>5670</v>
      </c>
      <c r="D2620" s="4"/>
      <c r="E2620" s="4"/>
      <c r="F2620" s="4" t="s">
        <v>22</v>
      </c>
      <c r="G2620" s="6">
        <v>0.3</v>
      </c>
      <c r="H2620" s="7" t="s">
        <v>1606</v>
      </c>
      <c r="I2620" s="4" t="s">
        <v>17</v>
      </c>
      <c r="J2620" s="4" t="s">
        <v>2424</v>
      </c>
      <c r="K2620" s="8"/>
      <c r="L2620" s="8" t="s">
        <v>33</v>
      </c>
      <c r="M2620" s="9">
        <f t="shared" si="1"/>
        <v>56</v>
      </c>
    </row>
    <row r="2621" ht="12.75" customHeight="1">
      <c r="A2621" s="4">
        <f t="shared" si="2"/>
        <v>2620</v>
      </c>
      <c r="B2621" s="4" t="s">
        <v>5671</v>
      </c>
      <c r="C2621" s="5" t="s">
        <v>5672</v>
      </c>
      <c r="D2621" s="4"/>
      <c r="E2621" s="4"/>
      <c r="F2621" s="4" t="s">
        <v>22</v>
      </c>
      <c r="G2621" s="6">
        <v>0.3</v>
      </c>
      <c r="H2621" s="7" t="s">
        <v>1606</v>
      </c>
      <c r="I2621" s="4" t="s">
        <v>1773</v>
      </c>
      <c r="J2621" s="4" t="s">
        <v>1774</v>
      </c>
      <c r="K2621" s="8"/>
      <c r="L2621" s="8" t="s">
        <v>2097</v>
      </c>
      <c r="M2621" s="9">
        <f t="shared" si="1"/>
        <v>16</v>
      </c>
    </row>
    <row r="2622" ht="12.75" customHeight="1">
      <c r="A2622" s="4">
        <f t="shared" si="2"/>
        <v>2621</v>
      </c>
      <c r="B2622" s="4" t="s">
        <v>5673</v>
      </c>
      <c r="C2622" s="5" t="s">
        <v>5674</v>
      </c>
      <c r="D2622" s="4"/>
      <c r="E2622" s="4"/>
      <c r="F2622" s="4" t="s">
        <v>22</v>
      </c>
      <c r="G2622" s="6">
        <v>0.45</v>
      </c>
      <c r="H2622" s="7" t="s">
        <v>1606</v>
      </c>
      <c r="I2622" s="4" t="s">
        <v>1773</v>
      </c>
      <c r="J2622" s="4" t="s">
        <v>1774</v>
      </c>
      <c r="K2622" s="8"/>
      <c r="L2622" s="8" t="s">
        <v>2097</v>
      </c>
      <c r="M2622" s="9">
        <f t="shared" si="1"/>
        <v>18</v>
      </c>
    </row>
    <row r="2623" ht="12.75" customHeight="1">
      <c r="A2623" s="4">
        <f t="shared" si="2"/>
        <v>2622</v>
      </c>
      <c r="B2623" s="4" t="s">
        <v>5675</v>
      </c>
      <c r="C2623" s="5" t="s">
        <v>5676</v>
      </c>
      <c r="D2623" s="4"/>
      <c r="E2623" s="4"/>
      <c r="F2623" s="4" t="s">
        <v>22</v>
      </c>
      <c r="G2623" s="6">
        <v>0.67</v>
      </c>
      <c r="H2623" s="7" t="s">
        <v>1606</v>
      </c>
      <c r="I2623" s="4" t="s">
        <v>1773</v>
      </c>
      <c r="J2623" s="4" t="s">
        <v>1774</v>
      </c>
      <c r="K2623" s="8"/>
      <c r="L2623" s="8" t="s">
        <v>2097</v>
      </c>
      <c r="M2623" s="9">
        <f t="shared" si="1"/>
        <v>17</v>
      </c>
    </row>
    <row r="2624" ht="12.75" customHeight="1">
      <c r="A2624" s="4">
        <f t="shared" si="2"/>
        <v>2623</v>
      </c>
      <c r="B2624" s="4" t="s">
        <v>5677</v>
      </c>
      <c r="C2624" s="5" t="s">
        <v>5678</v>
      </c>
      <c r="D2624" s="4"/>
      <c r="E2624" s="4"/>
      <c r="F2624" s="4" t="s">
        <v>22</v>
      </c>
      <c r="G2624" s="6">
        <v>0.76</v>
      </c>
      <c r="H2624" s="7" t="s">
        <v>1606</v>
      </c>
      <c r="I2624" s="4" t="s">
        <v>1773</v>
      </c>
      <c r="J2624" s="4" t="s">
        <v>1774</v>
      </c>
      <c r="K2624" s="8"/>
      <c r="L2624" s="8" t="s">
        <v>2097</v>
      </c>
      <c r="M2624" s="9">
        <f t="shared" si="1"/>
        <v>37</v>
      </c>
    </row>
    <row r="2625" ht="12.75" customHeight="1">
      <c r="A2625" s="4">
        <f t="shared" si="2"/>
        <v>2624</v>
      </c>
      <c r="B2625" s="4" t="s">
        <v>5679</v>
      </c>
      <c r="C2625" s="5" t="s">
        <v>5680</v>
      </c>
      <c r="D2625" s="4"/>
      <c r="E2625" s="4"/>
      <c r="F2625" s="4" t="s">
        <v>22</v>
      </c>
      <c r="G2625" s="6">
        <v>0.76</v>
      </c>
      <c r="H2625" s="7" t="s">
        <v>1606</v>
      </c>
      <c r="I2625" s="4" t="s">
        <v>1773</v>
      </c>
      <c r="J2625" s="4" t="s">
        <v>1774</v>
      </c>
      <c r="K2625" s="8"/>
      <c r="L2625" s="8" t="s">
        <v>2097</v>
      </c>
      <c r="M2625" s="9">
        <f t="shared" si="1"/>
        <v>38</v>
      </c>
    </row>
    <row r="2626" ht="12.75" customHeight="1">
      <c r="A2626" s="4">
        <f t="shared" si="2"/>
        <v>2625</v>
      </c>
      <c r="B2626" s="4" t="s">
        <v>5681</v>
      </c>
      <c r="C2626" s="5" t="s">
        <v>5682</v>
      </c>
      <c r="D2626" s="4"/>
      <c r="E2626" s="4"/>
      <c r="F2626" s="4" t="s">
        <v>22</v>
      </c>
      <c r="G2626" s="6">
        <v>161.89</v>
      </c>
      <c r="H2626" s="7" t="s">
        <v>1606</v>
      </c>
      <c r="I2626" s="4" t="s">
        <v>523</v>
      </c>
      <c r="J2626" s="4" t="s">
        <v>5683</v>
      </c>
      <c r="K2626" s="8"/>
      <c r="L2626" s="8" t="s">
        <v>5684</v>
      </c>
      <c r="M2626" s="9">
        <f t="shared" si="1"/>
        <v>36</v>
      </c>
    </row>
    <row r="2627" ht="12.75" customHeight="1">
      <c r="A2627" s="4">
        <f t="shared" si="2"/>
        <v>2626</v>
      </c>
      <c r="B2627" s="4" t="s">
        <v>5685</v>
      </c>
      <c r="C2627" s="5" t="s">
        <v>5686</v>
      </c>
      <c r="D2627" s="4"/>
      <c r="E2627" s="4"/>
      <c r="F2627" s="4" t="s">
        <v>22</v>
      </c>
      <c r="G2627" s="6">
        <v>2.92</v>
      </c>
      <c r="H2627" s="7" t="s">
        <v>1606</v>
      </c>
      <c r="I2627" s="4" t="s">
        <v>1574</v>
      </c>
      <c r="J2627" s="4" t="s">
        <v>2501</v>
      </c>
      <c r="K2627" s="8"/>
      <c r="L2627" s="8" t="s">
        <v>2601</v>
      </c>
      <c r="M2627" s="9">
        <f t="shared" si="1"/>
        <v>44</v>
      </c>
    </row>
    <row r="2628" ht="12.75" customHeight="1">
      <c r="A2628" s="4">
        <f t="shared" si="2"/>
        <v>2627</v>
      </c>
      <c r="B2628" s="4" t="s">
        <v>5687</v>
      </c>
      <c r="C2628" s="5" t="s">
        <v>5688</v>
      </c>
      <c r="D2628" s="4"/>
      <c r="E2628" s="4"/>
      <c r="F2628" s="4" t="s">
        <v>22</v>
      </c>
      <c r="G2628" s="6">
        <v>0.68</v>
      </c>
      <c r="H2628" s="7" t="s">
        <v>1606</v>
      </c>
      <c r="I2628" s="4" t="s">
        <v>1574</v>
      </c>
      <c r="J2628" s="4" t="s">
        <v>2501</v>
      </c>
      <c r="K2628" s="8"/>
      <c r="L2628" s="8" t="s">
        <v>2601</v>
      </c>
      <c r="M2628" s="9">
        <f t="shared" si="1"/>
        <v>34</v>
      </c>
    </row>
    <row r="2629" ht="12.75" customHeight="1">
      <c r="A2629" s="4">
        <f t="shared" si="2"/>
        <v>2628</v>
      </c>
      <c r="B2629" s="4" t="s">
        <v>5689</v>
      </c>
      <c r="C2629" s="5" t="s">
        <v>5690</v>
      </c>
      <c r="D2629" s="4"/>
      <c r="E2629" s="4"/>
      <c r="F2629" s="4" t="s">
        <v>22</v>
      </c>
      <c r="G2629" s="6">
        <v>2.7</v>
      </c>
      <c r="H2629" s="7" t="s">
        <v>1606</v>
      </c>
      <c r="I2629" s="4" t="s">
        <v>1574</v>
      </c>
      <c r="J2629" s="4" t="s">
        <v>2501</v>
      </c>
      <c r="K2629" s="8"/>
      <c r="L2629" s="8" t="s">
        <v>33</v>
      </c>
      <c r="M2629" s="9">
        <f t="shared" si="1"/>
        <v>50</v>
      </c>
    </row>
    <row r="2630" ht="12.75" customHeight="1">
      <c r="A2630" s="4">
        <f t="shared" si="2"/>
        <v>2629</v>
      </c>
      <c r="B2630" s="4" t="s">
        <v>5691</v>
      </c>
      <c r="C2630" s="5" t="s">
        <v>5692</v>
      </c>
      <c r="D2630" s="4"/>
      <c r="E2630" s="4"/>
      <c r="F2630" s="4" t="s">
        <v>22</v>
      </c>
      <c r="G2630" s="6">
        <v>2.7</v>
      </c>
      <c r="H2630" s="7" t="s">
        <v>1606</v>
      </c>
      <c r="I2630" s="4" t="s">
        <v>1574</v>
      </c>
      <c r="J2630" s="4" t="s">
        <v>2501</v>
      </c>
      <c r="K2630" s="8"/>
      <c r="L2630" s="8" t="s">
        <v>2601</v>
      </c>
      <c r="M2630" s="9">
        <f t="shared" si="1"/>
        <v>40</v>
      </c>
    </row>
    <row r="2631" ht="12.75" customHeight="1">
      <c r="A2631" s="4">
        <f t="shared" si="2"/>
        <v>2630</v>
      </c>
      <c r="B2631" s="4" t="s">
        <v>5693</v>
      </c>
      <c r="C2631" s="5" t="s">
        <v>5694</v>
      </c>
      <c r="D2631" s="4"/>
      <c r="E2631" s="4"/>
      <c r="F2631" s="4" t="s">
        <v>22</v>
      </c>
      <c r="G2631" s="6">
        <v>0.96</v>
      </c>
      <c r="H2631" s="7" t="s">
        <v>1606</v>
      </c>
      <c r="I2631" s="4" t="s">
        <v>1574</v>
      </c>
      <c r="J2631" s="4" t="s">
        <v>830</v>
      </c>
      <c r="K2631" s="8"/>
      <c r="L2631" s="8" t="s">
        <v>2169</v>
      </c>
      <c r="M2631" s="9">
        <f t="shared" si="1"/>
        <v>38</v>
      </c>
    </row>
    <row r="2632" ht="12.75" customHeight="1">
      <c r="A2632" s="4">
        <f t="shared" si="2"/>
        <v>2631</v>
      </c>
      <c r="B2632" s="4" t="s">
        <v>5695</v>
      </c>
      <c r="C2632" s="5" t="s">
        <v>5696</v>
      </c>
      <c r="D2632" s="4"/>
      <c r="E2632" s="4"/>
      <c r="F2632" s="4" t="s">
        <v>22</v>
      </c>
      <c r="G2632" s="6">
        <v>0.68</v>
      </c>
      <c r="H2632" s="7" t="s">
        <v>1606</v>
      </c>
      <c r="I2632" s="4" t="s">
        <v>1574</v>
      </c>
      <c r="J2632" s="4" t="s">
        <v>830</v>
      </c>
      <c r="K2632" s="8"/>
      <c r="L2632" s="8" t="s">
        <v>2169</v>
      </c>
      <c r="M2632" s="9">
        <f t="shared" si="1"/>
        <v>50</v>
      </c>
    </row>
    <row r="2633" ht="12.75" customHeight="1">
      <c r="A2633" s="4">
        <f t="shared" si="2"/>
        <v>2632</v>
      </c>
      <c r="B2633" s="4" t="s">
        <v>5697</v>
      </c>
      <c r="C2633" s="5" t="s">
        <v>5698</v>
      </c>
      <c r="D2633" s="4"/>
      <c r="E2633" s="4"/>
      <c r="F2633" s="4" t="s">
        <v>22</v>
      </c>
      <c r="G2633" s="6">
        <v>0.68</v>
      </c>
      <c r="H2633" s="7" t="s">
        <v>1606</v>
      </c>
      <c r="I2633" s="4" t="s">
        <v>1574</v>
      </c>
      <c r="J2633" s="4" t="s">
        <v>830</v>
      </c>
      <c r="K2633" s="8"/>
      <c r="L2633" s="8" t="s">
        <v>2169</v>
      </c>
      <c r="M2633" s="9">
        <f t="shared" si="1"/>
        <v>46</v>
      </c>
    </row>
    <row r="2634" ht="12.75" customHeight="1">
      <c r="A2634" s="4">
        <f t="shared" si="2"/>
        <v>2633</v>
      </c>
      <c r="B2634" s="4" t="s">
        <v>5699</v>
      </c>
      <c r="C2634" s="5" t="s">
        <v>5700</v>
      </c>
      <c r="D2634" s="4"/>
      <c r="E2634" s="4"/>
      <c r="F2634" s="4" t="s">
        <v>22</v>
      </c>
      <c r="G2634" s="6">
        <v>1.05</v>
      </c>
      <c r="H2634" s="7" t="s">
        <v>1606</v>
      </c>
      <c r="I2634" s="4" t="s">
        <v>1574</v>
      </c>
      <c r="J2634" s="4" t="s">
        <v>2597</v>
      </c>
      <c r="K2634" s="8"/>
      <c r="L2634" s="8" t="s">
        <v>33</v>
      </c>
      <c r="M2634" s="9">
        <f t="shared" si="1"/>
        <v>34</v>
      </c>
    </row>
    <row r="2635" ht="12.75" customHeight="1">
      <c r="A2635" s="4">
        <f t="shared" si="2"/>
        <v>2634</v>
      </c>
      <c r="B2635" s="4" t="s">
        <v>5701</v>
      </c>
      <c r="C2635" s="5" t="s">
        <v>5702</v>
      </c>
      <c r="D2635" s="4"/>
      <c r="E2635" s="4"/>
      <c r="F2635" s="4" t="s">
        <v>22</v>
      </c>
      <c r="G2635" s="6">
        <v>2.7</v>
      </c>
      <c r="H2635" s="7" t="s">
        <v>1606</v>
      </c>
      <c r="I2635" s="4" t="s">
        <v>1574</v>
      </c>
      <c r="J2635" s="4" t="s">
        <v>2501</v>
      </c>
      <c r="K2635" s="8"/>
      <c r="L2635" s="8" t="s">
        <v>3412</v>
      </c>
      <c r="M2635" s="9">
        <f t="shared" si="1"/>
        <v>29</v>
      </c>
    </row>
    <row r="2636" ht="12.75" customHeight="1">
      <c r="A2636" s="4">
        <f t="shared" si="2"/>
        <v>2635</v>
      </c>
      <c r="B2636" s="4" t="s">
        <v>5703</v>
      </c>
      <c r="C2636" s="5" t="s">
        <v>5704</v>
      </c>
      <c r="D2636" s="4"/>
      <c r="E2636" s="4"/>
      <c r="F2636" s="4" t="s">
        <v>22</v>
      </c>
      <c r="G2636" s="6">
        <v>1.06</v>
      </c>
      <c r="H2636" s="7" t="s">
        <v>1606</v>
      </c>
      <c r="I2636" s="4" t="s">
        <v>1574</v>
      </c>
      <c r="J2636" s="4" t="s">
        <v>830</v>
      </c>
      <c r="K2636" s="8"/>
      <c r="L2636" s="8" t="s">
        <v>2152</v>
      </c>
      <c r="M2636" s="9">
        <f t="shared" si="1"/>
        <v>58</v>
      </c>
    </row>
    <row r="2637" ht="12.75" customHeight="1">
      <c r="A2637" s="4">
        <f t="shared" si="2"/>
        <v>2636</v>
      </c>
      <c r="B2637" s="4" t="s">
        <v>5705</v>
      </c>
      <c r="C2637" s="5" t="s">
        <v>5706</v>
      </c>
      <c r="D2637" s="4"/>
      <c r="E2637" s="4"/>
      <c r="F2637" s="4" t="s">
        <v>22</v>
      </c>
      <c r="G2637" s="6">
        <v>1.32</v>
      </c>
      <c r="H2637" s="7" t="s">
        <v>1606</v>
      </c>
      <c r="I2637" s="4" t="s">
        <v>1623</v>
      </c>
      <c r="J2637" s="4" t="s">
        <v>2230</v>
      </c>
      <c r="K2637" s="8"/>
      <c r="L2637" s="8" t="s">
        <v>2231</v>
      </c>
      <c r="M2637" s="9">
        <f t="shared" si="1"/>
        <v>37</v>
      </c>
    </row>
    <row r="2638" ht="12.75" customHeight="1">
      <c r="A2638" s="4">
        <f t="shared" si="2"/>
        <v>2637</v>
      </c>
      <c r="B2638" s="4" t="s">
        <v>5707</v>
      </c>
      <c r="C2638" s="5" t="s">
        <v>5708</v>
      </c>
      <c r="D2638" s="4"/>
      <c r="E2638" s="4"/>
      <c r="F2638" s="4" t="s">
        <v>22</v>
      </c>
      <c r="G2638" s="6">
        <v>1.08</v>
      </c>
      <c r="H2638" s="7" t="s">
        <v>1606</v>
      </c>
      <c r="I2638" s="4" t="s">
        <v>1623</v>
      </c>
      <c r="J2638" s="4" t="s">
        <v>2230</v>
      </c>
      <c r="K2638" s="8"/>
      <c r="L2638" s="8" t="s">
        <v>2231</v>
      </c>
      <c r="M2638" s="9">
        <f t="shared" si="1"/>
        <v>37</v>
      </c>
    </row>
    <row r="2639" ht="12.75" customHeight="1">
      <c r="A2639" s="4">
        <f t="shared" si="2"/>
        <v>2638</v>
      </c>
      <c r="B2639" s="4" t="s">
        <v>5709</v>
      </c>
      <c r="C2639" s="5" t="s">
        <v>5710</v>
      </c>
      <c r="D2639" s="4"/>
      <c r="E2639" s="4"/>
      <c r="F2639" s="4" t="s">
        <v>22</v>
      </c>
      <c r="G2639" s="6">
        <v>1.03</v>
      </c>
      <c r="H2639" s="7" t="s">
        <v>1606</v>
      </c>
      <c r="I2639" s="4" t="s">
        <v>1623</v>
      </c>
      <c r="J2639" s="4" t="s">
        <v>2230</v>
      </c>
      <c r="K2639" s="8"/>
      <c r="L2639" s="8" t="s">
        <v>2231</v>
      </c>
      <c r="M2639" s="9">
        <f t="shared" si="1"/>
        <v>33</v>
      </c>
    </row>
    <row r="2640" ht="12.75" customHeight="1">
      <c r="A2640" s="4">
        <f t="shared" si="2"/>
        <v>2639</v>
      </c>
      <c r="B2640" s="4" t="s">
        <v>5711</v>
      </c>
      <c r="C2640" s="5" t="s">
        <v>5712</v>
      </c>
      <c r="D2640" s="4"/>
      <c r="E2640" s="4"/>
      <c r="F2640" s="4" t="s">
        <v>22</v>
      </c>
      <c r="G2640" s="6">
        <v>0.95</v>
      </c>
      <c r="H2640" s="7" t="s">
        <v>1606</v>
      </c>
      <c r="I2640" s="4" t="s">
        <v>1623</v>
      </c>
      <c r="J2640" s="4" t="s">
        <v>2230</v>
      </c>
      <c r="K2640" s="8"/>
      <c r="L2640" s="8" t="s">
        <v>2231</v>
      </c>
      <c r="M2640" s="9">
        <f t="shared" si="1"/>
        <v>33</v>
      </c>
    </row>
    <row r="2641" ht="12.75" customHeight="1">
      <c r="A2641" s="4">
        <f t="shared" si="2"/>
        <v>2640</v>
      </c>
      <c r="B2641" s="4" t="s">
        <v>5713</v>
      </c>
      <c r="C2641" s="5" t="s">
        <v>5714</v>
      </c>
      <c r="D2641" s="4"/>
      <c r="E2641" s="4"/>
      <c r="F2641" s="4" t="s">
        <v>22</v>
      </c>
      <c r="G2641" s="6">
        <v>2.7</v>
      </c>
      <c r="H2641" s="7" t="s">
        <v>1606</v>
      </c>
      <c r="I2641" s="4" t="s">
        <v>1623</v>
      </c>
      <c r="J2641" s="4" t="s">
        <v>2230</v>
      </c>
      <c r="K2641" s="8"/>
      <c r="L2641" s="8" t="s">
        <v>2231</v>
      </c>
      <c r="M2641" s="9">
        <f t="shared" si="1"/>
        <v>33</v>
      </c>
    </row>
    <row r="2642" ht="12.75" customHeight="1">
      <c r="A2642" s="4">
        <f t="shared" si="2"/>
        <v>2641</v>
      </c>
      <c r="B2642" s="4" t="s">
        <v>5715</v>
      </c>
      <c r="C2642" s="5" t="s">
        <v>5716</v>
      </c>
      <c r="D2642" s="4"/>
      <c r="E2642" s="4"/>
      <c r="F2642" s="4" t="s">
        <v>22</v>
      </c>
      <c r="G2642" s="6">
        <v>1.03</v>
      </c>
      <c r="H2642" s="7" t="s">
        <v>1606</v>
      </c>
      <c r="I2642" s="4" t="s">
        <v>1623</v>
      </c>
      <c r="J2642" s="4" t="s">
        <v>2230</v>
      </c>
      <c r="K2642" s="8"/>
      <c r="L2642" s="8" t="s">
        <v>2231</v>
      </c>
      <c r="M2642" s="9">
        <f t="shared" si="1"/>
        <v>35</v>
      </c>
    </row>
    <row r="2643" ht="12.75" customHeight="1">
      <c r="A2643" s="4">
        <f t="shared" si="2"/>
        <v>2642</v>
      </c>
      <c r="B2643" s="4" t="s">
        <v>5717</v>
      </c>
      <c r="C2643" s="5" t="s">
        <v>5718</v>
      </c>
      <c r="D2643" s="4"/>
      <c r="E2643" s="4"/>
      <c r="F2643" s="4" t="s">
        <v>22</v>
      </c>
      <c r="G2643" s="6">
        <v>3.11</v>
      </c>
      <c r="H2643" s="7" t="s">
        <v>1606</v>
      </c>
      <c r="I2643" s="4" t="s">
        <v>1623</v>
      </c>
      <c r="J2643" s="4" t="s">
        <v>2230</v>
      </c>
      <c r="K2643" s="8"/>
      <c r="L2643" s="8" t="s">
        <v>2231</v>
      </c>
      <c r="M2643" s="9">
        <f t="shared" si="1"/>
        <v>35</v>
      </c>
    </row>
    <row r="2644" ht="12.75" customHeight="1">
      <c r="A2644" s="4">
        <f t="shared" si="2"/>
        <v>2643</v>
      </c>
      <c r="B2644" s="4" t="s">
        <v>5719</v>
      </c>
      <c r="C2644" s="5" t="s">
        <v>5720</v>
      </c>
      <c r="D2644" s="4"/>
      <c r="E2644" s="4"/>
      <c r="F2644" s="4" t="s">
        <v>22</v>
      </c>
      <c r="G2644" s="6">
        <v>2.95</v>
      </c>
      <c r="H2644" s="7" t="s">
        <v>1606</v>
      </c>
      <c r="I2644" s="4" t="s">
        <v>2085</v>
      </c>
      <c r="J2644" s="4" t="s">
        <v>4164</v>
      </c>
      <c r="K2644" s="8"/>
      <c r="L2644" s="8" t="s">
        <v>487</v>
      </c>
      <c r="M2644" s="9">
        <f t="shared" si="1"/>
        <v>40</v>
      </c>
    </row>
    <row r="2645" ht="12.75" customHeight="1">
      <c r="A2645" s="4">
        <f t="shared" si="2"/>
        <v>2644</v>
      </c>
      <c r="B2645" s="4" t="s">
        <v>5721</v>
      </c>
      <c r="C2645" s="5" t="s">
        <v>5722</v>
      </c>
      <c r="D2645" s="4"/>
      <c r="E2645" s="4"/>
      <c r="F2645" s="4" t="s">
        <v>22</v>
      </c>
      <c r="G2645" s="21">
        <v>3.51</v>
      </c>
      <c r="H2645" s="7" t="s">
        <v>1606</v>
      </c>
      <c r="I2645" s="4" t="s">
        <v>1623</v>
      </c>
      <c r="J2645" s="4" t="s">
        <v>3029</v>
      </c>
      <c r="K2645" s="8"/>
      <c r="L2645" s="8" t="s">
        <v>2623</v>
      </c>
      <c r="M2645" s="9">
        <f t="shared" si="1"/>
        <v>39</v>
      </c>
    </row>
    <row r="2646" ht="12.75" customHeight="1">
      <c r="A2646" s="4">
        <f t="shared" si="2"/>
        <v>2645</v>
      </c>
      <c r="B2646" s="4" t="s">
        <v>5723</v>
      </c>
      <c r="C2646" s="5" t="s">
        <v>5724</v>
      </c>
      <c r="D2646" s="4"/>
      <c r="E2646" s="4"/>
      <c r="F2646" s="4" t="s">
        <v>22</v>
      </c>
      <c r="G2646" s="6">
        <v>0.78</v>
      </c>
      <c r="H2646" s="7" t="s">
        <v>1606</v>
      </c>
      <c r="I2646" s="4" t="s">
        <v>1623</v>
      </c>
      <c r="J2646" s="4" t="s">
        <v>3029</v>
      </c>
      <c r="K2646" s="8"/>
      <c r="L2646" s="8" t="s">
        <v>2623</v>
      </c>
      <c r="M2646" s="9">
        <f t="shared" si="1"/>
        <v>35</v>
      </c>
    </row>
    <row r="2647" ht="12.75" customHeight="1">
      <c r="A2647" s="4">
        <f t="shared" si="2"/>
        <v>2646</v>
      </c>
      <c r="B2647" s="4" t="s">
        <v>5725</v>
      </c>
      <c r="C2647" s="5" t="s">
        <v>5726</v>
      </c>
      <c r="D2647" s="4"/>
      <c r="E2647" s="4"/>
      <c r="F2647" s="4" t="s">
        <v>22</v>
      </c>
      <c r="G2647" s="6">
        <v>0.95</v>
      </c>
      <c r="H2647" s="7" t="s">
        <v>1606</v>
      </c>
      <c r="I2647" s="4" t="s">
        <v>1623</v>
      </c>
      <c r="J2647" s="4" t="s">
        <v>3029</v>
      </c>
      <c r="K2647" s="8"/>
      <c r="L2647" s="8" t="s">
        <v>2623</v>
      </c>
      <c r="M2647" s="9">
        <f t="shared" si="1"/>
        <v>37</v>
      </c>
    </row>
    <row r="2648" ht="12.75" customHeight="1">
      <c r="A2648" s="4">
        <f t="shared" si="2"/>
        <v>2647</v>
      </c>
      <c r="B2648" s="4" t="s">
        <v>5727</v>
      </c>
      <c r="C2648" s="5" t="s">
        <v>5728</v>
      </c>
      <c r="D2648" s="4"/>
      <c r="E2648" s="4"/>
      <c r="F2648" s="4" t="s">
        <v>22</v>
      </c>
      <c r="G2648" s="21">
        <v>0.76</v>
      </c>
      <c r="H2648" s="7" t="s">
        <v>1606</v>
      </c>
      <c r="I2648" s="4" t="s">
        <v>1623</v>
      </c>
      <c r="J2648" s="4" t="s">
        <v>3029</v>
      </c>
      <c r="K2648" s="8"/>
      <c r="L2648" s="8" t="s">
        <v>2623</v>
      </c>
      <c r="M2648" s="9">
        <f t="shared" si="1"/>
        <v>37</v>
      </c>
    </row>
    <row r="2649" ht="12.75" customHeight="1">
      <c r="A2649" s="4">
        <f t="shared" si="2"/>
        <v>2648</v>
      </c>
      <c r="B2649" s="4" t="s">
        <v>5729</v>
      </c>
      <c r="C2649" s="5" t="s">
        <v>5730</v>
      </c>
      <c r="D2649" s="4"/>
      <c r="E2649" s="4"/>
      <c r="F2649" s="4" t="s">
        <v>22</v>
      </c>
      <c r="G2649" s="6">
        <v>1.54</v>
      </c>
      <c r="H2649" s="7" t="s">
        <v>1606</v>
      </c>
      <c r="I2649" s="4" t="s">
        <v>1623</v>
      </c>
      <c r="J2649" s="4" t="s">
        <v>3029</v>
      </c>
      <c r="K2649" s="8"/>
      <c r="L2649" s="8" t="s">
        <v>2623</v>
      </c>
      <c r="M2649" s="9">
        <f t="shared" si="1"/>
        <v>33</v>
      </c>
    </row>
    <row r="2650" ht="12.75" customHeight="1">
      <c r="A2650" s="4">
        <f t="shared" si="2"/>
        <v>2649</v>
      </c>
      <c r="B2650" s="4" t="s">
        <v>5731</v>
      </c>
      <c r="C2650" s="5" t="s">
        <v>5732</v>
      </c>
      <c r="D2650" s="4"/>
      <c r="E2650" s="4"/>
      <c r="F2650" s="4" t="s">
        <v>22</v>
      </c>
      <c r="G2650" s="6">
        <v>1.04</v>
      </c>
      <c r="H2650" s="7" t="s">
        <v>1606</v>
      </c>
      <c r="I2650" s="4" t="s">
        <v>1623</v>
      </c>
      <c r="J2650" s="4" t="s">
        <v>2987</v>
      </c>
      <c r="K2650" s="8"/>
      <c r="L2650" s="8" t="s">
        <v>5733</v>
      </c>
      <c r="M2650" s="9">
        <f t="shared" si="1"/>
        <v>38</v>
      </c>
    </row>
    <row r="2651" ht="12.75" customHeight="1">
      <c r="A2651" s="4">
        <f t="shared" si="2"/>
        <v>2650</v>
      </c>
      <c r="B2651" s="4" t="s">
        <v>5734</v>
      </c>
      <c r="C2651" s="5" t="s">
        <v>5735</v>
      </c>
      <c r="D2651" s="4"/>
      <c r="E2651" s="4"/>
      <c r="F2651" s="4" t="s">
        <v>22</v>
      </c>
      <c r="G2651" s="6">
        <v>1.35</v>
      </c>
      <c r="H2651" s="7" t="s">
        <v>1606</v>
      </c>
      <c r="I2651" s="4" t="s">
        <v>1623</v>
      </c>
      <c r="J2651" s="4" t="s">
        <v>2987</v>
      </c>
      <c r="K2651" s="8"/>
      <c r="L2651" s="8" t="s">
        <v>5733</v>
      </c>
      <c r="M2651" s="9">
        <f t="shared" si="1"/>
        <v>34</v>
      </c>
    </row>
    <row r="2652" ht="12.75" customHeight="1">
      <c r="A2652" s="4">
        <f t="shared" si="2"/>
        <v>2651</v>
      </c>
      <c r="B2652" s="4" t="s">
        <v>5736</v>
      </c>
      <c r="C2652" s="5" t="s">
        <v>5737</v>
      </c>
      <c r="D2652" s="4"/>
      <c r="E2652" s="4"/>
      <c r="F2652" s="4" t="s">
        <v>22</v>
      </c>
      <c r="G2652" s="6">
        <v>0.59</v>
      </c>
      <c r="H2652" s="7" t="s">
        <v>1606</v>
      </c>
      <c r="I2652" s="4" t="s">
        <v>1623</v>
      </c>
      <c r="J2652" s="4" t="s">
        <v>2987</v>
      </c>
      <c r="K2652" s="8"/>
      <c r="L2652" s="8" t="s">
        <v>5733</v>
      </c>
      <c r="M2652" s="9">
        <f t="shared" si="1"/>
        <v>36</v>
      </c>
    </row>
    <row r="2653" ht="12.75" customHeight="1">
      <c r="A2653" s="4">
        <f t="shared" si="2"/>
        <v>2652</v>
      </c>
      <c r="B2653" s="4" t="s">
        <v>5738</v>
      </c>
      <c r="C2653" s="5" t="s">
        <v>5739</v>
      </c>
      <c r="D2653" s="4"/>
      <c r="E2653" s="4"/>
      <c r="F2653" s="4" t="s">
        <v>22</v>
      </c>
      <c r="G2653" s="6">
        <v>3.76</v>
      </c>
      <c r="H2653" s="7" t="s">
        <v>1606</v>
      </c>
      <c r="I2653" s="4" t="s">
        <v>1623</v>
      </c>
      <c r="J2653" s="4" t="s">
        <v>2987</v>
      </c>
      <c r="K2653" s="8"/>
      <c r="L2653" s="8" t="s">
        <v>5733</v>
      </c>
      <c r="M2653" s="9">
        <f t="shared" si="1"/>
        <v>34</v>
      </c>
    </row>
    <row r="2654" ht="12.75" customHeight="1">
      <c r="A2654" s="4">
        <f t="shared" si="2"/>
        <v>2653</v>
      </c>
      <c r="B2654" s="4" t="s">
        <v>5740</v>
      </c>
      <c r="C2654" s="5" t="s">
        <v>5741</v>
      </c>
      <c r="D2654" s="4"/>
      <c r="E2654" s="4"/>
      <c r="F2654" s="4" t="s">
        <v>22</v>
      </c>
      <c r="G2654" s="6">
        <v>1.08</v>
      </c>
      <c r="H2654" s="7" t="s">
        <v>1606</v>
      </c>
      <c r="I2654" s="4" t="s">
        <v>1623</v>
      </c>
      <c r="J2654" s="4" t="s">
        <v>2987</v>
      </c>
      <c r="K2654" s="8"/>
      <c r="L2654" s="8" t="s">
        <v>5733</v>
      </c>
      <c r="M2654" s="9">
        <f t="shared" si="1"/>
        <v>36</v>
      </c>
    </row>
    <row r="2655" ht="12.75" customHeight="1">
      <c r="A2655" s="4">
        <f t="shared" si="2"/>
        <v>2654</v>
      </c>
      <c r="B2655" s="4" t="s">
        <v>5742</v>
      </c>
      <c r="C2655" s="5" t="s">
        <v>5743</v>
      </c>
      <c r="D2655" s="4"/>
      <c r="E2655" s="4"/>
      <c r="F2655" s="4" t="s">
        <v>22</v>
      </c>
      <c r="G2655" s="6">
        <v>1.09</v>
      </c>
      <c r="H2655" s="7" t="s">
        <v>1606</v>
      </c>
      <c r="I2655" s="4" t="s">
        <v>1574</v>
      </c>
      <c r="J2655" s="4" t="s">
        <v>1624</v>
      </c>
      <c r="K2655" s="8"/>
      <c r="L2655" s="8" t="s">
        <v>2660</v>
      </c>
      <c r="M2655" s="9">
        <f t="shared" si="1"/>
        <v>45</v>
      </c>
    </row>
    <row r="2656" ht="12.75" customHeight="1">
      <c r="A2656" s="4">
        <f t="shared" si="2"/>
        <v>2655</v>
      </c>
      <c r="B2656" s="4" t="s">
        <v>5744</v>
      </c>
      <c r="C2656" s="5" t="s">
        <v>5745</v>
      </c>
      <c r="D2656" s="4"/>
      <c r="E2656" s="4"/>
      <c r="F2656" s="4" t="s">
        <v>22</v>
      </c>
      <c r="G2656" s="6">
        <v>1.03</v>
      </c>
      <c r="H2656" s="7" t="s">
        <v>1606</v>
      </c>
      <c r="I2656" s="4" t="s">
        <v>1574</v>
      </c>
      <c r="J2656" s="4" t="s">
        <v>1624</v>
      </c>
      <c r="K2656" s="8"/>
      <c r="L2656" s="8" t="s">
        <v>2660</v>
      </c>
      <c r="M2656" s="9">
        <f t="shared" si="1"/>
        <v>41</v>
      </c>
    </row>
    <row r="2657" ht="12.75" customHeight="1">
      <c r="A2657" s="4">
        <f t="shared" si="2"/>
        <v>2656</v>
      </c>
      <c r="B2657" s="4" t="s">
        <v>5746</v>
      </c>
      <c r="C2657" s="5" t="s">
        <v>5747</v>
      </c>
      <c r="D2657" s="4"/>
      <c r="E2657" s="4"/>
      <c r="F2657" s="4" t="s">
        <v>22</v>
      </c>
      <c r="G2657" s="6">
        <v>0.68</v>
      </c>
      <c r="H2657" s="7" t="s">
        <v>1606</v>
      </c>
      <c r="I2657" s="4" t="s">
        <v>1574</v>
      </c>
      <c r="J2657" s="4" t="s">
        <v>1624</v>
      </c>
      <c r="K2657" s="8"/>
      <c r="L2657" s="8" t="s">
        <v>2660</v>
      </c>
      <c r="M2657" s="9">
        <f t="shared" si="1"/>
        <v>43</v>
      </c>
    </row>
    <row r="2658" ht="12.75" customHeight="1">
      <c r="A2658" s="4">
        <f t="shared" si="2"/>
        <v>2657</v>
      </c>
      <c r="B2658" s="4" t="s">
        <v>5748</v>
      </c>
      <c r="C2658" s="5" t="s">
        <v>5749</v>
      </c>
      <c r="D2658" s="4"/>
      <c r="E2658" s="4"/>
      <c r="F2658" s="4" t="s">
        <v>22</v>
      </c>
      <c r="G2658" s="6">
        <v>1.32</v>
      </c>
      <c r="H2658" s="7" t="s">
        <v>1606</v>
      </c>
      <c r="I2658" s="4" t="s">
        <v>1574</v>
      </c>
      <c r="J2658" s="4" t="s">
        <v>1624</v>
      </c>
      <c r="K2658" s="8"/>
      <c r="L2658" s="8" t="s">
        <v>2660</v>
      </c>
      <c r="M2658" s="9">
        <f t="shared" si="1"/>
        <v>41</v>
      </c>
    </row>
    <row r="2659" ht="12.75" customHeight="1">
      <c r="A2659" s="4">
        <f t="shared" si="2"/>
        <v>2658</v>
      </c>
      <c r="B2659" s="4" t="s">
        <v>5750</v>
      </c>
      <c r="C2659" s="5" t="s">
        <v>5751</v>
      </c>
      <c r="D2659" s="4"/>
      <c r="E2659" s="4"/>
      <c r="F2659" s="4" t="s">
        <v>22</v>
      </c>
      <c r="G2659" s="6">
        <v>0.82</v>
      </c>
      <c r="H2659" s="7" t="s">
        <v>1606</v>
      </c>
      <c r="I2659" s="4" t="s">
        <v>1574</v>
      </c>
      <c r="J2659" s="4" t="s">
        <v>1624</v>
      </c>
      <c r="K2659" s="8"/>
      <c r="L2659" s="8" t="s">
        <v>2660</v>
      </c>
      <c r="M2659" s="9">
        <f t="shared" si="1"/>
        <v>43</v>
      </c>
    </row>
    <row r="2660" ht="12.75" customHeight="1">
      <c r="A2660" s="4">
        <f t="shared" si="2"/>
        <v>2659</v>
      </c>
      <c r="B2660" s="4" t="s">
        <v>5752</v>
      </c>
      <c r="C2660" s="5" t="s">
        <v>5753</v>
      </c>
      <c r="D2660" s="4"/>
      <c r="E2660" s="4"/>
      <c r="F2660" s="4" t="s">
        <v>22</v>
      </c>
      <c r="G2660" s="6">
        <v>1.22</v>
      </c>
      <c r="H2660" s="7" t="s">
        <v>1606</v>
      </c>
      <c r="I2660" s="4" t="s">
        <v>1623</v>
      </c>
      <c r="J2660" s="4" t="s">
        <v>3029</v>
      </c>
      <c r="K2660" s="8"/>
      <c r="L2660" s="8" t="s">
        <v>2623</v>
      </c>
      <c r="M2660" s="9">
        <f t="shared" si="1"/>
        <v>32</v>
      </c>
    </row>
    <row r="2661" ht="12.75" customHeight="1">
      <c r="A2661" s="4">
        <f t="shared" si="2"/>
        <v>2660</v>
      </c>
      <c r="B2661" s="4" t="s">
        <v>5754</v>
      </c>
      <c r="C2661" s="5" t="s">
        <v>5755</v>
      </c>
      <c r="D2661" s="4"/>
      <c r="E2661" s="4"/>
      <c r="F2661" s="4" t="s">
        <v>22</v>
      </c>
      <c r="G2661" s="6">
        <v>0.95</v>
      </c>
      <c r="H2661" s="7" t="s">
        <v>1606</v>
      </c>
      <c r="I2661" s="4" t="s">
        <v>1623</v>
      </c>
      <c r="J2661" s="4" t="s">
        <v>3029</v>
      </c>
      <c r="K2661" s="8"/>
      <c r="L2661" s="8" t="s">
        <v>2623</v>
      </c>
      <c r="M2661" s="9">
        <f t="shared" si="1"/>
        <v>34</v>
      </c>
    </row>
    <row r="2662" ht="12.75" customHeight="1">
      <c r="A2662" s="4">
        <f t="shared" si="2"/>
        <v>2661</v>
      </c>
      <c r="B2662" s="4" t="s">
        <v>5756</v>
      </c>
      <c r="C2662" s="5" t="s">
        <v>5757</v>
      </c>
      <c r="D2662" s="4"/>
      <c r="E2662" s="4"/>
      <c r="F2662" s="4" t="s">
        <v>22</v>
      </c>
      <c r="G2662" s="6">
        <v>1.35</v>
      </c>
      <c r="H2662" s="7" t="s">
        <v>1606</v>
      </c>
      <c r="I2662" s="4" t="s">
        <v>1623</v>
      </c>
      <c r="J2662" s="4" t="s">
        <v>2987</v>
      </c>
      <c r="K2662" s="8"/>
      <c r="L2662" s="8" t="s">
        <v>5733</v>
      </c>
      <c r="M2662" s="9">
        <f t="shared" si="1"/>
        <v>37</v>
      </c>
    </row>
    <row r="2663" ht="12.75" customHeight="1">
      <c r="A2663" s="4">
        <f t="shared" si="2"/>
        <v>2662</v>
      </c>
      <c r="B2663" s="4" t="s">
        <v>5758</v>
      </c>
      <c r="C2663" s="5" t="s">
        <v>5759</v>
      </c>
      <c r="D2663" s="4"/>
      <c r="E2663" s="4"/>
      <c r="F2663" s="4" t="s">
        <v>22</v>
      </c>
      <c r="G2663" s="6">
        <v>1.11</v>
      </c>
      <c r="H2663" s="7" t="s">
        <v>1606</v>
      </c>
      <c r="I2663" s="4" t="s">
        <v>1623</v>
      </c>
      <c r="J2663" s="4" t="s">
        <v>2987</v>
      </c>
      <c r="K2663" s="8"/>
      <c r="L2663" s="8" t="s">
        <v>5733</v>
      </c>
      <c r="M2663" s="9">
        <f t="shared" si="1"/>
        <v>33</v>
      </c>
    </row>
    <row r="2664" ht="12.75" customHeight="1">
      <c r="A2664" s="4">
        <f t="shared" si="2"/>
        <v>2663</v>
      </c>
      <c r="B2664" s="4" t="s">
        <v>5760</v>
      </c>
      <c r="C2664" s="5" t="s">
        <v>5761</v>
      </c>
      <c r="D2664" s="4"/>
      <c r="E2664" s="4"/>
      <c r="F2664" s="4" t="s">
        <v>22</v>
      </c>
      <c r="G2664" s="6">
        <v>0.59</v>
      </c>
      <c r="H2664" s="7" t="s">
        <v>1606</v>
      </c>
      <c r="I2664" s="4" t="s">
        <v>1623</v>
      </c>
      <c r="J2664" s="4" t="s">
        <v>2987</v>
      </c>
      <c r="K2664" s="8"/>
      <c r="L2664" s="8" t="s">
        <v>5733</v>
      </c>
      <c r="M2664" s="9">
        <f t="shared" si="1"/>
        <v>35</v>
      </c>
    </row>
    <row r="2665" ht="12.75" customHeight="1">
      <c r="A2665" s="4">
        <f t="shared" si="2"/>
        <v>2664</v>
      </c>
      <c r="B2665" s="4" t="s">
        <v>5762</v>
      </c>
      <c r="C2665" s="5" t="s">
        <v>5763</v>
      </c>
      <c r="D2665" s="4"/>
      <c r="E2665" s="4"/>
      <c r="F2665" s="4" t="s">
        <v>22</v>
      </c>
      <c r="G2665" s="6">
        <v>0.82</v>
      </c>
      <c r="H2665" s="7" t="s">
        <v>1606</v>
      </c>
      <c r="I2665" s="4" t="s">
        <v>1623</v>
      </c>
      <c r="J2665" s="4" t="s">
        <v>2987</v>
      </c>
      <c r="K2665" s="8"/>
      <c r="L2665" s="8" t="s">
        <v>5733</v>
      </c>
      <c r="M2665" s="9">
        <f t="shared" si="1"/>
        <v>33</v>
      </c>
    </row>
    <row r="2666" ht="12.75" customHeight="1">
      <c r="A2666" s="4">
        <f t="shared" si="2"/>
        <v>2665</v>
      </c>
      <c r="B2666" s="4" t="s">
        <v>5764</v>
      </c>
      <c r="C2666" s="5" t="s">
        <v>5765</v>
      </c>
      <c r="D2666" s="4"/>
      <c r="E2666" s="4"/>
      <c r="F2666" s="4" t="s">
        <v>22</v>
      </c>
      <c r="G2666" s="6">
        <v>0.82</v>
      </c>
      <c r="H2666" s="7" t="s">
        <v>1606</v>
      </c>
      <c r="I2666" s="4" t="s">
        <v>1623</v>
      </c>
      <c r="J2666" s="4" t="s">
        <v>2987</v>
      </c>
      <c r="K2666" s="8"/>
      <c r="L2666" s="8" t="s">
        <v>5733</v>
      </c>
      <c r="M2666" s="9">
        <f t="shared" si="1"/>
        <v>35</v>
      </c>
    </row>
    <row r="2667" ht="12.75" customHeight="1">
      <c r="A2667" s="4">
        <f t="shared" si="2"/>
        <v>2666</v>
      </c>
      <c r="B2667" s="4" t="s">
        <v>5766</v>
      </c>
      <c r="C2667" s="5" t="s">
        <v>5767</v>
      </c>
      <c r="D2667" s="4"/>
      <c r="E2667" s="4"/>
      <c r="F2667" s="4" t="s">
        <v>22</v>
      </c>
      <c r="G2667" s="6">
        <v>0.64</v>
      </c>
      <c r="H2667" s="7" t="s">
        <v>1606</v>
      </c>
      <c r="I2667" s="4" t="s">
        <v>1574</v>
      </c>
      <c r="J2667" s="4" t="s">
        <v>1624</v>
      </c>
      <c r="K2667" s="8"/>
      <c r="L2667" s="8" t="s">
        <v>2660</v>
      </c>
      <c r="M2667" s="9">
        <f t="shared" si="1"/>
        <v>44</v>
      </c>
    </row>
    <row r="2668" ht="12.75" customHeight="1">
      <c r="A2668" s="4">
        <f t="shared" si="2"/>
        <v>2667</v>
      </c>
      <c r="B2668" s="4" t="s">
        <v>5768</v>
      </c>
      <c r="C2668" s="5" t="s">
        <v>5769</v>
      </c>
      <c r="D2668" s="4"/>
      <c r="E2668" s="4"/>
      <c r="F2668" s="4" t="s">
        <v>22</v>
      </c>
      <c r="G2668" s="6">
        <v>0.51</v>
      </c>
      <c r="H2668" s="7" t="s">
        <v>1606</v>
      </c>
      <c r="I2668" s="4" t="s">
        <v>1574</v>
      </c>
      <c r="J2668" s="4" t="s">
        <v>1624</v>
      </c>
      <c r="K2668" s="8"/>
      <c r="L2668" s="8" t="s">
        <v>2660</v>
      </c>
      <c r="M2668" s="9">
        <f t="shared" si="1"/>
        <v>40</v>
      </c>
    </row>
    <row r="2669" ht="12.75" customHeight="1">
      <c r="A2669" s="4">
        <f t="shared" si="2"/>
        <v>2668</v>
      </c>
      <c r="B2669" s="4" t="s">
        <v>5770</v>
      </c>
      <c r="C2669" s="5" t="s">
        <v>5771</v>
      </c>
      <c r="D2669" s="4"/>
      <c r="E2669" s="4"/>
      <c r="F2669" s="4" t="s">
        <v>22</v>
      </c>
      <c r="G2669" s="6">
        <v>0.32</v>
      </c>
      <c r="H2669" s="7" t="s">
        <v>1606</v>
      </c>
      <c r="I2669" s="4" t="s">
        <v>1574</v>
      </c>
      <c r="J2669" s="4" t="s">
        <v>1624</v>
      </c>
      <c r="K2669" s="8"/>
      <c r="L2669" s="8" t="s">
        <v>2660</v>
      </c>
      <c r="M2669" s="9">
        <f t="shared" si="1"/>
        <v>42</v>
      </c>
    </row>
    <row r="2670" ht="12.75" customHeight="1">
      <c r="A2670" s="4">
        <f t="shared" si="2"/>
        <v>2669</v>
      </c>
      <c r="B2670" s="4" t="s">
        <v>5772</v>
      </c>
      <c r="C2670" s="5" t="s">
        <v>5773</v>
      </c>
      <c r="D2670" s="4"/>
      <c r="E2670" s="4"/>
      <c r="F2670" s="4" t="s">
        <v>22</v>
      </c>
      <c r="G2670" s="6">
        <v>0.66</v>
      </c>
      <c r="H2670" s="7" t="s">
        <v>1606</v>
      </c>
      <c r="I2670" s="4" t="s">
        <v>1574</v>
      </c>
      <c r="J2670" s="4" t="s">
        <v>1624</v>
      </c>
      <c r="K2670" s="8"/>
      <c r="L2670" s="8" t="s">
        <v>2660</v>
      </c>
      <c r="M2670" s="9">
        <f t="shared" si="1"/>
        <v>40</v>
      </c>
    </row>
    <row r="2671" ht="12.75" customHeight="1">
      <c r="A2671" s="4">
        <f t="shared" si="2"/>
        <v>2670</v>
      </c>
      <c r="B2671" s="4" t="s">
        <v>5774</v>
      </c>
      <c r="C2671" s="5" t="s">
        <v>5775</v>
      </c>
      <c r="D2671" s="4"/>
      <c r="E2671" s="4"/>
      <c r="F2671" s="4" t="s">
        <v>22</v>
      </c>
      <c r="G2671" s="6">
        <v>0.45</v>
      </c>
      <c r="H2671" s="7" t="s">
        <v>1606</v>
      </c>
      <c r="I2671" s="4" t="s">
        <v>1574</v>
      </c>
      <c r="J2671" s="4" t="s">
        <v>1624</v>
      </c>
      <c r="K2671" s="8"/>
      <c r="L2671" s="8" t="s">
        <v>2660</v>
      </c>
      <c r="M2671" s="9">
        <f t="shared" si="1"/>
        <v>42</v>
      </c>
    </row>
    <row r="2672" ht="12.75" customHeight="1">
      <c r="A2672" s="4">
        <f t="shared" si="2"/>
        <v>2671</v>
      </c>
      <c r="B2672" s="4" t="s">
        <v>5776</v>
      </c>
      <c r="C2672" s="5" t="s">
        <v>5777</v>
      </c>
      <c r="D2672" s="4"/>
      <c r="E2672" s="4"/>
      <c r="F2672" s="4" t="s">
        <v>22</v>
      </c>
      <c r="G2672" s="6">
        <v>0.41</v>
      </c>
      <c r="H2672" s="7" t="s">
        <v>1606</v>
      </c>
      <c r="I2672" s="4" t="s">
        <v>17</v>
      </c>
      <c r="J2672" s="4" t="s">
        <v>2037</v>
      </c>
      <c r="K2672" s="8"/>
      <c r="L2672" s="8" t="s">
        <v>33</v>
      </c>
      <c r="M2672" s="9">
        <f t="shared" si="1"/>
        <v>48</v>
      </c>
    </row>
    <row r="2673" ht="12.75" customHeight="1">
      <c r="A2673" s="4">
        <f t="shared" si="2"/>
        <v>2672</v>
      </c>
      <c r="B2673" s="4" t="s">
        <v>5778</v>
      </c>
      <c r="C2673" s="5" t="s">
        <v>5779</v>
      </c>
      <c r="D2673" s="4"/>
      <c r="E2673" s="4"/>
      <c r="F2673" s="4" t="s">
        <v>22</v>
      </c>
      <c r="G2673" s="6">
        <v>0.41</v>
      </c>
      <c r="H2673" s="7" t="s">
        <v>1606</v>
      </c>
      <c r="I2673" s="4" t="s">
        <v>17</v>
      </c>
      <c r="J2673" s="4" t="s">
        <v>2037</v>
      </c>
      <c r="K2673" s="8"/>
      <c r="L2673" s="8" t="s">
        <v>33</v>
      </c>
      <c r="M2673" s="9">
        <f t="shared" si="1"/>
        <v>49</v>
      </c>
    </row>
    <row r="2674" ht="12.75" customHeight="1">
      <c r="A2674" s="4">
        <f t="shared" si="2"/>
        <v>2673</v>
      </c>
      <c r="B2674" s="4" t="s">
        <v>5780</v>
      </c>
      <c r="C2674" s="5" t="s">
        <v>5781</v>
      </c>
      <c r="D2674" s="4"/>
      <c r="E2674" s="4"/>
      <c r="F2674" s="4" t="s">
        <v>22</v>
      </c>
      <c r="G2674" s="6">
        <v>3.22</v>
      </c>
      <c r="H2674" s="7" t="s">
        <v>1606</v>
      </c>
      <c r="I2674" s="4" t="s">
        <v>1475</v>
      </c>
      <c r="J2674" s="4" t="s">
        <v>5782</v>
      </c>
      <c r="K2674" s="8"/>
      <c r="L2674" s="8" t="s">
        <v>5783</v>
      </c>
      <c r="M2674" s="9">
        <f t="shared" si="1"/>
        <v>36</v>
      </c>
    </row>
    <row r="2675" ht="12.75" customHeight="1">
      <c r="A2675" s="4">
        <f t="shared" si="2"/>
        <v>2674</v>
      </c>
      <c r="B2675" s="4" t="s">
        <v>5784</v>
      </c>
      <c r="C2675" s="5" t="s">
        <v>5785</v>
      </c>
      <c r="D2675" s="4"/>
      <c r="E2675" s="4"/>
      <c r="F2675" s="4" t="s">
        <v>22</v>
      </c>
      <c r="G2675" s="6">
        <v>2.11</v>
      </c>
      <c r="H2675" s="7" t="s">
        <v>1606</v>
      </c>
      <c r="I2675" s="4" t="s">
        <v>1475</v>
      </c>
      <c r="J2675" s="4" t="s">
        <v>5782</v>
      </c>
      <c r="K2675" s="8"/>
      <c r="L2675" s="8" t="s">
        <v>5783</v>
      </c>
      <c r="M2675" s="9">
        <f t="shared" si="1"/>
        <v>36</v>
      </c>
    </row>
    <row r="2676" ht="12.75" customHeight="1">
      <c r="A2676" s="4">
        <f t="shared" si="2"/>
        <v>2675</v>
      </c>
      <c r="B2676" s="4" t="s">
        <v>5786</v>
      </c>
      <c r="C2676" s="5" t="s">
        <v>5787</v>
      </c>
      <c r="D2676" s="4"/>
      <c r="E2676" s="4"/>
      <c r="F2676" s="4" t="s">
        <v>22</v>
      </c>
      <c r="G2676" s="6">
        <v>1.22</v>
      </c>
      <c r="H2676" s="7" t="s">
        <v>1606</v>
      </c>
      <c r="I2676" s="4" t="s">
        <v>1475</v>
      </c>
      <c r="J2676" s="4" t="s">
        <v>5782</v>
      </c>
      <c r="K2676" s="8"/>
      <c r="L2676" s="8" t="s">
        <v>5783</v>
      </c>
      <c r="M2676" s="9">
        <f t="shared" si="1"/>
        <v>36</v>
      </c>
    </row>
    <row r="2677" ht="12.75" customHeight="1">
      <c r="A2677" s="4">
        <f t="shared" si="2"/>
        <v>2676</v>
      </c>
      <c r="B2677" s="4" t="s">
        <v>5788</v>
      </c>
      <c r="C2677" s="5" t="s">
        <v>5789</v>
      </c>
      <c r="D2677" s="4"/>
      <c r="E2677" s="4"/>
      <c r="F2677" s="4" t="s">
        <v>22</v>
      </c>
      <c r="G2677" s="6">
        <v>2.68</v>
      </c>
      <c r="H2677" s="7" t="s">
        <v>1606</v>
      </c>
      <c r="I2677" s="4" t="s">
        <v>1475</v>
      </c>
      <c r="J2677" s="4" t="s">
        <v>5782</v>
      </c>
      <c r="K2677" s="8"/>
      <c r="L2677" s="8" t="s">
        <v>5783</v>
      </c>
      <c r="M2677" s="9">
        <f t="shared" si="1"/>
        <v>36</v>
      </c>
    </row>
    <row r="2678" ht="12.75" customHeight="1">
      <c r="A2678" s="4">
        <f t="shared" si="2"/>
        <v>2677</v>
      </c>
      <c r="B2678" s="4" t="s">
        <v>5790</v>
      </c>
      <c r="C2678" s="5" t="s">
        <v>5791</v>
      </c>
      <c r="D2678" s="4"/>
      <c r="E2678" s="4"/>
      <c r="F2678" s="4" t="s">
        <v>22</v>
      </c>
      <c r="G2678" s="6">
        <v>1.35</v>
      </c>
      <c r="H2678" s="7" t="s">
        <v>1606</v>
      </c>
      <c r="I2678" s="4" t="s">
        <v>1475</v>
      </c>
      <c r="J2678" s="4" t="s">
        <v>5782</v>
      </c>
      <c r="K2678" s="8"/>
      <c r="L2678" s="8" t="s">
        <v>5783</v>
      </c>
      <c r="M2678" s="9">
        <f t="shared" si="1"/>
        <v>37</v>
      </c>
    </row>
    <row r="2679" ht="12.75" customHeight="1">
      <c r="A2679" s="4">
        <f t="shared" si="2"/>
        <v>2678</v>
      </c>
      <c r="B2679" s="4" t="s">
        <v>5792</v>
      </c>
      <c r="C2679" s="5" t="s">
        <v>5793</v>
      </c>
      <c r="D2679" s="4"/>
      <c r="E2679" s="4"/>
      <c r="F2679" s="4" t="s">
        <v>22</v>
      </c>
      <c r="G2679" s="6">
        <v>22.95</v>
      </c>
      <c r="H2679" s="7" t="s">
        <v>1606</v>
      </c>
      <c r="I2679" s="4" t="s">
        <v>598</v>
      </c>
      <c r="J2679" s="4" t="s">
        <v>4253</v>
      </c>
      <c r="K2679" s="8"/>
      <c r="L2679" s="8" t="s">
        <v>4254</v>
      </c>
      <c r="M2679" s="9">
        <f t="shared" si="1"/>
        <v>22</v>
      </c>
    </row>
    <row r="2680" ht="12.75" customHeight="1">
      <c r="A2680" s="4">
        <f t="shared" si="2"/>
        <v>2679</v>
      </c>
      <c r="B2680" s="4" t="s">
        <v>5794</v>
      </c>
      <c r="C2680" s="5" t="s">
        <v>5795</v>
      </c>
      <c r="D2680" s="4"/>
      <c r="E2680" s="4"/>
      <c r="F2680" s="4" t="s">
        <v>22</v>
      </c>
      <c r="G2680" s="6">
        <v>1.35</v>
      </c>
      <c r="H2680" s="7" t="s">
        <v>1606</v>
      </c>
      <c r="I2680" s="4" t="s">
        <v>1623</v>
      </c>
      <c r="J2680" s="4" t="s">
        <v>2953</v>
      </c>
      <c r="K2680" s="8"/>
      <c r="L2680" s="8" t="s">
        <v>2988</v>
      </c>
      <c r="M2680" s="9">
        <f t="shared" si="1"/>
        <v>46</v>
      </c>
    </row>
    <row r="2681" ht="12.75" customHeight="1">
      <c r="A2681" s="4">
        <f t="shared" si="2"/>
        <v>2680</v>
      </c>
      <c r="B2681" s="4" t="s">
        <v>5796</v>
      </c>
      <c r="C2681" s="5" t="s">
        <v>5797</v>
      </c>
      <c r="D2681" s="4"/>
      <c r="E2681" s="4"/>
      <c r="F2681" s="4" t="s">
        <v>22</v>
      </c>
      <c r="G2681" s="6">
        <v>2.3</v>
      </c>
      <c r="H2681" s="7" t="s">
        <v>1606</v>
      </c>
      <c r="I2681" s="4" t="s">
        <v>1623</v>
      </c>
      <c r="J2681" s="4" t="s">
        <v>2953</v>
      </c>
      <c r="K2681" s="8"/>
      <c r="L2681" s="8" t="s">
        <v>2988</v>
      </c>
      <c r="M2681" s="9">
        <f t="shared" si="1"/>
        <v>46</v>
      </c>
    </row>
    <row r="2682" ht="12.75" customHeight="1">
      <c r="A2682" s="4">
        <f t="shared" si="2"/>
        <v>2681</v>
      </c>
      <c r="B2682" s="4" t="s">
        <v>5798</v>
      </c>
      <c r="C2682" s="5" t="s">
        <v>5799</v>
      </c>
      <c r="D2682" s="4"/>
      <c r="E2682" s="4"/>
      <c r="F2682" s="4" t="s">
        <v>22</v>
      </c>
      <c r="G2682" s="6">
        <v>1.08</v>
      </c>
      <c r="H2682" s="7" t="s">
        <v>1606</v>
      </c>
      <c r="I2682" s="4" t="s">
        <v>1623</v>
      </c>
      <c r="J2682" s="4" t="s">
        <v>2230</v>
      </c>
      <c r="K2682" s="8"/>
      <c r="L2682" s="8" t="s">
        <v>2988</v>
      </c>
      <c r="M2682" s="9">
        <f t="shared" si="1"/>
        <v>42</v>
      </c>
    </row>
    <row r="2683" ht="12.75" customHeight="1">
      <c r="A2683" s="4">
        <f t="shared" si="2"/>
        <v>2682</v>
      </c>
      <c r="B2683" s="4" t="s">
        <v>5800</v>
      </c>
      <c r="C2683" s="5" t="s">
        <v>5801</v>
      </c>
      <c r="D2683" s="4"/>
      <c r="E2683" s="4"/>
      <c r="F2683" s="4" t="s">
        <v>22</v>
      </c>
      <c r="G2683" s="6">
        <v>3.24</v>
      </c>
      <c r="H2683" s="7" t="s">
        <v>1606</v>
      </c>
      <c r="I2683" s="4" t="s">
        <v>1623</v>
      </c>
      <c r="J2683" s="4" t="s">
        <v>2230</v>
      </c>
      <c r="K2683" s="8"/>
      <c r="L2683" s="8" t="s">
        <v>2988</v>
      </c>
      <c r="M2683" s="9">
        <f t="shared" si="1"/>
        <v>42</v>
      </c>
    </row>
    <row r="2684" ht="12.75" customHeight="1">
      <c r="A2684" s="4">
        <f t="shared" si="2"/>
        <v>2683</v>
      </c>
      <c r="B2684" s="4" t="s">
        <v>5802</v>
      </c>
      <c r="C2684" s="5" t="s">
        <v>5803</v>
      </c>
      <c r="D2684" s="4"/>
      <c r="E2684" s="4"/>
      <c r="F2684" s="4" t="s">
        <v>22</v>
      </c>
      <c r="G2684" s="6">
        <v>1.08</v>
      </c>
      <c r="H2684" s="7" t="s">
        <v>1606</v>
      </c>
      <c r="I2684" s="4" t="s">
        <v>1623</v>
      </c>
      <c r="J2684" s="4" t="s">
        <v>2230</v>
      </c>
      <c r="K2684" s="8"/>
      <c r="L2684" s="8" t="s">
        <v>2988</v>
      </c>
      <c r="M2684" s="9">
        <f t="shared" si="1"/>
        <v>44</v>
      </c>
    </row>
    <row r="2685" ht="12.75" customHeight="1">
      <c r="A2685" s="4">
        <f t="shared" si="2"/>
        <v>2684</v>
      </c>
      <c r="B2685" s="4" t="s">
        <v>5804</v>
      </c>
      <c r="C2685" s="5" t="s">
        <v>5805</v>
      </c>
      <c r="D2685" s="4"/>
      <c r="E2685" s="4"/>
      <c r="F2685" s="4" t="s">
        <v>22</v>
      </c>
      <c r="G2685" s="6">
        <v>18.92</v>
      </c>
      <c r="H2685" s="7" t="s">
        <v>1606</v>
      </c>
      <c r="I2685" s="4" t="s">
        <v>1623</v>
      </c>
      <c r="J2685" s="4" t="s">
        <v>2953</v>
      </c>
      <c r="K2685" s="8"/>
      <c r="L2685" s="8" t="s">
        <v>2974</v>
      </c>
      <c r="M2685" s="9">
        <f t="shared" si="1"/>
        <v>40</v>
      </c>
    </row>
    <row r="2686" ht="12.75" customHeight="1">
      <c r="A2686" s="4">
        <f t="shared" si="2"/>
        <v>2685</v>
      </c>
      <c r="B2686" s="4" t="s">
        <v>5806</v>
      </c>
      <c r="C2686" s="5" t="s">
        <v>5807</v>
      </c>
      <c r="D2686" s="4"/>
      <c r="E2686" s="4"/>
      <c r="F2686" s="4" t="s">
        <v>22</v>
      </c>
      <c r="G2686" s="6">
        <v>5.41</v>
      </c>
      <c r="H2686" s="7" t="s">
        <v>1606</v>
      </c>
      <c r="I2686" s="4" t="s">
        <v>1623</v>
      </c>
      <c r="J2686" s="4" t="s">
        <v>2953</v>
      </c>
      <c r="K2686" s="8"/>
      <c r="L2686" s="8" t="s">
        <v>2974</v>
      </c>
      <c r="M2686" s="9">
        <f t="shared" si="1"/>
        <v>36</v>
      </c>
    </row>
    <row r="2687" ht="12.75" customHeight="1">
      <c r="A2687" s="4">
        <f t="shared" si="2"/>
        <v>2686</v>
      </c>
      <c r="B2687" s="4" t="s">
        <v>5808</v>
      </c>
      <c r="C2687" s="5" t="s">
        <v>5809</v>
      </c>
      <c r="D2687" s="4"/>
      <c r="E2687" s="4"/>
      <c r="F2687" s="4" t="s">
        <v>22</v>
      </c>
      <c r="G2687" s="6">
        <v>4.05</v>
      </c>
      <c r="H2687" s="7" t="s">
        <v>1606</v>
      </c>
      <c r="I2687" s="4" t="s">
        <v>1623</v>
      </c>
      <c r="J2687" s="4" t="s">
        <v>2953</v>
      </c>
      <c r="K2687" s="8"/>
      <c r="L2687" s="8" t="s">
        <v>2974</v>
      </c>
      <c r="M2687" s="9">
        <f t="shared" si="1"/>
        <v>38</v>
      </c>
    </row>
    <row r="2688" ht="12.75" customHeight="1">
      <c r="A2688" s="4">
        <f t="shared" si="2"/>
        <v>2687</v>
      </c>
      <c r="B2688" s="4" t="s">
        <v>5810</v>
      </c>
      <c r="C2688" s="5" t="s">
        <v>5811</v>
      </c>
      <c r="D2688" s="4"/>
      <c r="E2688" s="4"/>
      <c r="F2688" s="4" t="s">
        <v>22</v>
      </c>
      <c r="G2688" s="6">
        <v>14.05</v>
      </c>
      <c r="H2688" s="7" t="s">
        <v>1606</v>
      </c>
      <c r="I2688" s="4" t="s">
        <v>1623</v>
      </c>
      <c r="J2688" s="4" t="s">
        <v>2953</v>
      </c>
      <c r="K2688" s="8"/>
      <c r="L2688" s="8" t="s">
        <v>2974</v>
      </c>
      <c r="M2688" s="9">
        <f t="shared" si="1"/>
        <v>36</v>
      </c>
    </row>
    <row r="2689" ht="12.75" customHeight="1">
      <c r="A2689" s="4">
        <f t="shared" si="2"/>
        <v>2688</v>
      </c>
      <c r="B2689" s="4" t="s">
        <v>5812</v>
      </c>
      <c r="C2689" s="5" t="s">
        <v>5813</v>
      </c>
      <c r="D2689" s="4"/>
      <c r="E2689" s="4"/>
      <c r="F2689" s="4" t="s">
        <v>22</v>
      </c>
      <c r="G2689" s="6">
        <v>8.65</v>
      </c>
      <c r="H2689" s="7" t="s">
        <v>1606</v>
      </c>
      <c r="I2689" s="4" t="s">
        <v>1623</v>
      </c>
      <c r="J2689" s="4" t="s">
        <v>2953</v>
      </c>
      <c r="K2689" s="8"/>
      <c r="L2689" s="8" t="s">
        <v>2974</v>
      </c>
      <c r="M2689" s="9">
        <f t="shared" si="1"/>
        <v>38</v>
      </c>
    </row>
    <row r="2690" ht="12.75" customHeight="1">
      <c r="A2690" s="4">
        <f t="shared" si="2"/>
        <v>2689</v>
      </c>
      <c r="B2690" s="4" t="s">
        <v>5814</v>
      </c>
      <c r="C2690" s="5" t="s">
        <v>5815</v>
      </c>
      <c r="D2690" s="4"/>
      <c r="E2690" s="4"/>
      <c r="F2690" s="4" t="s">
        <v>22</v>
      </c>
      <c r="G2690" s="6">
        <v>1.35</v>
      </c>
      <c r="H2690" s="7" t="s">
        <v>1606</v>
      </c>
      <c r="I2690" s="4" t="s">
        <v>1623</v>
      </c>
      <c r="J2690" s="4" t="s">
        <v>3029</v>
      </c>
      <c r="K2690" s="8"/>
      <c r="L2690" s="8" t="s">
        <v>2623</v>
      </c>
      <c r="M2690" s="9">
        <f t="shared" si="1"/>
        <v>17</v>
      </c>
    </row>
    <row r="2691" ht="12.75" customHeight="1">
      <c r="A2691" s="4">
        <f t="shared" si="2"/>
        <v>2690</v>
      </c>
      <c r="B2691" s="4" t="s">
        <v>5816</v>
      </c>
      <c r="C2691" s="5" t="s">
        <v>5817</v>
      </c>
      <c r="D2691" s="4"/>
      <c r="E2691" s="4"/>
      <c r="F2691" s="4" t="s">
        <v>22</v>
      </c>
      <c r="G2691" s="6">
        <v>3.08</v>
      </c>
      <c r="H2691" s="7" t="s">
        <v>1606</v>
      </c>
      <c r="I2691" s="4" t="s">
        <v>1623</v>
      </c>
      <c r="J2691" s="4" t="s">
        <v>3029</v>
      </c>
      <c r="K2691" s="8"/>
      <c r="L2691" s="8" t="s">
        <v>2623</v>
      </c>
      <c r="M2691" s="9">
        <f t="shared" si="1"/>
        <v>17</v>
      </c>
    </row>
    <row r="2692" ht="12.75" customHeight="1">
      <c r="A2692" s="4">
        <f t="shared" si="2"/>
        <v>2691</v>
      </c>
      <c r="B2692" s="4" t="s">
        <v>5818</v>
      </c>
      <c r="C2692" s="5" t="s">
        <v>5819</v>
      </c>
      <c r="D2692" s="4"/>
      <c r="E2692" s="4"/>
      <c r="F2692" s="4" t="s">
        <v>22</v>
      </c>
      <c r="G2692" s="6">
        <v>2.62</v>
      </c>
      <c r="H2692" s="7" t="s">
        <v>1606</v>
      </c>
      <c r="I2692" s="4" t="s">
        <v>1623</v>
      </c>
      <c r="J2692" s="4" t="s">
        <v>3029</v>
      </c>
      <c r="K2692" s="8"/>
      <c r="L2692" s="8" t="s">
        <v>2623</v>
      </c>
      <c r="M2692" s="9">
        <f t="shared" si="1"/>
        <v>17</v>
      </c>
    </row>
    <row r="2693" ht="12.75" customHeight="1">
      <c r="A2693" s="4">
        <f t="shared" si="2"/>
        <v>2692</v>
      </c>
      <c r="B2693" s="4" t="s">
        <v>5820</v>
      </c>
      <c r="C2693" s="5" t="s">
        <v>5821</v>
      </c>
      <c r="D2693" s="4"/>
      <c r="E2693" s="4"/>
      <c r="F2693" s="4" t="s">
        <v>22</v>
      </c>
      <c r="G2693" s="6">
        <v>3.59</v>
      </c>
      <c r="H2693" s="7" t="s">
        <v>1606</v>
      </c>
      <c r="I2693" s="4" t="s">
        <v>1623</v>
      </c>
      <c r="J2693" s="4" t="s">
        <v>2987</v>
      </c>
      <c r="K2693" s="8"/>
      <c r="L2693" s="8" t="s">
        <v>5733</v>
      </c>
      <c r="M2693" s="9">
        <f t="shared" si="1"/>
        <v>58</v>
      </c>
    </row>
    <row r="2694" ht="12.75" customHeight="1">
      <c r="A2694" s="4">
        <f t="shared" si="2"/>
        <v>2693</v>
      </c>
      <c r="B2694" s="4" t="s">
        <v>5822</v>
      </c>
      <c r="C2694" s="26" t="s">
        <v>5823</v>
      </c>
      <c r="D2694" s="4"/>
      <c r="E2694" s="4"/>
      <c r="F2694" s="4" t="s">
        <v>22</v>
      </c>
      <c r="G2694" s="6">
        <v>1.27</v>
      </c>
      <c r="H2694" s="7" t="s">
        <v>1606</v>
      </c>
      <c r="I2694" s="4" t="s">
        <v>1623</v>
      </c>
      <c r="J2694" s="4" t="s">
        <v>2987</v>
      </c>
      <c r="K2694" s="8"/>
      <c r="L2694" s="8" t="s">
        <v>5733</v>
      </c>
      <c r="M2694" s="9">
        <f t="shared" si="1"/>
        <v>54</v>
      </c>
    </row>
    <row r="2695" ht="12.75" customHeight="1">
      <c r="A2695" s="4">
        <f t="shared" si="2"/>
        <v>2694</v>
      </c>
      <c r="B2695" s="4" t="s">
        <v>5824</v>
      </c>
      <c r="C2695" s="26" t="s">
        <v>5825</v>
      </c>
      <c r="D2695" s="4"/>
      <c r="E2695" s="4"/>
      <c r="F2695" s="4" t="s">
        <v>22</v>
      </c>
      <c r="G2695" s="6">
        <v>1.08</v>
      </c>
      <c r="H2695" s="7" t="s">
        <v>1606</v>
      </c>
      <c r="I2695" s="4" t="s">
        <v>1623</v>
      </c>
      <c r="J2695" s="4" t="s">
        <v>2987</v>
      </c>
      <c r="K2695" s="8"/>
      <c r="L2695" s="8" t="s">
        <v>5733</v>
      </c>
      <c r="M2695" s="9">
        <f t="shared" si="1"/>
        <v>56</v>
      </c>
    </row>
    <row r="2696" ht="12.75" customHeight="1">
      <c r="A2696" s="4">
        <f t="shared" si="2"/>
        <v>2695</v>
      </c>
      <c r="B2696" s="4" t="s">
        <v>5826</v>
      </c>
      <c r="C2696" s="26" t="s">
        <v>5827</v>
      </c>
      <c r="D2696" s="4"/>
      <c r="E2696" s="4"/>
      <c r="F2696" s="4" t="s">
        <v>22</v>
      </c>
      <c r="G2696" s="6">
        <v>4.96</v>
      </c>
      <c r="H2696" s="7" t="s">
        <v>1606</v>
      </c>
      <c r="I2696" s="4" t="s">
        <v>1623</v>
      </c>
      <c r="J2696" s="4" t="s">
        <v>2987</v>
      </c>
      <c r="K2696" s="8"/>
      <c r="L2696" s="8" t="s">
        <v>5733</v>
      </c>
      <c r="M2696" s="9">
        <f t="shared" si="1"/>
        <v>54</v>
      </c>
    </row>
    <row r="2697" ht="12.75" customHeight="1">
      <c r="A2697" s="4">
        <f t="shared" si="2"/>
        <v>2696</v>
      </c>
      <c r="B2697" s="4" t="s">
        <v>5828</v>
      </c>
      <c r="C2697" s="26" t="s">
        <v>5829</v>
      </c>
      <c r="D2697" s="4"/>
      <c r="E2697" s="4"/>
      <c r="F2697" s="4" t="s">
        <v>22</v>
      </c>
      <c r="G2697" s="6">
        <v>1.22</v>
      </c>
      <c r="H2697" s="7" t="s">
        <v>1606</v>
      </c>
      <c r="I2697" s="4" t="s">
        <v>1623</v>
      </c>
      <c r="J2697" s="4" t="s">
        <v>2987</v>
      </c>
      <c r="K2697" s="8"/>
      <c r="L2697" s="8" t="s">
        <v>5733</v>
      </c>
      <c r="M2697" s="9">
        <f t="shared" si="1"/>
        <v>56</v>
      </c>
    </row>
    <row r="2698" ht="12.75" customHeight="1">
      <c r="A2698" s="4">
        <f t="shared" si="2"/>
        <v>2697</v>
      </c>
      <c r="B2698" s="4" t="s">
        <v>5830</v>
      </c>
      <c r="C2698" s="26" t="s">
        <v>5831</v>
      </c>
      <c r="D2698" s="4"/>
      <c r="E2698" s="4"/>
      <c r="F2698" s="4" t="s">
        <v>22</v>
      </c>
      <c r="G2698" s="6">
        <v>4.59</v>
      </c>
      <c r="H2698" s="7" t="s">
        <v>1606</v>
      </c>
      <c r="I2698" s="4" t="s">
        <v>1623</v>
      </c>
      <c r="J2698" s="4" t="s">
        <v>2230</v>
      </c>
      <c r="K2698" s="8"/>
      <c r="L2698" s="8" t="s">
        <v>2988</v>
      </c>
      <c r="M2698" s="9">
        <f t="shared" si="1"/>
        <v>35</v>
      </c>
    </row>
    <row r="2699" ht="12.75" customHeight="1">
      <c r="A2699" s="4">
        <f t="shared" si="2"/>
        <v>2698</v>
      </c>
      <c r="B2699" s="4" t="s">
        <v>5832</v>
      </c>
      <c r="C2699" s="5" t="s">
        <v>5833</v>
      </c>
      <c r="D2699" s="4"/>
      <c r="E2699" s="4"/>
      <c r="F2699" s="4" t="s">
        <v>22</v>
      </c>
      <c r="G2699" s="6">
        <v>1.54</v>
      </c>
      <c r="H2699" s="7" t="s">
        <v>1606</v>
      </c>
      <c r="I2699" s="4" t="s">
        <v>1623</v>
      </c>
      <c r="J2699" s="4" t="s">
        <v>2230</v>
      </c>
      <c r="K2699" s="8"/>
      <c r="L2699" s="8" t="s">
        <v>2988</v>
      </c>
      <c r="M2699" s="9">
        <f t="shared" si="1"/>
        <v>31</v>
      </c>
    </row>
    <row r="2700" ht="12.75" customHeight="1">
      <c r="A2700" s="4">
        <f t="shared" si="2"/>
        <v>2699</v>
      </c>
      <c r="B2700" s="4" t="s">
        <v>5834</v>
      </c>
      <c r="C2700" s="5" t="s">
        <v>5835</v>
      </c>
      <c r="D2700" s="4"/>
      <c r="E2700" s="4"/>
      <c r="F2700" s="4" t="s">
        <v>22</v>
      </c>
      <c r="G2700" s="6">
        <v>0.95</v>
      </c>
      <c r="H2700" s="7" t="s">
        <v>1606</v>
      </c>
      <c r="I2700" s="4" t="s">
        <v>1623</v>
      </c>
      <c r="J2700" s="4" t="s">
        <v>2230</v>
      </c>
      <c r="K2700" s="8"/>
      <c r="L2700" s="8" t="s">
        <v>2988</v>
      </c>
      <c r="M2700" s="9">
        <f t="shared" si="1"/>
        <v>33</v>
      </c>
    </row>
    <row r="2701" ht="12.75" customHeight="1">
      <c r="A2701" s="4">
        <f t="shared" si="2"/>
        <v>2700</v>
      </c>
      <c r="B2701" s="4" t="s">
        <v>5836</v>
      </c>
      <c r="C2701" s="5" t="s">
        <v>5837</v>
      </c>
      <c r="D2701" s="4"/>
      <c r="E2701" s="4"/>
      <c r="F2701" s="4" t="s">
        <v>22</v>
      </c>
      <c r="G2701" s="6">
        <v>5.27</v>
      </c>
      <c r="H2701" s="7" t="s">
        <v>1606</v>
      </c>
      <c r="I2701" s="4" t="s">
        <v>1623</v>
      </c>
      <c r="J2701" s="4" t="s">
        <v>2230</v>
      </c>
      <c r="K2701" s="8"/>
      <c r="L2701" s="8" t="s">
        <v>2988</v>
      </c>
      <c r="M2701" s="9">
        <f t="shared" si="1"/>
        <v>31</v>
      </c>
    </row>
    <row r="2702" ht="12.75" customHeight="1">
      <c r="A2702" s="4">
        <f t="shared" si="2"/>
        <v>2701</v>
      </c>
      <c r="B2702" s="4" t="s">
        <v>5838</v>
      </c>
      <c r="C2702" s="5" t="s">
        <v>5839</v>
      </c>
      <c r="D2702" s="4"/>
      <c r="E2702" s="4"/>
      <c r="F2702" s="4" t="s">
        <v>22</v>
      </c>
      <c r="G2702" s="6">
        <v>1.35</v>
      </c>
      <c r="H2702" s="7" t="s">
        <v>1606</v>
      </c>
      <c r="I2702" s="4" t="s">
        <v>1623</v>
      </c>
      <c r="J2702" s="4" t="s">
        <v>2230</v>
      </c>
      <c r="K2702" s="8"/>
      <c r="L2702" s="8" t="s">
        <v>2988</v>
      </c>
      <c r="M2702" s="9">
        <f t="shared" si="1"/>
        <v>33</v>
      </c>
    </row>
    <row r="2703" ht="12.75" customHeight="1">
      <c r="A2703" s="4">
        <f t="shared" si="2"/>
        <v>2702</v>
      </c>
      <c r="B2703" s="4" t="s">
        <v>5840</v>
      </c>
      <c r="C2703" s="5" t="s">
        <v>5841</v>
      </c>
      <c r="D2703" s="4"/>
      <c r="E2703" s="4"/>
      <c r="F2703" s="4" t="s">
        <v>22</v>
      </c>
      <c r="G2703" s="6">
        <v>1.2</v>
      </c>
      <c r="H2703" s="7" t="s">
        <v>1606</v>
      </c>
      <c r="I2703" s="4" t="s">
        <v>1869</v>
      </c>
      <c r="J2703" s="4" t="s">
        <v>5842</v>
      </c>
      <c r="K2703" s="8"/>
      <c r="L2703" s="8" t="s">
        <v>33</v>
      </c>
      <c r="M2703" s="9">
        <f t="shared" si="1"/>
        <v>42</v>
      </c>
    </row>
    <row r="2704" ht="12.75" customHeight="1">
      <c r="A2704" s="4">
        <f t="shared" si="2"/>
        <v>2703</v>
      </c>
      <c r="B2704" s="4" t="s">
        <v>5843</v>
      </c>
      <c r="C2704" s="5" t="s">
        <v>5844</v>
      </c>
      <c r="D2704" s="4"/>
      <c r="E2704" s="4"/>
      <c r="F2704" s="4" t="s">
        <v>22</v>
      </c>
      <c r="G2704" s="6">
        <v>1.2</v>
      </c>
      <c r="H2704" s="7" t="s">
        <v>1606</v>
      </c>
      <c r="I2704" s="4" t="s">
        <v>1869</v>
      </c>
      <c r="J2704" s="4" t="s">
        <v>5842</v>
      </c>
      <c r="K2704" s="8"/>
      <c r="L2704" s="8" t="s">
        <v>33</v>
      </c>
      <c r="M2704" s="9">
        <f t="shared" si="1"/>
        <v>42</v>
      </c>
    </row>
    <row r="2705" ht="12.75" customHeight="1">
      <c r="A2705" s="4">
        <f t="shared" si="2"/>
        <v>2704</v>
      </c>
      <c r="B2705" s="4" t="s">
        <v>5845</v>
      </c>
      <c r="C2705" s="5" t="s">
        <v>5846</v>
      </c>
      <c r="D2705" s="4"/>
      <c r="E2705" s="4"/>
      <c r="F2705" s="4" t="s">
        <v>22</v>
      </c>
      <c r="G2705" s="6">
        <v>79.73</v>
      </c>
      <c r="H2705" s="7" t="s">
        <v>1606</v>
      </c>
      <c r="I2705" s="4" t="s">
        <v>1574</v>
      </c>
      <c r="J2705" s="4" t="s">
        <v>2082</v>
      </c>
      <c r="K2705" s="8"/>
      <c r="L2705" s="8" t="s">
        <v>2716</v>
      </c>
      <c r="M2705" s="9">
        <f t="shared" si="1"/>
        <v>32</v>
      </c>
    </row>
    <row r="2706" ht="12.75" customHeight="1">
      <c r="A2706" s="4">
        <f t="shared" si="2"/>
        <v>2705</v>
      </c>
      <c r="B2706" s="4" t="s">
        <v>5847</v>
      </c>
      <c r="C2706" s="5" t="s">
        <v>5848</v>
      </c>
      <c r="D2706" s="4"/>
      <c r="E2706" s="4"/>
      <c r="F2706" s="4" t="s">
        <v>22</v>
      </c>
      <c r="G2706" s="6">
        <v>7.0</v>
      </c>
      <c r="H2706" s="7" t="s">
        <v>1606</v>
      </c>
      <c r="I2706" s="4" t="s">
        <v>1794</v>
      </c>
      <c r="J2706" s="4" t="s">
        <v>165</v>
      </c>
      <c r="K2706" s="8"/>
      <c r="L2706" s="8" t="s">
        <v>507</v>
      </c>
      <c r="M2706" s="9">
        <f t="shared" si="1"/>
        <v>32</v>
      </c>
    </row>
    <row r="2707" ht="12.75" customHeight="1">
      <c r="A2707" s="4">
        <f t="shared" si="2"/>
        <v>2706</v>
      </c>
      <c r="B2707" s="4" t="s">
        <v>5849</v>
      </c>
      <c r="C2707" s="5" t="s">
        <v>5850</v>
      </c>
      <c r="D2707" s="4"/>
      <c r="E2707" s="4"/>
      <c r="F2707" s="4" t="s">
        <v>22</v>
      </c>
      <c r="G2707" s="6">
        <v>11.59</v>
      </c>
      <c r="H2707" s="7" t="s">
        <v>1606</v>
      </c>
      <c r="I2707" s="4" t="s">
        <v>1794</v>
      </c>
      <c r="J2707" s="4" t="s">
        <v>165</v>
      </c>
      <c r="K2707" s="8"/>
      <c r="L2707" s="8" t="s">
        <v>507</v>
      </c>
      <c r="M2707" s="9">
        <f t="shared" si="1"/>
        <v>32</v>
      </c>
    </row>
    <row r="2708" ht="12.75" customHeight="1">
      <c r="A2708" s="4">
        <f t="shared" si="2"/>
        <v>2707</v>
      </c>
      <c r="B2708" s="4" t="s">
        <v>5851</v>
      </c>
      <c r="C2708" s="5" t="s">
        <v>5852</v>
      </c>
      <c r="D2708" s="4"/>
      <c r="E2708" s="4"/>
      <c r="F2708" s="4" t="s">
        <v>22</v>
      </c>
      <c r="G2708" s="6">
        <v>14.59</v>
      </c>
      <c r="H2708" s="7" t="s">
        <v>1606</v>
      </c>
      <c r="I2708" s="4" t="s">
        <v>1794</v>
      </c>
      <c r="J2708" s="4" t="s">
        <v>165</v>
      </c>
      <c r="K2708" s="8"/>
      <c r="L2708" s="8" t="s">
        <v>507</v>
      </c>
      <c r="M2708" s="9">
        <f t="shared" si="1"/>
        <v>32</v>
      </c>
    </row>
    <row r="2709" ht="12.75" customHeight="1">
      <c r="A2709" s="4">
        <f t="shared" si="2"/>
        <v>2708</v>
      </c>
      <c r="B2709" s="4" t="s">
        <v>5853</v>
      </c>
      <c r="C2709" s="5" t="s">
        <v>5854</v>
      </c>
      <c r="D2709" s="4"/>
      <c r="E2709" s="4"/>
      <c r="F2709" s="4" t="s">
        <v>22</v>
      </c>
      <c r="G2709" s="6">
        <v>7.0</v>
      </c>
      <c r="H2709" s="7" t="s">
        <v>1606</v>
      </c>
      <c r="I2709" s="4" t="s">
        <v>1794</v>
      </c>
      <c r="J2709" s="4" t="s">
        <v>165</v>
      </c>
      <c r="K2709" s="8"/>
      <c r="L2709" s="8" t="s">
        <v>507</v>
      </c>
      <c r="M2709" s="9">
        <f t="shared" si="1"/>
        <v>24</v>
      </c>
    </row>
    <row r="2710" ht="12.75" customHeight="1">
      <c r="A2710" s="4">
        <f t="shared" si="2"/>
        <v>2709</v>
      </c>
      <c r="B2710" s="4" t="s">
        <v>5855</v>
      </c>
      <c r="C2710" s="5" t="s">
        <v>5856</v>
      </c>
      <c r="D2710" s="4"/>
      <c r="E2710" s="4"/>
      <c r="F2710" s="4" t="s">
        <v>22</v>
      </c>
      <c r="G2710" s="6">
        <v>44.18</v>
      </c>
      <c r="H2710" s="7" t="s">
        <v>1606</v>
      </c>
      <c r="I2710" s="4" t="s">
        <v>1794</v>
      </c>
      <c r="J2710" s="4" t="s">
        <v>165</v>
      </c>
      <c r="K2710" s="8"/>
      <c r="L2710" s="8" t="s">
        <v>507</v>
      </c>
      <c r="M2710" s="9">
        <f t="shared" si="1"/>
        <v>24</v>
      </c>
    </row>
    <row r="2711" ht="12.75" customHeight="1">
      <c r="A2711" s="4">
        <f t="shared" si="2"/>
        <v>2710</v>
      </c>
      <c r="B2711" s="4" t="s">
        <v>5857</v>
      </c>
      <c r="C2711" s="5" t="s">
        <v>5858</v>
      </c>
      <c r="D2711" s="4"/>
      <c r="E2711" s="4"/>
      <c r="F2711" s="4" t="s">
        <v>22</v>
      </c>
      <c r="G2711" s="6">
        <v>50.15</v>
      </c>
      <c r="H2711" s="7" t="s">
        <v>1606</v>
      </c>
      <c r="I2711" s="4" t="s">
        <v>1794</v>
      </c>
      <c r="J2711" s="4" t="s">
        <v>165</v>
      </c>
      <c r="K2711" s="8"/>
      <c r="L2711" s="8" t="s">
        <v>507</v>
      </c>
      <c r="M2711" s="9">
        <f t="shared" si="1"/>
        <v>24</v>
      </c>
    </row>
    <row r="2712" ht="12.75" customHeight="1">
      <c r="A2712" s="4">
        <f t="shared" si="2"/>
        <v>2711</v>
      </c>
      <c r="B2712" s="4" t="s">
        <v>5859</v>
      </c>
      <c r="C2712" s="5" t="s">
        <v>5860</v>
      </c>
      <c r="D2712" s="4"/>
      <c r="E2712" s="4"/>
      <c r="F2712" s="4" t="s">
        <v>22</v>
      </c>
      <c r="G2712" s="6">
        <v>3.46</v>
      </c>
      <c r="H2712" s="7" t="s">
        <v>1606</v>
      </c>
      <c r="I2712" s="4" t="s">
        <v>1574</v>
      </c>
      <c r="J2712" s="4" t="s">
        <v>2434</v>
      </c>
      <c r="K2712" s="8"/>
      <c r="L2712" s="8" t="s">
        <v>3140</v>
      </c>
      <c r="M2712" s="9">
        <f t="shared" si="1"/>
        <v>48</v>
      </c>
    </row>
    <row r="2713" ht="12.75" customHeight="1">
      <c r="A2713" s="4">
        <f t="shared" si="2"/>
        <v>2712</v>
      </c>
      <c r="B2713" s="4" t="s">
        <v>5861</v>
      </c>
      <c r="C2713" s="5" t="s">
        <v>5862</v>
      </c>
      <c r="D2713" s="4"/>
      <c r="E2713" s="4"/>
      <c r="F2713" s="4" t="s">
        <v>22</v>
      </c>
      <c r="G2713" s="6">
        <v>3.46</v>
      </c>
      <c r="H2713" s="7" t="s">
        <v>1606</v>
      </c>
      <c r="I2713" s="4" t="s">
        <v>1574</v>
      </c>
      <c r="J2713" s="4" t="s">
        <v>2434</v>
      </c>
      <c r="K2713" s="8"/>
      <c r="L2713" s="8" t="s">
        <v>3140</v>
      </c>
      <c r="M2713" s="9">
        <f t="shared" si="1"/>
        <v>42</v>
      </c>
    </row>
    <row r="2714" ht="12.75" customHeight="1">
      <c r="A2714" s="4">
        <f t="shared" si="2"/>
        <v>2713</v>
      </c>
      <c r="B2714" s="4" t="s">
        <v>5863</v>
      </c>
      <c r="C2714" s="5" t="s">
        <v>5864</v>
      </c>
      <c r="D2714" s="4"/>
      <c r="E2714" s="4"/>
      <c r="F2714" s="4" t="s">
        <v>22</v>
      </c>
      <c r="G2714" s="6">
        <v>3.46</v>
      </c>
      <c r="H2714" s="7" t="s">
        <v>1606</v>
      </c>
      <c r="I2714" s="4" t="s">
        <v>1574</v>
      </c>
      <c r="J2714" s="4" t="s">
        <v>2434</v>
      </c>
      <c r="K2714" s="8"/>
      <c r="L2714" s="8" t="s">
        <v>3140</v>
      </c>
      <c r="M2714" s="9">
        <f t="shared" si="1"/>
        <v>42</v>
      </c>
    </row>
    <row r="2715" ht="12.75" customHeight="1">
      <c r="A2715" s="4">
        <f t="shared" si="2"/>
        <v>2714</v>
      </c>
      <c r="B2715" s="4" t="s">
        <v>5865</v>
      </c>
      <c r="C2715" s="5" t="s">
        <v>5866</v>
      </c>
      <c r="D2715" s="4"/>
      <c r="E2715" s="4"/>
      <c r="F2715" s="4" t="s">
        <v>22</v>
      </c>
      <c r="G2715" s="6">
        <v>3.3</v>
      </c>
      <c r="H2715" s="7" t="s">
        <v>1606</v>
      </c>
      <c r="I2715" s="4" t="s">
        <v>1574</v>
      </c>
      <c r="J2715" s="4" t="s">
        <v>2434</v>
      </c>
      <c r="K2715" s="8"/>
      <c r="L2715" s="8" t="s">
        <v>3140</v>
      </c>
      <c r="M2715" s="9">
        <f t="shared" si="1"/>
        <v>59</v>
      </c>
    </row>
    <row r="2716" ht="12.75" customHeight="1">
      <c r="A2716" s="4">
        <f t="shared" si="2"/>
        <v>2715</v>
      </c>
      <c r="B2716" s="4" t="s">
        <v>5867</v>
      </c>
      <c r="C2716" s="5" t="s">
        <v>5868</v>
      </c>
      <c r="D2716" s="4"/>
      <c r="E2716" s="4"/>
      <c r="F2716" s="4" t="s">
        <v>22</v>
      </c>
      <c r="G2716" s="6">
        <v>1.7</v>
      </c>
      <c r="H2716" s="7" t="s">
        <v>1606</v>
      </c>
      <c r="I2716" s="4" t="s">
        <v>1574</v>
      </c>
      <c r="J2716" s="4" t="s">
        <v>2434</v>
      </c>
      <c r="K2716" s="8"/>
      <c r="L2716" s="8" t="s">
        <v>3140</v>
      </c>
      <c r="M2716" s="9">
        <f t="shared" si="1"/>
        <v>55</v>
      </c>
    </row>
    <row r="2717" ht="12.75" customHeight="1">
      <c r="A2717" s="4">
        <f t="shared" si="2"/>
        <v>2716</v>
      </c>
      <c r="B2717" s="4" t="s">
        <v>5869</v>
      </c>
      <c r="C2717" s="5" t="s">
        <v>5870</v>
      </c>
      <c r="D2717" s="4"/>
      <c r="E2717" s="4"/>
      <c r="F2717" s="4" t="s">
        <v>22</v>
      </c>
      <c r="G2717" s="6">
        <v>3.46</v>
      </c>
      <c r="H2717" s="7" t="s">
        <v>1606</v>
      </c>
      <c r="I2717" s="4" t="s">
        <v>1574</v>
      </c>
      <c r="J2717" s="4" t="s">
        <v>2434</v>
      </c>
      <c r="K2717" s="8"/>
      <c r="L2717" s="8" t="s">
        <v>3140</v>
      </c>
      <c r="M2717" s="9">
        <f t="shared" si="1"/>
        <v>55</v>
      </c>
    </row>
    <row r="2718" ht="12.75" customHeight="1">
      <c r="A2718" s="4">
        <f t="shared" si="2"/>
        <v>2717</v>
      </c>
      <c r="B2718" s="4" t="s">
        <v>5871</v>
      </c>
      <c r="C2718" s="5" t="s">
        <v>5872</v>
      </c>
      <c r="D2718" s="4"/>
      <c r="E2718" s="4"/>
      <c r="F2718" s="4" t="s">
        <v>22</v>
      </c>
      <c r="G2718" s="6">
        <v>3.46</v>
      </c>
      <c r="H2718" s="7" t="s">
        <v>1606</v>
      </c>
      <c r="I2718" s="4" t="s">
        <v>1574</v>
      </c>
      <c r="J2718" s="4" t="s">
        <v>2434</v>
      </c>
      <c r="K2718" s="8"/>
      <c r="L2718" s="8" t="s">
        <v>3140</v>
      </c>
      <c r="M2718" s="9">
        <f t="shared" si="1"/>
        <v>53</v>
      </c>
    </row>
    <row r="2719" ht="12.75" customHeight="1">
      <c r="A2719" s="4">
        <f t="shared" si="2"/>
        <v>2718</v>
      </c>
      <c r="B2719" s="4" t="s">
        <v>5873</v>
      </c>
      <c r="C2719" s="5" t="s">
        <v>5874</v>
      </c>
      <c r="D2719" s="4"/>
      <c r="E2719" s="4"/>
      <c r="F2719" s="4" t="s">
        <v>22</v>
      </c>
      <c r="G2719" s="6">
        <v>3.46</v>
      </c>
      <c r="H2719" s="7" t="s">
        <v>1606</v>
      </c>
      <c r="I2719" s="4" t="s">
        <v>1574</v>
      </c>
      <c r="J2719" s="4" t="s">
        <v>2434</v>
      </c>
      <c r="K2719" s="8"/>
      <c r="L2719" s="8" t="s">
        <v>3140</v>
      </c>
      <c r="M2719" s="9">
        <f t="shared" si="1"/>
        <v>49</v>
      </c>
    </row>
    <row r="2720" ht="12.75" customHeight="1">
      <c r="A2720" s="4">
        <f t="shared" si="2"/>
        <v>2719</v>
      </c>
      <c r="B2720" s="4" t="s">
        <v>5875</v>
      </c>
      <c r="C2720" s="5" t="s">
        <v>5876</v>
      </c>
      <c r="D2720" s="4"/>
      <c r="E2720" s="4"/>
      <c r="F2720" s="4" t="s">
        <v>22</v>
      </c>
      <c r="G2720" s="6">
        <v>2.0</v>
      </c>
      <c r="H2720" s="7" t="s">
        <v>1606</v>
      </c>
      <c r="I2720" s="4" t="s">
        <v>1574</v>
      </c>
      <c r="J2720" s="4" t="s">
        <v>2434</v>
      </c>
      <c r="K2720" s="8"/>
      <c r="L2720" s="8" t="s">
        <v>3140</v>
      </c>
      <c r="M2720" s="9">
        <f t="shared" si="1"/>
        <v>49</v>
      </c>
    </row>
    <row r="2721" ht="12.75" customHeight="1">
      <c r="A2721" s="4">
        <f t="shared" si="2"/>
        <v>2720</v>
      </c>
      <c r="B2721" s="4" t="s">
        <v>5877</v>
      </c>
      <c r="C2721" s="5" t="s">
        <v>5878</v>
      </c>
      <c r="D2721" s="4"/>
      <c r="E2721" s="4"/>
      <c r="F2721" s="4" t="s">
        <v>22</v>
      </c>
      <c r="G2721" s="6">
        <v>3.46</v>
      </c>
      <c r="H2721" s="7" t="s">
        <v>1606</v>
      </c>
      <c r="I2721" s="4" t="s">
        <v>1574</v>
      </c>
      <c r="J2721" s="4" t="s">
        <v>2434</v>
      </c>
      <c r="K2721" s="8"/>
      <c r="L2721" s="8" t="s">
        <v>3140</v>
      </c>
      <c r="M2721" s="9">
        <f t="shared" si="1"/>
        <v>53</v>
      </c>
    </row>
    <row r="2722" ht="12.75" customHeight="1">
      <c r="A2722" s="4">
        <f t="shared" si="2"/>
        <v>2721</v>
      </c>
      <c r="B2722" s="4" t="s">
        <v>5879</v>
      </c>
      <c r="C2722" s="5" t="s">
        <v>5880</v>
      </c>
      <c r="D2722" s="4"/>
      <c r="E2722" s="4"/>
      <c r="F2722" s="4" t="s">
        <v>22</v>
      </c>
      <c r="G2722" s="6">
        <v>3.46</v>
      </c>
      <c r="H2722" s="7" t="s">
        <v>1606</v>
      </c>
      <c r="I2722" s="4" t="s">
        <v>1574</v>
      </c>
      <c r="J2722" s="4" t="s">
        <v>2434</v>
      </c>
      <c r="K2722" s="8"/>
      <c r="L2722" s="8" t="s">
        <v>3140</v>
      </c>
      <c r="M2722" s="9">
        <f t="shared" si="1"/>
        <v>49</v>
      </c>
    </row>
    <row r="2723" ht="12.75" customHeight="1">
      <c r="A2723" s="4">
        <f t="shared" si="2"/>
        <v>2722</v>
      </c>
      <c r="B2723" s="4" t="s">
        <v>5881</v>
      </c>
      <c r="C2723" s="5" t="s">
        <v>5882</v>
      </c>
      <c r="D2723" s="4"/>
      <c r="E2723" s="4"/>
      <c r="F2723" s="4" t="s">
        <v>22</v>
      </c>
      <c r="G2723" s="6">
        <v>14.06</v>
      </c>
      <c r="H2723" s="7" t="s">
        <v>1606</v>
      </c>
      <c r="I2723" s="4" t="s">
        <v>1574</v>
      </c>
      <c r="J2723" s="4" t="s">
        <v>2434</v>
      </c>
      <c r="K2723" s="8"/>
      <c r="L2723" s="8" t="s">
        <v>3167</v>
      </c>
      <c r="M2723" s="9">
        <f t="shared" si="1"/>
        <v>75</v>
      </c>
    </row>
    <row r="2724" ht="12.75" customHeight="1">
      <c r="A2724" s="4">
        <f t="shared" si="2"/>
        <v>2723</v>
      </c>
      <c r="B2724" s="4" t="s">
        <v>5883</v>
      </c>
      <c r="C2724" s="5" t="s">
        <v>5884</v>
      </c>
      <c r="D2724" s="4"/>
      <c r="E2724" s="4"/>
      <c r="F2724" s="4" t="s">
        <v>22</v>
      </c>
      <c r="G2724" s="6">
        <v>10.36</v>
      </c>
      <c r="H2724" s="7" t="s">
        <v>1606</v>
      </c>
      <c r="I2724" s="4" t="s">
        <v>1574</v>
      </c>
      <c r="J2724" s="4" t="s">
        <v>2434</v>
      </c>
      <c r="K2724" s="8"/>
      <c r="L2724" s="8" t="s">
        <v>3167</v>
      </c>
      <c r="M2724" s="9">
        <f t="shared" si="1"/>
        <v>72</v>
      </c>
    </row>
    <row r="2725" ht="12.75" customHeight="1">
      <c r="A2725" s="4">
        <f t="shared" si="2"/>
        <v>2724</v>
      </c>
      <c r="B2725" s="4" t="s">
        <v>5885</v>
      </c>
      <c r="C2725" s="5" t="s">
        <v>5886</v>
      </c>
      <c r="D2725" s="4"/>
      <c r="E2725" s="4"/>
      <c r="F2725" s="4" t="s">
        <v>22</v>
      </c>
      <c r="G2725" s="6">
        <v>15.21</v>
      </c>
      <c r="H2725" s="7" t="s">
        <v>1606</v>
      </c>
      <c r="I2725" s="4" t="s">
        <v>1574</v>
      </c>
      <c r="J2725" s="4" t="s">
        <v>2434</v>
      </c>
      <c r="K2725" s="8"/>
      <c r="L2725" s="8" t="s">
        <v>3167</v>
      </c>
      <c r="M2725" s="9">
        <f t="shared" si="1"/>
        <v>75</v>
      </c>
    </row>
    <row r="2726" ht="12.75" customHeight="1">
      <c r="A2726" s="4">
        <f t="shared" si="2"/>
        <v>2725</v>
      </c>
      <c r="B2726" s="4" t="s">
        <v>5887</v>
      </c>
      <c r="C2726" s="5" t="s">
        <v>5888</v>
      </c>
      <c r="D2726" s="4"/>
      <c r="E2726" s="4"/>
      <c r="F2726" s="4" t="s">
        <v>22</v>
      </c>
      <c r="G2726" s="6">
        <v>41.37</v>
      </c>
      <c r="H2726" s="7" t="s">
        <v>1606</v>
      </c>
      <c r="I2726" s="4" t="s">
        <v>1574</v>
      </c>
      <c r="J2726" s="4" t="s">
        <v>2434</v>
      </c>
      <c r="K2726" s="8"/>
      <c r="L2726" s="8" t="s">
        <v>3167</v>
      </c>
      <c r="M2726" s="9">
        <f t="shared" si="1"/>
        <v>77</v>
      </c>
    </row>
    <row r="2727" ht="12.75" customHeight="1">
      <c r="A2727" s="4">
        <f t="shared" si="2"/>
        <v>2726</v>
      </c>
      <c r="B2727" s="4" t="s">
        <v>5889</v>
      </c>
      <c r="C2727" s="5" t="s">
        <v>5890</v>
      </c>
      <c r="D2727" s="4"/>
      <c r="E2727" s="4"/>
      <c r="F2727" s="4" t="s">
        <v>22</v>
      </c>
      <c r="G2727" s="6">
        <v>2.79</v>
      </c>
      <c r="H2727" s="7" t="s">
        <v>1606</v>
      </c>
      <c r="I2727" s="4" t="s">
        <v>1574</v>
      </c>
      <c r="J2727" s="4" t="s">
        <v>2434</v>
      </c>
      <c r="K2727" s="8"/>
      <c r="L2727" s="8" t="s">
        <v>3167</v>
      </c>
      <c r="M2727" s="9">
        <f t="shared" si="1"/>
        <v>77</v>
      </c>
    </row>
    <row r="2728" ht="12.75" customHeight="1">
      <c r="A2728" s="4">
        <f t="shared" si="2"/>
        <v>2727</v>
      </c>
      <c r="B2728" s="4" t="s">
        <v>5891</v>
      </c>
      <c r="C2728" s="5" t="s">
        <v>5892</v>
      </c>
      <c r="D2728" s="4"/>
      <c r="E2728" s="4"/>
      <c r="F2728" s="4" t="s">
        <v>22</v>
      </c>
      <c r="G2728" s="6">
        <v>6.29</v>
      </c>
      <c r="H2728" s="7" t="s">
        <v>1606</v>
      </c>
      <c r="I2728" s="4" t="s">
        <v>1574</v>
      </c>
      <c r="J2728" s="4" t="s">
        <v>2434</v>
      </c>
      <c r="K2728" s="8"/>
      <c r="L2728" s="8" t="s">
        <v>3167</v>
      </c>
      <c r="M2728" s="9">
        <f t="shared" si="1"/>
        <v>73</v>
      </c>
    </row>
    <row r="2729" ht="12.75" customHeight="1">
      <c r="A2729" s="4">
        <f t="shared" si="2"/>
        <v>2728</v>
      </c>
      <c r="B2729" s="4" t="s">
        <v>5893</v>
      </c>
      <c r="C2729" s="5" t="s">
        <v>5894</v>
      </c>
      <c r="D2729" s="4"/>
      <c r="E2729" s="4"/>
      <c r="F2729" s="4" t="s">
        <v>22</v>
      </c>
      <c r="G2729" s="6">
        <v>12.62</v>
      </c>
      <c r="H2729" s="7" t="s">
        <v>1606</v>
      </c>
      <c r="I2729" s="4" t="s">
        <v>1574</v>
      </c>
      <c r="J2729" s="4" t="s">
        <v>2434</v>
      </c>
      <c r="K2729" s="8"/>
      <c r="L2729" s="8" t="s">
        <v>3167</v>
      </c>
      <c r="M2729" s="9">
        <f t="shared" si="1"/>
        <v>75</v>
      </c>
    </row>
    <row r="2730" ht="12.75" customHeight="1">
      <c r="A2730" s="4">
        <f t="shared" si="2"/>
        <v>2729</v>
      </c>
      <c r="B2730" s="4" t="s">
        <v>5895</v>
      </c>
      <c r="C2730" s="5" t="s">
        <v>5896</v>
      </c>
      <c r="D2730" s="4"/>
      <c r="E2730" s="4"/>
      <c r="F2730" s="4" t="s">
        <v>22</v>
      </c>
      <c r="G2730" s="6">
        <v>3.5</v>
      </c>
      <c r="H2730" s="7" t="s">
        <v>1606</v>
      </c>
      <c r="I2730" s="4" t="s">
        <v>1574</v>
      </c>
      <c r="J2730" s="4" t="s">
        <v>2434</v>
      </c>
      <c r="K2730" s="8"/>
      <c r="L2730" s="8" t="s">
        <v>3167</v>
      </c>
      <c r="M2730" s="9">
        <f t="shared" si="1"/>
        <v>75</v>
      </c>
    </row>
    <row r="2731" ht="12.75" customHeight="1">
      <c r="A2731" s="4">
        <f t="shared" si="2"/>
        <v>2730</v>
      </c>
      <c r="B2731" s="4" t="s">
        <v>5897</v>
      </c>
      <c r="C2731" s="5" t="s">
        <v>5898</v>
      </c>
      <c r="D2731" s="4"/>
      <c r="E2731" s="4"/>
      <c r="F2731" s="4" t="s">
        <v>22</v>
      </c>
      <c r="G2731" s="6">
        <v>3.88</v>
      </c>
      <c r="H2731" s="7" t="s">
        <v>1606</v>
      </c>
      <c r="I2731" s="4" t="s">
        <v>1574</v>
      </c>
      <c r="J2731" s="4" t="s">
        <v>2434</v>
      </c>
      <c r="K2731" s="8"/>
      <c r="L2731" s="8" t="s">
        <v>3167</v>
      </c>
      <c r="M2731" s="9">
        <f t="shared" si="1"/>
        <v>75</v>
      </c>
    </row>
    <row r="2732" ht="12.75" customHeight="1">
      <c r="A2732" s="4">
        <f t="shared" si="2"/>
        <v>2731</v>
      </c>
      <c r="B2732" s="4" t="s">
        <v>5899</v>
      </c>
      <c r="C2732" s="5" t="s">
        <v>5900</v>
      </c>
      <c r="D2732" s="4"/>
      <c r="E2732" s="4"/>
      <c r="F2732" s="4" t="s">
        <v>22</v>
      </c>
      <c r="G2732" s="6">
        <v>8.14</v>
      </c>
      <c r="H2732" s="7" t="s">
        <v>1606</v>
      </c>
      <c r="I2732" s="4" t="s">
        <v>1574</v>
      </c>
      <c r="J2732" s="4" t="s">
        <v>2434</v>
      </c>
      <c r="K2732" s="8"/>
      <c r="L2732" s="8" t="s">
        <v>3167</v>
      </c>
      <c r="M2732" s="9">
        <f t="shared" si="1"/>
        <v>72</v>
      </c>
    </row>
    <row r="2733" ht="12.75" customHeight="1">
      <c r="A2733" s="4">
        <f t="shared" si="2"/>
        <v>2732</v>
      </c>
      <c r="B2733" s="4" t="s">
        <v>5901</v>
      </c>
      <c r="C2733" s="5" t="s">
        <v>5902</v>
      </c>
      <c r="D2733" s="4"/>
      <c r="E2733" s="4"/>
      <c r="F2733" s="4" t="s">
        <v>22</v>
      </c>
      <c r="G2733" s="6">
        <v>160.17</v>
      </c>
      <c r="H2733" s="7" t="s">
        <v>1606</v>
      </c>
      <c r="I2733" s="4" t="s">
        <v>1574</v>
      </c>
      <c r="J2733" s="4" t="s">
        <v>2434</v>
      </c>
      <c r="K2733" s="8"/>
      <c r="L2733" s="8" t="s">
        <v>3167</v>
      </c>
      <c r="M2733" s="9">
        <f t="shared" si="1"/>
        <v>75</v>
      </c>
    </row>
    <row r="2734" ht="12.75" customHeight="1">
      <c r="A2734" s="4">
        <f t="shared" si="2"/>
        <v>2733</v>
      </c>
      <c r="B2734" s="4" t="s">
        <v>5903</v>
      </c>
      <c r="C2734" s="5" t="s">
        <v>5904</v>
      </c>
      <c r="D2734" s="4"/>
      <c r="E2734" s="4"/>
      <c r="F2734" s="4" t="s">
        <v>22</v>
      </c>
      <c r="G2734" s="6">
        <v>41.07</v>
      </c>
      <c r="H2734" s="7" t="s">
        <v>1606</v>
      </c>
      <c r="I2734" s="4" t="s">
        <v>1574</v>
      </c>
      <c r="J2734" s="4" t="s">
        <v>2434</v>
      </c>
      <c r="K2734" s="8"/>
      <c r="L2734" s="8" t="s">
        <v>3167</v>
      </c>
      <c r="M2734" s="9">
        <f t="shared" si="1"/>
        <v>70</v>
      </c>
    </row>
    <row r="2735" ht="12.75" customHeight="1">
      <c r="A2735" s="4">
        <f t="shared" si="2"/>
        <v>2734</v>
      </c>
      <c r="B2735" s="4" t="s">
        <v>5905</v>
      </c>
      <c r="C2735" s="5" t="s">
        <v>5906</v>
      </c>
      <c r="D2735" s="4"/>
      <c r="E2735" s="4"/>
      <c r="F2735" s="4" t="s">
        <v>22</v>
      </c>
      <c r="G2735" s="6">
        <v>48.47</v>
      </c>
      <c r="H2735" s="7" t="s">
        <v>1606</v>
      </c>
      <c r="I2735" s="4" t="s">
        <v>1574</v>
      </c>
      <c r="J2735" s="4" t="s">
        <v>2434</v>
      </c>
      <c r="K2735" s="8"/>
      <c r="L2735" s="8" t="s">
        <v>3167</v>
      </c>
      <c r="M2735" s="9">
        <f t="shared" si="1"/>
        <v>68</v>
      </c>
    </row>
    <row r="2736" ht="12.75" customHeight="1">
      <c r="A2736" s="4">
        <f t="shared" si="2"/>
        <v>2735</v>
      </c>
      <c r="B2736" s="4" t="s">
        <v>5907</v>
      </c>
      <c r="C2736" s="5" t="s">
        <v>5908</v>
      </c>
      <c r="D2736" s="4"/>
      <c r="E2736" s="4"/>
      <c r="F2736" s="4" t="s">
        <v>22</v>
      </c>
      <c r="G2736" s="6">
        <v>166.43</v>
      </c>
      <c r="H2736" s="7" t="s">
        <v>1606</v>
      </c>
      <c r="I2736" s="4" t="s">
        <v>1574</v>
      </c>
      <c r="J2736" s="4" t="s">
        <v>2434</v>
      </c>
      <c r="K2736" s="8"/>
      <c r="L2736" s="8" t="s">
        <v>3167</v>
      </c>
      <c r="M2736" s="9">
        <f t="shared" si="1"/>
        <v>69</v>
      </c>
    </row>
    <row r="2737" ht="12.75" customHeight="1">
      <c r="A2737" s="4">
        <f t="shared" si="2"/>
        <v>2736</v>
      </c>
      <c r="B2737" s="4" t="s">
        <v>5909</v>
      </c>
      <c r="C2737" s="5" t="s">
        <v>5910</v>
      </c>
      <c r="D2737" s="4"/>
      <c r="E2737" s="4"/>
      <c r="F2737" s="4" t="s">
        <v>22</v>
      </c>
      <c r="G2737" s="6">
        <v>13.17</v>
      </c>
      <c r="H2737" s="7" t="s">
        <v>1606</v>
      </c>
      <c r="I2737" s="4" t="s">
        <v>1574</v>
      </c>
      <c r="J2737" s="4" t="s">
        <v>2434</v>
      </c>
      <c r="K2737" s="8"/>
      <c r="L2737" s="8" t="s">
        <v>3167</v>
      </c>
      <c r="M2737" s="9">
        <f t="shared" si="1"/>
        <v>68</v>
      </c>
    </row>
    <row r="2738" ht="12.75" customHeight="1">
      <c r="A2738" s="4">
        <f t="shared" si="2"/>
        <v>2737</v>
      </c>
      <c r="B2738" s="4" t="s">
        <v>5911</v>
      </c>
      <c r="C2738" s="5" t="s">
        <v>5912</v>
      </c>
      <c r="D2738" s="4"/>
      <c r="E2738" s="4"/>
      <c r="F2738" s="4" t="s">
        <v>22</v>
      </c>
      <c r="G2738" s="6">
        <v>13.25</v>
      </c>
      <c r="H2738" s="7" t="s">
        <v>1606</v>
      </c>
      <c r="I2738" s="4" t="s">
        <v>1574</v>
      </c>
      <c r="J2738" s="4" t="s">
        <v>2434</v>
      </c>
      <c r="K2738" s="8"/>
      <c r="L2738" s="8" t="s">
        <v>3167</v>
      </c>
      <c r="M2738" s="9">
        <f t="shared" si="1"/>
        <v>66</v>
      </c>
    </row>
    <row r="2739" ht="12.75" customHeight="1">
      <c r="A2739" s="4">
        <f t="shared" si="2"/>
        <v>2738</v>
      </c>
      <c r="B2739" s="4" t="s">
        <v>5913</v>
      </c>
      <c r="C2739" s="5" t="s">
        <v>5914</v>
      </c>
      <c r="D2739" s="4"/>
      <c r="E2739" s="4"/>
      <c r="F2739" s="4" t="s">
        <v>22</v>
      </c>
      <c r="G2739" s="6">
        <v>26.12</v>
      </c>
      <c r="H2739" s="7" t="s">
        <v>1606</v>
      </c>
      <c r="I2739" s="4" t="s">
        <v>1574</v>
      </c>
      <c r="J2739" s="4" t="s">
        <v>2434</v>
      </c>
      <c r="K2739" s="8"/>
      <c r="L2739" s="8" t="s">
        <v>3167</v>
      </c>
      <c r="M2739" s="9">
        <f t="shared" si="1"/>
        <v>68</v>
      </c>
    </row>
    <row r="2740" ht="12.75" customHeight="1">
      <c r="A2740" s="4">
        <f t="shared" si="2"/>
        <v>2739</v>
      </c>
      <c r="B2740" s="4" t="s">
        <v>5915</v>
      </c>
      <c r="C2740" s="5" t="s">
        <v>5916</v>
      </c>
      <c r="D2740" s="4"/>
      <c r="E2740" s="4"/>
      <c r="F2740" s="4" t="s">
        <v>22</v>
      </c>
      <c r="G2740" s="6">
        <v>231.69</v>
      </c>
      <c r="H2740" s="7" t="s">
        <v>1606</v>
      </c>
      <c r="I2740" s="4" t="s">
        <v>1574</v>
      </c>
      <c r="J2740" s="4" t="s">
        <v>2434</v>
      </c>
      <c r="K2740" s="8"/>
      <c r="L2740" s="8" t="s">
        <v>3167</v>
      </c>
      <c r="M2740" s="9">
        <f t="shared" si="1"/>
        <v>68</v>
      </c>
    </row>
    <row r="2741" ht="12.75" customHeight="1">
      <c r="A2741" s="4">
        <f t="shared" si="2"/>
        <v>2740</v>
      </c>
      <c r="B2741" s="4" t="s">
        <v>5917</v>
      </c>
      <c r="C2741" s="5" t="s">
        <v>5918</v>
      </c>
      <c r="D2741" s="4"/>
      <c r="E2741" s="4"/>
      <c r="F2741" s="4" t="s">
        <v>22</v>
      </c>
      <c r="G2741" s="6">
        <v>30.01</v>
      </c>
      <c r="H2741" s="7" t="s">
        <v>1606</v>
      </c>
      <c r="I2741" s="4" t="s">
        <v>1574</v>
      </c>
      <c r="J2741" s="4" t="s">
        <v>2434</v>
      </c>
      <c r="K2741" s="8"/>
      <c r="L2741" s="8" t="s">
        <v>3167</v>
      </c>
      <c r="M2741" s="9">
        <f t="shared" si="1"/>
        <v>68</v>
      </c>
    </row>
    <row r="2742" ht="12.75" customHeight="1">
      <c r="A2742" s="4">
        <f t="shared" si="2"/>
        <v>2741</v>
      </c>
      <c r="B2742" s="4" t="s">
        <v>5919</v>
      </c>
      <c r="C2742" s="5" t="s">
        <v>5920</v>
      </c>
      <c r="D2742" s="4"/>
      <c r="E2742" s="4"/>
      <c r="F2742" s="4" t="s">
        <v>22</v>
      </c>
      <c r="G2742" s="6">
        <v>12.62</v>
      </c>
      <c r="H2742" s="7" t="s">
        <v>1606</v>
      </c>
      <c r="I2742" s="4" t="s">
        <v>1574</v>
      </c>
      <c r="J2742" s="4" t="s">
        <v>2434</v>
      </c>
      <c r="K2742" s="8"/>
      <c r="L2742" s="8" t="s">
        <v>3167</v>
      </c>
      <c r="M2742" s="9">
        <f t="shared" si="1"/>
        <v>67</v>
      </c>
    </row>
    <row r="2743" ht="12.75" customHeight="1">
      <c r="A2743" s="4">
        <f t="shared" si="2"/>
        <v>2742</v>
      </c>
      <c r="B2743" s="4" t="s">
        <v>5921</v>
      </c>
      <c r="C2743" s="5" t="s">
        <v>5922</v>
      </c>
      <c r="D2743" s="4"/>
      <c r="E2743" s="4"/>
      <c r="F2743" s="4" t="s">
        <v>22</v>
      </c>
      <c r="G2743" s="6">
        <v>43.96</v>
      </c>
      <c r="H2743" s="7" t="s">
        <v>1606</v>
      </c>
      <c r="I2743" s="4" t="s">
        <v>1574</v>
      </c>
      <c r="J2743" s="4" t="s">
        <v>2434</v>
      </c>
      <c r="K2743" s="8"/>
      <c r="L2743" s="8" t="s">
        <v>3167</v>
      </c>
      <c r="M2743" s="9">
        <f t="shared" si="1"/>
        <v>68</v>
      </c>
    </row>
    <row r="2744" ht="12.75" customHeight="1">
      <c r="A2744" s="4">
        <f t="shared" si="2"/>
        <v>2743</v>
      </c>
      <c r="B2744" s="4" t="s">
        <v>5923</v>
      </c>
      <c r="C2744" s="5" t="s">
        <v>5924</v>
      </c>
      <c r="D2744" s="4"/>
      <c r="E2744" s="4"/>
      <c r="F2744" s="4" t="s">
        <v>22</v>
      </c>
      <c r="G2744" s="6">
        <v>114.18</v>
      </c>
      <c r="H2744" s="7" t="s">
        <v>1606</v>
      </c>
      <c r="I2744" s="4" t="s">
        <v>1574</v>
      </c>
      <c r="J2744" s="4" t="s">
        <v>2434</v>
      </c>
      <c r="K2744" s="8"/>
      <c r="L2744" s="8" t="s">
        <v>3167</v>
      </c>
      <c r="M2744" s="9">
        <f t="shared" si="1"/>
        <v>68</v>
      </c>
    </row>
    <row r="2745" ht="12.75" customHeight="1">
      <c r="A2745" s="4">
        <f t="shared" si="2"/>
        <v>2744</v>
      </c>
      <c r="B2745" s="4" t="s">
        <v>5925</v>
      </c>
      <c r="C2745" s="5" t="s">
        <v>5926</v>
      </c>
      <c r="D2745" s="4"/>
      <c r="E2745" s="4"/>
      <c r="F2745" s="4" t="s">
        <v>22</v>
      </c>
      <c r="G2745" s="6">
        <v>31.6</v>
      </c>
      <c r="H2745" s="7" t="s">
        <v>1606</v>
      </c>
      <c r="I2745" s="4" t="s">
        <v>1574</v>
      </c>
      <c r="J2745" s="4" t="s">
        <v>2434</v>
      </c>
      <c r="K2745" s="8"/>
      <c r="L2745" s="8" t="s">
        <v>3167</v>
      </c>
      <c r="M2745" s="9">
        <f t="shared" si="1"/>
        <v>78</v>
      </c>
    </row>
    <row r="2746" ht="12.75" customHeight="1">
      <c r="A2746" s="4">
        <f t="shared" si="2"/>
        <v>2745</v>
      </c>
      <c r="B2746" s="4" t="s">
        <v>5927</v>
      </c>
      <c r="C2746" s="5" t="s">
        <v>5928</v>
      </c>
      <c r="D2746" s="4"/>
      <c r="E2746" s="4"/>
      <c r="F2746" s="4" t="s">
        <v>22</v>
      </c>
      <c r="G2746" s="6">
        <v>31.6</v>
      </c>
      <c r="H2746" s="7" t="s">
        <v>1606</v>
      </c>
      <c r="I2746" s="4" t="s">
        <v>1574</v>
      </c>
      <c r="J2746" s="4" t="s">
        <v>2434</v>
      </c>
      <c r="K2746" s="8"/>
      <c r="L2746" s="8" t="s">
        <v>3167</v>
      </c>
      <c r="M2746" s="9">
        <f t="shared" si="1"/>
        <v>76</v>
      </c>
    </row>
    <row r="2747" ht="12.75" customHeight="1">
      <c r="A2747" s="4">
        <f t="shared" si="2"/>
        <v>2746</v>
      </c>
      <c r="B2747" s="4" t="s">
        <v>5929</v>
      </c>
      <c r="C2747" s="5" t="s">
        <v>5930</v>
      </c>
      <c r="D2747" s="4"/>
      <c r="E2747" s="4"/>
      <c r="F2747" s="4" t="s">
        <v>22</v>
      </c>
      <c r="G2747" s="6">
        <v>41.63</v>
      </c>
      <c r="H2747" s="7" t="s">
        <v>1606</v>
      </c>
      <c r="I2747" s="4" t="s">
        <v>1574</v>
      </c>
      <c r="J2747" s="4" t="s">
        <v>2434</v>
      </c>
      <c r="K2747" s="8"/>
      <c r="L2747" s="8" t="s">
        <v>3167</v>
      </c>
      <c r="M2747" s="9">
        <f t="shared" si="1"/>
        <v>76</v>
      </c>
    </row>
    <row r="2748" ht="12.75" customHeight="1">
      <c r="A2748" s="4">
        <f t="shared" si="2"/>
        <v>2747</v>
      </c>
      <c r="B2748" s="4" t="s">
        <v>5931</v>
      </c>
      <c r="C2748" s="5" t="s">
        <v>5932</v>
      </c>
      <c r="D2748" s="4"/>
      <c r="E2748" s="4"/>
      <c r="F2748" s="4" t="s">
        <v>22</v>
      </c>
      <c r="G2748" s="6">
        <v>52.58</v>
      </c>
      <c r="H2748" s="7" t="s">
        <v>1606</v>
      </c>
      <c r="I2748" s="4" t="s">
        <v>1574</v>
      </c>
      <c r="J2748" s="4" t="s">
        <v>2434</v>
      </c>
      <c r="K2748" s="8"/>
      <c r="L2748" s="8" t="s">
        <v>3167</v>
      </c>
      <c r="M2748" s="9">
        <f t="shared" si="1"/>
        <v>78</v>
      </c>
    </row>
    <row r="2749" ht="12.75" customHeight="1">
      <c r="A2749" s="4">
        <f t="shared" si="2"/>
        <v>2748</v>
      </c>
      <c r="B2749" s="4" t="s">
        <v>5933</v>
      </c>
      <c r="C2749" s="5" t="s">
        <v>5934</v>
      </c>
      <c r="D2749" s="4"/>
      <c r="E2749" s="4"/>
      <c r="F2749" s="4" t="s">
        <v>22</v>
      </c>
      <c r="G2749" s="6">
        <v>46.62</v>
      </c>
      <c r="H2749" s="7" t="s">
        <v>1606</v>
      </c>
      <c r="I2749" s="4" t="s">
        <v>1574</v>
      </c>
      <c r="J2749" s="4" t="s">
        <v>2434</v>
      </c>
      <c r="K2749" s="8"/>
      <c r="L2749" s="8" t="s">
        <v>3167</v>
      </c>
      <c r="M2749" s="9">
        <f t="shared" si="1"/>
        <v>78</v>
      </c>
    </row>
    <row r="2750" ht="12.75" customHeight="1">
      <c r="A2750" s="4">
        <f t="shared" si="2"/>
        <v>2749</v>
      </c>
      <c r="B2750" s="4" t="s">
        <v>5935</v>
      </c>
      <c r="C2750" s="5" t="s">
        <v>5936</v>
      </c>
      <c r="D2750" s="4"/>
      <c r="E2750" s="4"/>
      <c r="F2750" s="4" t="s">
        <v>22</v>
      </c>
      <c r="G2750" s="6">
        <v>70.26</v>
      </c>
      <c r="H2750" s="7" t="s">
        <v>1606</v>
      </c>
      <c r="I2750" s="4" t="s">
        <v>1574</v>
      </c>
      <c r="J2750" s="4" t="s">
        <v>2434</v>
      </c>
      <c r="K2750" s="8"/>
      <c r="L2750" s="8" t="s">
        <v>3167</v>
      </c>
      <c r="M2750" s="9">
        <f t="shared" si="1"/>
        <v>78</v>
      </c>
    </row>
    <row r="2751" ht="12.75" customHeight="1">
      <c r="A2751" s="4">
        <f t="shared" si="2"/>
        <v>2750</v>
      </c>
      <c r="B2751" s="4" t="s">
        <v>5937</v>
      </c>
      <c r="C2751" s="5" t="s">
        <v>5938</v>
      </c>
      <c r="D2751" s="4"/>
      <c r="E2751" s="4"/>
      <c r="F2751" s="4" t="s">
        <v>22</v>
      </c>
      <c r="G2751" s="6">
        <v>65.16</v>
      </c>
      <c r="H2751" s="7" t="s">
        <v>1606</v>
      </c>
      <c r="I2751" s="4" t="s">
        <v>1574</v>
      </c>
      <c r="J2751" s="4" t="s">
        <v>2434</v>
      </c>
      <c r="K2751" s="8"/>
      <c r="L2751" s="8" t="s">
        <v>3167</v>
      </c>
      <c r="M2751" s="9">
        <f t="shared" si="1"/>
        <v>78</v>
      </c>
    </row>
    <row r="2752" ht="12.75" customHeight="1">
      <c r="A2752" s="4">
        <f t="shared" si="2"/>
        <v>2751</v>
      </c>
      <c r="B2752" s="4" t="s">
        <v>5939</v>
      </c>
      <c r="C2752" s="5" t="s">
        <v>5940</v>
      </c>
      <c r="D2752" s="4"/>
      <c r="E2752" s="4"/>
      <c r="F2752" s="4" t="s">
        <v>22</v>
      </c>
      <c r="G2752" s="6">
        <v>63.49</v>
      </c>
      <c r="H2752" s="7" t="s">
        <v>1606</v>
      </c>
      <c r="I2752" s="4" t="s">
        <v>1574</v>
      </c>
      <c r="J2752" s="4" t="s">
        <v>2434</v>
      </c>
      <c r="K2752" s="8"/>
      <c r="L2752" s="8" t="s">
        <v>3167</v>
      </c>
      <c r="M2752" s="9">
        <f t="shared" si="1"/>
        <v>78</v>
      </c>
    </row>
    <row r="2753" ht="12.75" customHeight="1">
      <c r="A2753" s="4">
        <f t="shared" si="2"/>
        <v>2752</v>
      </c>
      <c r="B2753" s="4" t="s">
        <v>5941</v>
      </c>
      <c r="C2753" s="5" t="s">
        <v>5942</v>
      </c>
      <c r="D2753" s="4"/>
      <c r="E2753" s="4"/>
      <c r="F2753" s="4" t="s">
        <v>22</v>
      </c>
      <c r="G2753" s="6">
        <v>83.18</v>
      </c>
      <c r="H2753" s="7" t="s">
        <v>1606</v>
      </c>
      <c r="I2753" s="4" t="s">
        <v>1574</v>
      </c>
      <c r="J2753" s="4" t="s">
        <v>2434</v>
      </c>
      <c r="K2753" s="8"/>
      <c r="L2753" s="8" t="s">
        <v>3167</v>
      </c>
      <c r="M2753" s="9">
        <f t="shared" si="1"/>
        <v>78</v>
      </c>
    </row>
    <row r="2754" ht="12.75" customHeight="1">
      <c r="A2754" s="4">
        <f t="shared" si="2"/>
        <v>2753</v>
      </c>
      <c r="B2754" s="4" t="s">
        <v>5943</v>
      </c>
      <c r="C2754" s="5" t="s">
        <v>5944</v>
      </c>
      <c r="D2754" s="4"/>
      <c r="E2754" s="4"/>
      <c r="F2754" s="4" t="s">
        <v>22</v>
      </c>
      <c r="G2754" s="6">
        <v>109.34</v>
      </c>
      <c r="H2754" s="7" t="s">
        <v>1606</v>
      </c>
      <c r="I2754" s="4" t="s">
        <v>1574</v>
      </c>
      <c r="J2754" s="4" t="s">
        <v>2434</v>
      </c>
      <c r="K2754" s="8"/>
      <c r="L2754" s="8" t="s">
        <v>3167</v>
      </c>
      <c r="M2754" s="9">
        <f t="shared" si="1"/>
        <v>78</v>
      </c>
    </row>
    <row r="2755" ht="12.75" customHeight="1">
      <c r="A2755" s="4">
        <f t="shared" si="2"/>
        <v>2754</v>
      </c>
      <c r="B2755" s="4" t="s">
        <v>5945</v>
      </c>
      <c r="C2755" s="5" t="s">
        <v>5946</v>
      </c>
      <c r="D2755" s="4"/>
      <c r="E2755" s="4"/>
      <c r="F2755" s="4" t="s">
        <v>22</v>
      </c>
      <c r="G2755" s="6">
        <v>114.18</v>
      </c>
      <c r="H2755" s="7" t="s">
        <v>1606</v>
      </c>
      <c r="I2755" s="4" t="s">
        <v>1574</v>
      </c>
      <c r="J2755" s="4" t="s">
        <v>2434</v>
      </c>
      <c r="K2755" s="8"/>
      <c r="L2755" s="8" t="s">
        <v>3167</v>
      </c>
      <c r="M2755" s="9">
        <f t="shared" si="1"/>
        <v>78</v>
      </c>
    </row>
    <row r="2756" ht="12.75" customHeight="1">
      <c r="A2756" s="4">
        <f t="shared" si="2"/>
        <v>2755</v>
      </c>
      <c r="B2756" s="4" t="s">
        <v>5947</v>
      </c>
      <c r="C2756" s="5" t="s">
        <v>5948</v>
      </c>
      <c r="D2756" s="4"/>
      <c r="E2756" s="4"/>
      <c r="F2756" s="4" t="s">
        <v>22</v>
      </c>
      <c r="G2756" s="6">
        <v>3.46</v>
      </c>
      <c r="H2756" s="7" t="s">
        <v>1606</v>
      </c>
      <c r="I2756" s="4" t="s">
        <v>1574</v>
      </c>
      <c r="J2756" s="4" t="s">
        <v>2434</v>
      </c>
      <c r="K2756" s="8"/>
      <c r="L2756" s="8" t="s">
        <v>3140</v>
      </c>
      <c r="M2756" s="9">
        <f t="shared" si="1"/>
        <v>67</v>
      </c>
    </row>
    <row r="2757" ht="12.75" customHeight="1">
      <c r="A2757" s="4">
        <f t="shared" si="2"/>
        <v>2756</v>
      </c>
      <c r="B2757" s="4" t="s">
        <v>5949</v>
      </c>
      <c r="C2757" s="5" t="s">
        <v>5950</v>
      </c>
      <c r="D2757" s="4"/>
      <c r="E2757" s="4"/>
      <c r="F2757" s="4" t="s">
        <v>22</v>
      </c>
      <c r="G2757" s="6">
        <v>3.46</v>
      </c>
      <c r="H2757" s="7" t="s">
        <v>1606</v>
      </c>
      <c r="I2757" s="4" t="s">
        <v>1574</v>
      </c>
      <c r="J2757" s="4" t="s">
        <v>2434</v>
      </c>
      <c r="K2757" s="8"/>
      <c r="L2757" s="8" t="s">
        <v>3140</v>
      </c>
      <c r="M2757" s="9">
        <f t="shared" si="1"/>
        <v>67</v>
      </c>
    </row>
    <row r="2758" ht="12.75" customHeight="1">
      <c r="A2758" s="4">
        <f t="shared" si="2"/>
        <v>2757</v>
      </c>
      <c r="B2758" s="4" t="s">
        <v>5951</v>
      </c>
      <c r="C2758" s="5" t="s">
        <v>5952</v>
      </c>
      <c r="D2758" s="4"/>
      <c r="E2758" s="4"/>
      <c r="F2758" s="4" t="s">
        <v>22</v>
      </c>
      <c r="G2758" s="6">
        <v>3.46</v>
      </c>
      <c r="H2758" s="7" t="s">
        <v>1606</v>
      </c>
      <c r="I2758" s="4" t="s">
        <v>1574</v>
      </c>
      <c r="J2758" s="4" t="s">
        <v>2434</v>
      </c>
      <c r="K2758" s="8"/>
      <c r="L2758" s="8" t="s">
        <v>3140</v>
      </c>
      <c r="M2758" s="9">
        <f t="shared" si="1"/>
        <v>74</v>
      </c>
    </row>
    <row r="2759" ht="12.75" customHeight="1">
      <c r="A2759" s="4">
        <f t="shared" si="2"/>
        <v>2758</v>
      </c>
      <c r="B2759" s="4" t="s">
        <v>5953</v>
      </c>
      <c r="C2759" s="5" t="s">
        <v>5954</v>
      </c>
      <c r="D2759" s="4"/>
      <c r="E2759" s="4"/>
      <c r="F2759" s="4" t="s">
        <v>22</v>
      </c>
      <c r="G2759" s="6">
        <v>3.46</v>
      </c>
      <c r="H2759" s="7" t="s">
        <v>1606</v>
      </c>
      <c r="I2759" s="4" t="s">
        <v>1574</v>
      </c>
      <c r="J2759" s="4" t="s">
        <v>2434</v>
      </c>
      <c r="K2759" s="8"/>
      <c r="L2759" s="8" t="s">
        <v>3140</v>
      </c>
      <c r="M2759" s="9">
        <f t="shared" si="1"/>
        <v>66</v>
      </c>
    </row>
    <row r="2760" ht="12.75" customHeight="1">
      <c r="A2760" s="4">
        <f t="shared" si="2"/>
        <v>2759</v>
      </c>
      <c r="B2760" s="4" t="s">
        <v>5955</v>
      </c>
      <c r="C2760" s="5" t="s">
        <v>5956</v>
      </c>
      <c r="D2760" s="4"/>
      <c r="E2760" s="4"/>
      <c r="F2760" s="4" t="s">
        <v>22</v>
      </c>
      <c r="G2760" s="6">
        <v>97.03</v>
      </c>
      <c r="H2760" s="7" t="s">
        <v>1606</v>
      </c>
      <c r="I2760" s="4" t="s">
        <v>2646</v>
      </c>
      <c r="J2760" s="4" t="s">
        <v>2729</v>
      </c>
      <c r="K2760" s="8"/>
      <c r="L2760" s="8" t="s">
        <v>5957</v>
      </c>
      <c r="M2760" s="9">
        <f t="shared" si="1"/>
        <v>32</v>
      </c>
    </row>
    <row r="2761" ht="12.75" customHeight="1">
      <c r="A2761" s="4">
        <f t="shared" si="2"/>
        <v>2760</v>
      </c>
      <c r="B2761" s="4" t="s">
        <v>5958</v>
      </c>
      <c r="C2761" s="5" t="s">
        <v>5959</v>
      </c>
      <c r="D2761" s="4"/>
      <c r="E2761" s="4"/>
      <c r="F2761" s="4" t="s">
        <v>1694</v>
      </c>
      <c r="G2761" s="6">
        <v>3.79</v>
      </c>
      <c r="H2761" s="7" t="s">
        <v>1606</v>
      </c>
      <c r="I2761" s="4" t="s">
        <v>2044</v>
      </c>
      <c r="J2761" s="4" t="s">
        <v>3305</v>
      </c>
      <c r="K2761" s="8"/>
      <c r="L2761" s="8" t="s">
        <v>3356</v>
      </c>
      <c r="M2761" s="9">
        <f t="shared" si="1"/>
        <v>24</v>
      </c>
    </row>
    <row r="2762" ht="12.75" customHeight="1">
      <c r="A2762" s="4">
        <f t="shared" si="2"/>
        <v>2761</v>
      </c>
      <c r="B2762" s="4" t="s">
        <v>5960</v>
      </c>
      <c r="C2762" s="5" t="s">
        <v>5961</v>
      </c>
      <c r="D2762" s="4"/>
      <c r="E2762" s="4"/>
      <c r="F2762" s="4" t="s">
        <v>22</v>
      </c>
      <c r="G2762" s="6">
        <v>8.58</v>
      </c>
      <c r="H2762" s="7" t="s">
        <v>1606</v>
      </c>
      <c r="I2762" s="4" t="s">
        <v>1623</v>
      </c>
      <c r="J2762" s="4" t="s">
        <v>2230</v>
      </c>
      <c r="K2762" s="8"/>
      <c r="L2762" s="8" t="s">
        <v>33</v>
      </c>
      <c r="M2762" s="9">
        <f t="shared" si="1"/>
        <v>68</v>
      </c>
    </row>
    <row r="2763" ht="12.75" customHeight="1">
      <c r="A2763" s="4">
        <f t="shared" si="2"/>
        <v>2762</v>
      </c>
      <c r="B2763" s="4" t="s">
        <v>5962</v>
      </c>
      <c r="C2763" s="5" t="s">
        <v>5963</v>
      </c>
      <c r="D2763" s="4"/>
      <c r="E2763" s="4"/>
      <c r="F2763" s="4" t="s">
        <v>22</v>
      </c>
      <c r="G2763" s="6">
        <v>3.15</v>
      </c>
      <c r="H2763" s="7" t="s">
        <v>1606</v>
      </c>
      <c r="I2763" s="4" t="s">
        <v>1623</v>
      </c>
      <c r="J2763" s="4" t="s">
        <v>2230</v>
      </c>
      <c r="K2763" s="8"/>
      <c r="L2763" s="8" t="s">
        <v>33</v>
      </c>
      <c r="M2763" s="9">
        <f t="shared" si="1"/>
        <v>70</v>
      </c>
    </row>
    <row r="2764" ht="12.75" customHeight="1">
      <c r="A2764" s="4">
        <f t="shared" si="2"/>
        <v>2763</v>
      </c>
      <c r="B2764" s="4" t="s">
        <v>5964</v>
      </c>
      <c r="C2764" s="5" t="s">
        <v>5965</v>
      </c>
      <c r="D2764" s="4"/>
      <c r="E2764" s="4"/>
      <c r="F2764" s="4" t="s">
        <v>22</v>
      </c>
      <c r="G2764" s="6">
        <v>0.38</v>
      </c>
      <c r="H2764" s="7" t="s">
        <v>1606</v>
      </c>
      <c r="I2764" s="4" t="s">
        <v>1773</v>
      </c>
      <c r="J2764" s="4" t="s">
        <v>1774</v>
      </c>
      <c r="K2764" s="8"/>
      <c r="L2764" s="8" t="s">
        <v>5966</v>
      </c>
      <c r="M2764" s="9">
        <f t="shared" si="1"/>
        <v>17</v>
      </c>
    </row>
    <row r="2765" ht="12.75" customHeight="1">
      <c r="A2765" s="4">
        <f t="shared" si="2"/>
        <v>2764</v>
      </c>
      <c r="B2765" s="4" t="s">
        <v>5967</v>
      </c>
      <c r="C2765" s="5" t="s">
        <v>5968</v>
      </c>
      <c r="D2765" s="4"/>
      <c r="E2765" s="4"/>
      <c r="F2765" s="4" t="s">
        <v>22</v>
      </c>
      <c r="G2765" s="6">
        <v>8.08</v>
      </c>
      <c r="H2765" s="7" t="s">
        <v>1606</v>
      </c>
      <c r="I2765" s="4" t="s">
        <v>1800</v>
      </c>
      <c r="J2765" s="4" t="s">
        <v>1801</v>
      </c>
      <c r="K2765" s="8"/>
      <c r="L2765" s="8" t="s">
        <v>33</v>
      </c>
      <c r="M2765" s="9">
        <f t="shared" si="1"/>
        <v>16</v>
      </c>
    </row>
    <row r="2766" ht="12.75" customHeight="1">
      <c r="A2766" s="4">
        <f t="shared" si="2"/>
        <v>2765</v>
      </c>
      <c r="B2766" s="4" t="s">
        <v>5969</v>
      </c>
      <c r="C2766" s="5" t="s">
        <v>5970</v>
      </c>
      <c r="D2766" s="4"/>
      <c r="E2766" s="4"/>
      <c r="F2766" s="4" t="s">
        <v>22</v>
      </c>
      <c r="G2766" s="6">
        <v>9.46</v>
      </c>
      <c r="H2766" s="7" t="s">
        <v>1606</v>
      </c>
      <c r="I2766" s="4" t="s">
        <v>1475</v>
      </c>
      <c r="J2766" s="4" t="s">
        <v>2631</v>
      </c>
      <c r="K2766" s="8"/>
      <c r="L2766" s="8" t="s">
        <v>507</v>
      </c>
      <c r="M2766" s="9">
        <f t="shared" si="1"/>
        <v>21</v>
      </c>
    </row>
    <row r="2767" ht="12.75" customHeight="1">
      <c r="A2767" s="4">
        <f t="shared" si="2"/>
        <v>2766</v>
      </c>
      <c r="B2767" s="4" t="s">
        <v>5971</v>
      </c>
      <c r="C2767" s="5" t="s">
        <v>5972</v>
      </c>
      <c r="D2767" s="4"/>
      <c r="E2767" s="4"/>
      <c r="F2767" s="4" t="s">
        <v>22</v>
      </c>
      <c r="G2767" s="6">
        <v>0.25</v>
      </c>
      <c r="H2767" s="7" t="s">
        <v>1606</v>
      </c>
      <c r="I2767" s="4" t="s">
        <v>1794</v>
      </c>
      <c r="J2767" s="4" t="s">
        <v>165</v>
      </c>
      <c r="K2767" s="8"/>
      <c r="L2767" s="8" t="s">
        <v>5973</v>
      </c>
      <c r="M2767" s="9">
        <f t="shared" si="1"/>
        <v>17</v>
      </c>
    </row>
    <row r="2768" ht="12.75" customHeight="1">
      <c r="A2768" s="4">
        <f t="shared" si="2"/>
        <v>2767</v>
      </c>
      <c r="B2768" s="4" t="s">
        <v>5974</v>
      </c>
      <c r="C2768" s="5" t="s">
        <v>5975</v>
      </c>
      <c r="D2768" s="4"/>
      <c r="E2768" s="4"/>
      <c r="F2768" s="4" t="s">
        <v>22</v>
      </c>
      <c r="G2768" s="6">
        <v>7.16</v>
      </c>
      <c r="H2768" s="7" t="s">
        <v>1606</v>
      </c>
      <c r="I2768" s="4" t="s">
        <v>1574</v>
      </c>
      <c r="J2768" s="4" t="s">
        <v>1758</v>
      </c>
      <c r="K2768" s="8"/>
      <c r="L2768" s="8" t="s">
        <v>1759</v>
      </c>
      <c r="M2768" s="9">
        <f t="shared" si="1"/>
        <v>32</v>
      </c>
    </row>
    <row r="2769" ht="12.75" customHeight="1">
      <c r="A2769" s="4">
        <f t="shared" si="2"/>
        <v>2768</v>
      </c>
      <c r="B2769" s="4" t="s">
        <v>5976</v>
      </c>
      <c r="C2769" s="5" t="s">
        <v>5977</v>
      </c>
      <c r="D2769" s="4"/>
      <c r="E2769" s="4"/>
      <c r="F2769" s="4" t="s">
        <v>22</v>
      </c>
      <c r="G2769" s="6">
        <v>14.73</v>
      </c>
      <c r="H2769" s="7" t="s">
        <v>1606</v>
      </c>
      <c r="I2769" s="4" t="s">
        <v>1574</v>
      </c>
      <c r="J2769" s="4" t="s">
        <v>1758</v>
      </c>
      <c r="K2769" s="8"/>
      <c r="L2769" s="8" t="s">
        <v>1759</v>
      </c>
      <c r="M2769" s="9">
        <f t="shared" si="1"/>
        <v>41</v>
      </c>
    </row>
    <row r="2770" ht="12.75" customHeight="1">
      <c r="A2770" s="4">
        <f t="shared" si="2"/>
        <v>2769</v>
      </c>
      <c r="B2770" s="4" t="s">
        <v>5978</v>
      </c>
      <c r="C2770" s="5" t="s">
        <v>5979</v>
      </c>
      <c r="D2770" s="4"/>
      <c r="E2770" s="4"/>
      <c r="F2770" s="4" t="s">
        <v>22</v>
      </c>
      <c r="G2770" s="6">
        <v>3.49</v>
      </c>
      <c r="H2770" s="7" t="s">
        <v>1606</v>
      </c>
      <c r="I2770" s="4" t="s">
        <v>1574</v>
      </c>
      <c r="J2770" s="4" t="s">
        <v>1758</v>
      </c>
      <c r="K2770" s="8"/>
      <c r="L2770" s="8" t="s">
        <v>3412</v>
      </c>
      <c r="M2770" s="9">
        <f t="shared" si="1"/>
        <v>37</v>
      </c>
    </row>
    <row r="2771" ht="12.75" customHeight="1">
      <c r="A2771" s="4">
        <f t="shared" si="2"/>
        <v>2770</v>
      </c>
      <c r="B2771" s="4" t="s">
        <v>5980</v>
      </c>
      <c r="C2771" s="5" t="s">
        <v>5981</v>
      </c>
      <c r="D2771" s="4"/>
      <c r="E2771" s="4"/>
      <c r="F2771" s="4" t="s">
        <v>22</v>
      </c>
      <c r="G2771" s="6">
        <v>5.09</v>
      </c>
      <c r="H2771" s="7" t="s">
        <v>1606</v>
      </c>
      <c r="I2771" s="4" t="s">
        <v>1574</v>
      </c>
      <c r="J2771" s="4" t="s">
        <v>1758</v>
      </c>
      <c r="K2771" s="8"/>
      <c r="L2771" s="8" t="s">
        <v>3412</v>
      </c>
      <c r="M2771" s="9">
        <f t="shared" si="1"/>
        <v>48</v>
      </c>
    </row>
    <row r="2772" ht="12.75" customHeight="1">
      <c r="A2772" s="4">
        <f t="shared" si="2"/>
        <v>2771</v>
      </c>
      <c r="B2772" s="4" t="s">
        <v>5982</v>
      </c>
      <c r="C2772" s="5" t="s">
        <v>5983</v>
      </c>
      <c r="D2772" s="4"/>
      <c r="E2772" s="4"/>
      <c r="F2772" s="4" t="s">
        <v>22</v>
      </c>
      <c r="G2772" s="6">
        <v>13.43</v>
      </c>
      <c r="H2772" s="7" t="s">
        <v>1606</v>
      </c>
      <c r="I2772" s="4" t="s">
        <v>1574</v>
      </c>
      <c r="J2772" s="4" t="s">
        <v>1758</v>
      </c>
      <c r="K2772" s="8"/>
      <c r="L2772" s="8" t="s">
        <v>3412</v>
      </c>
      <c r="M2772" s="9">
        <f t="shared" si="1"/>
        <v>68</v>
      </c>
    </row>
    <row r="2773" ht="12.75" customHeight="1">
      <c r="A2773" s="4">
        <f t="shared" si="2"/>
        <v>2772</v>
      </c>
      <c r="B2773" s="4" t="s">
        <v>5984</v>
      </c>
      <c r="C2773" s="5" t="s">
        <v>5985</v>
      </c>
      <c r="D2773" s="4"/>
      <c r="E2773" s="4"/>
      <c r="F2773" s="4" t="s">
        <v>22</v>
      </c>
      <c r="G2773" s="6">
        <v>14.73</v>
      </c>
      <c r="H2773" s="7" t="s">
        <v>1606</v>
      </c>
      <c r="I2773" s="4" t="s">
        <v>1574</v>
      </c>
      <c r="J2773" s="4" t="s">
        <v>1758</v>
      </c>
      <c r="K2773" s="8"/>
      <c r="L2773" s="8" t="s">
        <v>1759</v>
      </c>
      <c r="M2773" s="9">
        <f t="shared" si="1"/>
        <v>39</v>
      </c>
    </row>
    <row r="2774" ht="12.75" customHeight="1">
      <c r="A2774" s="4">
        <f t="shared" si="2"/>
        <v>2773</v>
      </c>
      <c r="B2774" s="4" t="s">
        <v>5986</v>
      </c>
      <c r="C2774" s="5" t="s">
        <v>5987</v>
      </c>
      <c r="D2774" s="4"/>
      <c r="E2774" s="4"/>
      <c r="F2774" s="4" t="s">
        <v>22</v>
      </c>
      <c r="G2774" s="6">
        <v>167.24</v>
      </c>
      <c r="H2774" s="7" t="s">
        <v>1606</v>
      </c>
      <c r="I2774" s="4" t="s">
        <v>1574</v>
      </c>
      <c r="J2774" s="4" t="s">
        <v>1758</v>
      </c>
      <c r="K2774" s="8"/>
      <c r="L2774" s="8" t="s">
        <v>3412</v>
      </c>
      <c r="M2774" s="9">
        <f t="shared" si="1"/>
        <v>58</v>
      </c>
    </row>
    <row r="2775" ht="12.75" customHeight="1">
      <c r="A2775" s="4">
        <f t="shared" si="2"/>
        <v>2774</v>
      </c>
      <c r="B2775" s="4" t="s">
        <v>5988</v>
      </c>
      <c r="C2775" s="5" t="s">
        <v>5989</v>
      </c>
      <c r="D2775" s="4"/>
      <c r="E2775" s="4"/>
      <c r="F2775" s="4" t="s">
        <v>22</v>
      </c>
      <c r="G2775" s="6">
        <v>189.73</v>
      </c>
      <c r="H2775" s="7" t="s">
        <v>1606</v>
      </c>
      <c r="I2775" s="4" t="s">
        <v>1574</v>
      </c>
      <c r="J2775" s="4" t="s">
        <v>1758</v>
      </c>
      <c r="K2775" s="8"/>
      <c r="L2775" s="8" t="s">
        <v>1759</v>
      </c>
      <c r="M2775" s="9">
        <f t="shared" si="1"/>
        <v>64</v>
      </c>
    </row>
    <row r="2776" ht="12.75" customHeight="1">
      <c r="A2776" s="4">
        <f t="shared" si="2"/>
        <v>2775</v>
      </c>
      <c r="B2776" s="4" t="s">
        <v>5990</v>
      </c>
      <c r="C2776" s="5" t="s">
        <v>5991</v>
      </c>
      <c r="D2776" s="4"/>
      <c r="E2776" s="4"/>
      <c r="F2776" s="4" t="s">
        <v>22</v>
      </c>
      <c r="G2776" s="6">
        <v>1.52</v>
      </c>
      <c r="H2776" s="7" t="s">
        <v>1606</v>
      </c>
      <c r="I2776" s="4" t="s">
        <v>1574</v>
      </c>
      <c r="J2776" s="4" t="s">
        <v>1758</v>
      </c>
      <c r="K2776" s="8"/>
      <c r="L2776" s="8" t="s">
        <v>3412</v>
      </c>
      <c r="M2776" s="9">
        <f t="shared" si="1"/>
        <v>70</v>
      </c>
    </row>
    <row r="2777" ht="12.75" customHeight="1">
      <c r="A2777" s="4">
        <f t="shared" si="2"/>
        <v>2776</v>
      </c>
      <c r="B2777" s="4" t="s">
        <v>5992</v>
      </c>
      <c r="C2777" s="5" t="s">
        <v>5993</v>
      </c>
      <c r="D2777" s="4"/>
      <c r="E2777" s="4"/>
      <c r="F2777" s="4" t="s">
        <v>22</v>
      </c>
      <c r="G2777" s="6">
        <v>1.52</v>
      </c>
      <c r="H2777" s="7" t="s">
        <v>1606</v>
      </c>
      <c r="I2777" s="4" t="s">
        <v>1574</v>
      </c>
      <c r="J2777" s="4" t="s">
        <v>1758</v>
      </c>
      <c r="K2777" s="8"/>
      <c r="L2777" s="8" t="s">
        <v>3412</v>
      </c>
      <c r="M2777" s="9">
        <f t="shared" si="1"/>
        <v>71</v>
      </c>
    </row>
    <row r="2778" ht="12.75" customHeight="1">
      <c r="A2778" s="4">
        <f t="shared" si="2"/>
        <v>2777</v>
      </c>
      <c r="B2778" s="4" t="s">
        <v>5994</v>
      </c>
      <c r="C2778" s="5" t="s">
        <v>5995</v>
      </c>
      <c r="D2778" s="4"/>
      <c r="E2778" s="4"/>
      <c r="F2778" s="4" t="s">
        <v>22</v>
      </c>
      <c r="G2778" s="6">
        <v>16.19</v>
      </c>
      <c r="H2778" s="7" t="s">
        <v>1606</v>
      </c>
      <c r="I2778" s="4" t="s">
        <v>1574</v>
      </c>
      <c r="J2778" s="4" t="s">
        <v>1758</v>
      </c>
      <c r="K2778" s="8"/>
      <c r="L2778" s="8" t="s">
        <v>3412</v>
      </c>
      <c r="M2778" s="9">
        <f t="shared" si="1"/>
        <v>53</v>
      </c>
    </row>
    <row r="2779" ht="12.75" customHeight="1">
      <c r="A2779" s="4">
        <f t="shared" si="2"/>
        <v>2778</v>
      </c>
      <c r="B2779" s="4" t="s">
        <v>5996</v>
      </c>
      <c r="C2779" s="5" t="s">
        <v>5997</v>
      </c>
      <c r="D2779" s="4"/>
      <c r="E2779" s="4"/>
      <c r="F2779" s="4" t="s">
        <v>22</v>
      </c>
      <c r="G2779" s="6">
        <v>26.41</v>
      </c>
      <c r="H2779" s="7" t="s">
        <v>1606</v>
      </c>
      <c r="I2779" s="4" t="s">
        <v>1574</v>
      </c>
      <c r="J2779" s="4" t="s">
        <v>2501</v>
      </c>
      <c r="K2779" s="8"/>
      <c r="L2779" s="8" t="s">
        <v>3412</v>
      </c>
      <c r="M2779" s="9">
        <f t="shared" si="1"/>
        <v>66</v>
      </c>
    </row>
    <row r="2780" ht="12.75" customHeight="1">
      <c r="A2780" s="4">
        <f t="shared" si="2"/>
        <v>2779</v>
      </c>
      <c r="B2780" s="4" t="s">
        <v>5998</v>
      </c>
      <c r="C2780" s="5" t="s">
        <v>5999</v>
      </c>
      <c r="D2780" s="4"/>
      <c r="E2780" s="4"/>
      <c r="F2780" s="4" t="s">
        <v>22</v>
      </c>
      <c r="G2780" s="6">
        <v>9.94</v>
      </c>
      <c r="H2780" s="7" t="s">
        <v>1606</v>
      </c>
      <c r="I2780" s="4" t="s">
        <v>1574</v>
      </c>
      <c r="J2780" s="4" t="s">
        <v>1758</v>
      </c>
      <c r="K2780" s="8"/>
      <c r="L2780" s="8" t="s">
        <v>3412</v>
      </c>
      <c r="M2780" s="9">
        <f t="shared" si="1"/>
        <v>53</v>
      </c>
    </row>
    <row r="2781" ht="12.75" customHeight="1">
      <c r="A2781" s="4">
        <f t="shared" si="2"/>
        <v>2780</v>
      </c>
      <c r="B2781" s="4" t="s">
        <v>6000</v>
      </c>
      <c r="C2781" s="5" t="s">
        <v>6001</v>
      </c>
      <c r="D2781" s="4"/>
      <c r="E2781" s="4"/>
      <c r="F2781" s="4" t="s">
        <v>22</v>
      </c>
      <c r="G2781" s="6">
        <v>7.3</v>
      </c>
      <c r="H2781" s="7" t="s">
        <v>1606</v>
      </c>
      <c r="I2781" s="4" t="s">
        <v>1574</v>
      </c>
      <c r="J2781" s="4" t="s">
        <v>1758</v>
      </c>
      <c r="K2781" s="8"/>
      <c r="L2781" s="8" t="s">
        <v>3412</v>
      </c>
      <c r="M2781" s="9">
        <f t="shared" si="1"/>
        <v>35</v>
      </c>
    </row>
    <row r="2782" ht="12.75" customHeight="1">
      <c r="A2782" s="4">
        <f t="shared" si="2"/>
        <v>2781</v>
      </c>
      <c r="B2782" s="4" t="s">
        <v>6002</v>
      </c>
      <c r="C2782" s="5" t="s">
        <v>6003</v>
      </c>
      <c r="D2782" s="4"/>
      <c r="E2782" s="4"/>
      <c r="F2782" s="4" t="s">
        <v>22</v>
      </c>
      <c r="G2782" s="6">
        <v>4.21</v>
      </c>
      <c r="H2782" s="7" t="s">
        <v>1606</v>
      </c>
      <c r="I2782" s="4" t="s">
        <v>1574</v>
      </c>
      <c r="J2782" s="4" t="s">
        <v>1758</v>
      </c>
      <c r="K2782" s="8"/>
      <c r="L2782" s="8" t="s">
        <v>3412</v>
      </c>
      <c r="M2782" s="9">
        <f t="shared" si="1"/>
        <v>56</v>
      </c>
    </row>
    <row r="2783" ht="12.75" customHeight="1">
      <c r="A2783" s="4">
        <f t="shared" si="2"/>
        <v>2782</v>
      </c>
      <c r="B2783" s="4" t="s">
        <v>6004</v>
      </c>
      <c r="C2783" s="5" t="s">
        <v>6005</v>
      </c>
      <c r="D2783" s="4"/>
      <c r="E2783" s="4"/>
      <c r="F2783" s="4" t="s">
        <v>22</v>
      </c>
      <c r="G2783" s="6">
        <v>7.15</v>
      </c>
      <c r="H2783" s="7" t="s">
        <v>1606</v>
      </c>
      <c r="I2783" s="4" t="s">
        <v>1574</v>
      </c>
      <c r="J2783" s="4" t="s">
        <v>1758</v>
      </c>
      <c r="K2783" s="8"/>
      <c r="L2783" s="8" t="s">
        <v>2601</v>
      </c>
      <c r="M2783" s="9">
        <f t="shared" si="1"/>
        <v>29</v>
      </c>
    </row>
    <row r="2784" ht="12.75" customHeight="1">
      <c r="A2784" s="4">
        <f t="shared" si="2"/>
        <v>2783</v>
      </c>
      <c r="B2784" s="4" t="s">
        <v>6006</v>
      </c>
      <c r="C2784" s="5" t="s">
        <v>6007</v>
      </c>
      <c r="D2784" s="4"/>
      <c r="E2784" s="4"/>
      <c r="F2784" s="4" t="s">
        <v>22</v>
      </c>
      <c r="G2784" s="6">
        <v>14.68</v>
      </c>
      <c r="H2784" s="7" t="s">
        <v>1606</v>
      </c>
      <c r="I2784" s="4" t="s">
        <v>1574</v>
      </c>
      <c r="J2784" s="4" t="s">
        <v>1758</v>
      </c>
      <c r="K2784" s="8"/>
      <c r="L2784" s="8" t="s">
        <v>1759</v>
      </c>
      <c r="M2784" s="9">
        <f t="shared" si="1"/>
        <v>63</v>
      </c>
    </row>
    <row r="2785" ht="12.75" customHeight="1">
      <c r="A2785" s="4">
        <f t="shared" si="2"/>
        <v>2784</v>
      </c>
      <c r="B2785" s="4" t="s">
        <v>6008</v>
      </c>
      <c r="C2785" s="5" t="s">
        <v>6009</v>
      </c>
      <c r="D2785" s="4"/>
      <c r="E2785" s="4"/>
      <c r="F2785" s="4" t="s">
        <v>22</v>
      </c>
      <c r="G2785" s="6">
        <v>14.73</v>
      </c>
      <c r="H2785" s="7" t="s">
        <v>1606</v>
      </c>
      <c r="I2785" s="4" t="s">
        <v>1574</v>
      </c>
      <c r="J2785" s="4" t="s">
        <v>1758</v>
      </c>
      <c r="K2785" s="8"/>
      <c r="L2785" s="8" t="s">
        <v>1759</v>
      </c>
      <c r="M2785" s="9">
        <f t="shared" si="1"/>
        <v>63</v>
      </c>
    </row>
    <row r="2786" ht="12.75" customHeight="1">
      <c r="A2786" s="4">
        <f t="shared" si="2"/>
        <v>2785</v>
      </c>
      <c r="B2786" s="4" t="s">
        <v>6010</v>
      </c>
      <c r="C2786" s="5" t="s">
        <v>6011</v>
      </c>
      <c r="D2786" s="4"/>
      <c r="E2786" s="4"/>
      <c r="F2786" s="4" t="s">
        <v>22</v>
      </c>
      <c r="G2786" s="6">
        <v>14.82</v>
      </c>
      <c r="H2786" s="7" t="s">
        <v>1606</v>
      </c>
      <c r="I2786" s="4" t="s">
        <v>1574</v>
      </c>
      <c r="J2786" s="4" t="s">
        <v>1758</v>
      </c>
      <c r="K2786" s="8"/>
      <c r="L2786" s="8" t="s">
        <v>1759</v>
      </c>
      <c r="M2786" s="9">
        <f t="shared" si="1"/>
        <v>65</v>
      </c>
    </row>
    <row r="2787" ht="12.75" customHeight="1">
      <c r="A2787" s="4">
        <f t="shared" si="2"/>
        <v>2786</v>
      </c>
      <c r="B2787" s="4" t="s">
        <v>6012</v>
      </c>
      <c r="C2787" s="5" t="s">
        <v>6013</v>
      </c>
      <c r="D2787" s="4"/>
      <c r="E2787" s="4"/>
      <c r="F2787" s="4" t="s">
        <v>22</v>
      </c>
      <c r="G2787" s="6">
        <v>2.96</v>
      </c>
      <c r="H2787" s="7" t="s">
        <v>1606</v>
      </c>
      <c r="I2787" s="4" t="s">
        <v>1574</v>
      </c>
      <c r="J2787" s="4" t="s">
        <v>830</v>
      </c>
      <c r="K2787" s="8"/>
      <c r="L2787" s="8" t="s">
        <v>2152</v>
      </c>
      <c r="M2787" s="9">
        <f t="shared" si="1"/>
        <v>64</v>
      </c>
    </row>
    <row r="2788" ht="12.75" customHeight="1">
      <c r="A2788" s="4">
        <f t="shared" si="2"/>
        <v>2787</v>
      </c>
      <c r="B2788" s="4" t="s">
        <v>6014</v>
      </c>
      <c r="C2788" s="5" t="s">
        <v>6015</v>
      </c>
      <c r="D2788" s="4"/>
      <c r="E2788" s="4"/>
      <c r="F2788" s="4" t="s">
        <v>22</v>
      </c>
      <c r="G2788" s="6">
        <v>2.51</v>
      </c>
      <c r="H2788" s="7" t="s">
        <v>1606</v>
      </c>
      <c r="I2788" s="4" t="s">
        <v>1574</v>
      </c>
      <c r="J2788" s="4" t="s">
        <v>830</v>
      </c>
      <c r="K2788" s="8"/>
      <c r="L2788" s="4" t="s">
        <v>2152</v>
      </c>
      <c r="M2788" s="9">
        <f t="shared" si="1"/>
        <v>35</v>
      </c>
    </row>
    <row r="2789" ht="12.75" customHeight="1">
      <c r="A2789" s="4">
        <f t="shared" si="2"/>
        <v>2788</v>
      </c>
      <c r="B2789" s="4" t="s">
        <v>6016</v>
      </c>
      <c r="C2789" s="5" t="s">
        <v>6017</v>
      </c>
      <c r="D2789" s="4"/>
      <c r="E2789" s="4"/>
      <c r="F2789" s="4" t="s">
        <v>22</v>
      </c>
      <c r="G2789" s="6">
        <v>2.21</v>
      </c>
      <c r="H2789" s="7" t="s">
        <v>1606</v>
      </c>
      <c r="I2789" s="4" t="s">
        <v>1574</v>
      </c>
      <c r="J2789" s="4" t="s">
        <v>830</v>
      </c>
      <c r="K2789" s="8"/>
      <c r="L2789" s="8" t="s">
        <v>2152</v>
      </c>
      <c r="M2789" s="9">
        <f t="shared" si="1"/>
        <v>55</v>
      </c>
    </row>
    <row r="2790" ht="12.75" customHeight="1">
      <c r="A2790" s="4">
        <f t="shared" si="2"/>
        <v>2789</v>
      </c>
      <c r="B2790" s="4" t="s">
        <v>6018</v>
      </c>
      <c r="C2790" s="5" t="s">
        <v>6019</v>
      </c>
      <c r="D2790" s="4"/>
      <c r="E2790" s="4"/>
      <c r="F2790" s="4" t="s">
        <v>22</v>
      </c>
      <c r="G2790" s="6">
        <v>1.84</v>
      </c>
      <c r="H2790" s="7" t="s">
        <v>1606</v>
      </c>
      <c r="I2790" s="4" t="s">
        <v>1574</v>
      </c>
      <c r="J2790" s="4" t="s">
        <v>830</v>
      </c>
      <c r="K2790" s="8"/>
      <c r="L2790" s="8" t="s">
        <v>2169</v>
      </c>
      <c r="M2790" s="9">
        <f t="shared" si="1"/>
        <v>30</v>
      </c>
    </row>
    <row r="2791" ht="12.75" customHeight="1">
      <c r="A2791" s="4">
        <f t="shared" si="2"/>
        <v>2790</v>
      </c>
      <c r="B2791" s="4" t="s">
        <v>6020</v>
      </c>
      <c r="C2791" s="5" t="s">
        <v>6021</v>
      </c>
      <c r="D2791" s="4"/>
      <c r="E2791" s="4"/>
      <c r="F2791" s="4" t="s">
        <v>1764</v>
      </c>
      <c r="G2791" s="6">
        <v>4.03</v>
      </c>
      <c r="H2791" s="7" t="s">
        <v>1606</v>
      </c>
      <c r="I2791" s="4" t="s">
        <v>1697</v>
      </c>
      <c r="J2791" s="4" t="s">
        <v>2755</v>
      </c>
      <c r="K2791" s="8"/>
      <c r="L2791" s="8" t="s">
        <v>4352</v>
      </c>
      <c r="M2791" s="9">
        <f t="shared" si="1"/>
        <v>25</v>
      </c>
    </row>
    <row r="2792" ht="12.75" customHeight="1">
      <c r="A2792" s="4">
        <f t="shared" si="2"/>
        <v>2791</v>
      </c>
      <c r="B2792" s="4" t="s">
        <v>6022</v>
      </c>
      <c r="C2792" s="5" t="s">
        <v>6023</v>
      </c>
      <c r="D2792" s="4"/>
      <c r="E2792" s="4"/>
      <c r="F2792" s="4" t="s">
        <v>22</v>
      </c>
      <c r="G2792" s="6">
        <v>2.7</v>
      </c>
      <c r="H2792" s="7" t="s">
        <v>1606</v>
      </c>
      <c r="I2792" s="4" t="s">
        <v>1869</v>
      </c>
      <c r="J2792" s="4" t="s">
        <v>5437</v>
      </c>
      <c r="K2792" s="8"/>
      <c r="L2792" s="8" t="s">
        <v>33</v>
      </c>
      <c r="M2792" s="9">
        <f t="shared" si="1"/>
        <v>73</v>
      </c>
    </row>
    <row r="2793" ht="12.75" customHeight="1">
      <c r="A2793" s="4">
        <f t="shared" si="2"/>
        <v>2792</v>
      </c>
      <c r="B2793" s="4" t="s">
        <v>6024</v>
      </c>
      <c r="C2793" s="5" t="s">
        <v>6025</v>
      </c>
      <c r="D2793" s="4"/>
      <c r="E2793" s="4"/>
      <c r="F2793" s="4" t="s">
        <v>22</v>
      </c>
      <c r="G2793" s="6">
        <v>2.7</v>
      </c>
      <c r="H2793" s="7" t="s">
        <v>1606</v>
      </c>
      <c r="I2793" s="4" t="s">
        <v>1869</v>
      </c>
      <c r="J2793" s="4" t="s">
        <v>5437</v>
      </c>
      <c r="K2793" s="8"/>
      <c r="L2793" s="8" t="s">
        <v>33</v>
      </c>
      <c r="M2793" s="9">
        <f t="shared" si="1"/>
        <v>69</v>
      </c>
    </row>
    <row r="2794" ht="12.75" customHeight="1">
      <c r="A2794" s="4">
        <f t="shared" si="2"/>
        <v>2793</v>
      </c>
      <c r="B2794" s="4" t="s">
        <v>6026</v>
      </c>
      <c r="C2794" s="5" t="s">
        <v>6027</v>
      </c>
      <c r="D2794" s="4"/>
      <c r="E2794" s="4"/>
      <c r="F2794" s="4" t="s">
        <v>22</v>
      </c>
      <c r="G2794" s="6">
        <v>2.7</v>
      </c>
      <c r="H2794" s="7" t="s">
        <v>1606</v>
      </c>
      <c r="I2794" s="4" t="s">
        <v>1869</v>
      </c>
      <c r="J2794" s="4" t="s">
        <v>5437</v>
      </c>
      <c r="K2794" s="8"/>
      <c r="L2794" s="8" t="s">
        <v>33</v>
      </c>
      <c r="M2794" s="9">
        <f t="shared" si="1"/>
        <v>69</v>
      </c>
    </row>
    <row r="2795" ht="12.75" customHeight="1">
      <c r="A2795" s="4">
        <f t="shared" si="2"/>
        <v>2794</v>
      </c>
      <c r="B2795" s="4" t="s">
        <v>6028</v>
      </c>
      <c r="C2795" s="5" t="s">
        <v>6029</v>
      </c>
      <c r="D2795" s="4"/>
      <c r="E2795" s="4"/>
      <c r="F2795" s="4" t="s">
        <v>22</v>
      </c>
      <c r="G2795" s="6">
        <v>2.7</v>
      </c>
      <c r="H2795" s="7" t="s">
        <v>1606</v>
      </c>
      <c r="I2795" s="4" t="s">
        <v>1869</v>
      </c>
      <c r="J2795" s="4" t="s">
        <v>5437</v>
      </c>
      <c r="K2795" s="8"/>
      <c r="L2795" s="8" t="s">
        <v>33</v>
      </c>
      <c r="M2795" s="9">
        <f t="shared" si="1"/>
        <v>71</v>
      </c>
    </row>
    <row r="2796" ht="12.75" customHeight="1">
      <c r="A2796" s="4">
        <f t="shared" si="2"/>
        <v>2795</v>
      </c>
      <c r="B2796" s="4" t="s">
        <v>6030</v>
      </c>
      <c r="C2796" s="5" t="s">
        <v>6031</v>
      </c>
      <c r="D2796" s="4"/>
      <c r="E2796" s="4"/>
      <c r="F2796" s="4" t="s">
        <v>22</v>
      </c>
      <c r="G2796" s="6">
        <v>3.65</v>
      </c>
      <c r="H2796" s="7" t="s">
        <v>1606</v>
      </c>
      <c r="I2796" s="4" t="s">
        <v>1869</v>
      </c>
      <c r="J2796" s="4" t="s">
        <v>5437</v>
      </c>
      <c r="K2796" s="8"/>
      <c r="L2796" s="8" t="s">
        <v>33</v>
      </c>
      <c r="M2796" s="9">
        <f t="shared" si="1"/>
        <v>73</v>
      </c>
    </row>
    <row r="2797" ht="12.75" customHeight="1">
      <c r="A2797" s="4">
        <f t="shared" si="2"/>
        <v>2796</v>
      </c>
      <c r="B2797" s="4" t="s">
        <v>6032</v>
      </c>
      <c r="C2797" s="5" t="s">
        <v>6033</v>
      </c>
      <c r="D2797" s="4"/>
      <c r="E2797" s="4"/>
      <c r="F2797" s="4" t="s">
        <v>22</v>
      </c>
      <c r="G2797" s="6">
        <v>3.65</v>
      </c>
      <c r="H2797" s="7" t="s">
        <v>1606</v>
      </c>
      <c r="I2797" s="4" t="s">
        <v>1869</v>
      </c>
      <c r="J2797" s="4" t="s">
        <v>5437</v>
      </c>
      <c r="K2797" s="8"/>
      <c r="L2797" s="8" t="s">
        <v>33</v>
      </c>
      <c r="M2797" s="9">
        <f t="shared" si="1"/>
        <v>69</v>
      </c>
    </row>
    <row r="2798" ht="12.75" customHeight="1">
      <c r="A2798" s="4">
        <f t="shared" si="2"/>
        <v>2797</v>
      </c>
      <c r="B2798" s="4" t="s">
        <v>6034</v>
      </c>
      <c r="C2798" s="5" t="s">
        <v>6035</v>
      </c>
      <c r="D2798" s="4"/>
      <c r="E2798" s="4"/>
      <c r="F2798" s="4" t="s">
        <v>22</v>
      </c>
      <c r="G2798" s="6">
        <v>3.65</v>
      </c>
      <c r="H2798" s="7" t="s">
        <v>1606</v>
      </c>
      <c r="I2798" s="4" t="s">
        <v>1869</v>
      </c>
      <c r="J2798" s="4" t="s">
        <v>5437</v>
      </c>
      <c r="K2798" s="8"/>
      <c r="L2798" s="8" t="s">
        <v>33</v>
      </c>
      <c r="M2798" s="9">
        <f t="shared" si="1"/>
        <v>69</v>
      </c>
    </row>
    <row r="2799" ht="12.75" customHeight="1">
      <c r="A2799" s="4">
        <f t="shared" si="2"/>
        <v>2798</v>
      </c>
      <c r="B2799" s="4" t="s">
        <v>6036</v>
      </c>
      <c r="C2799" s="5" t="s">
        <v>6037</v>
      </c>
      <c r="D2799" s="4"/>
      <c r="E2799" s="4"/>
      <c r="F2799" s="4" t="s">
        <v>22</v>
      </c>
      <c r="G2799" s="6">
        <v>3.65</v>
      </c>
      <c r="H2799" s="7" t="s">
        <v>1606</v>
      </c>
      <c r="I2799" s="4" t="s">
        <v>1869</v>
      </c>
      <c r="J2799" s="4" t="s">
        <v>5437</v>
      </c>
      <c r="K2799" s="8"/>
      <c r="L2799" s="8" t="s">
        <v>33</v>
      </c>
      <c r="M2799" s="9">
        <f t="shared" si="1"/>
        <v>71</v>
      </c>
    </row>
    <row r="2800" ht="12.75" customHeight="1">
      <c r="A2800" s="4">
        <f t="shared" si="2"/>
        <v>2799</v>
      </c>
      <c r="B2800" s="4" t="s">
        <v>6038</v>
      </c>
      <c r="C2800" s="5" t="s">
        <v>6039</v>
      </c>
      <c r="D2800" s="4"/>
      <c r="E2800" s="4"/>
      <c r="F2800" s="4" t="s">
        <v>22</v>
      </c>
      <c r="G2800" s="6">
        <v>2.43</v>
      </c>
      <c r="H2800" s="7" t="s">
        <v>1606</v>
      </c>
      <c r="I2800" s="4" t="s">
        <v>1869</v>
      </c>
      <c r="J2800" s="4" t="s">
        <v>5437</v>
      </c>
      <c r="K2800" s="8"/>
      <c r="L2800" s="8" t="s">
        <v>33</v>
      </c>
      <c r="M2800" s="9">
        <f t="shared" si="1"/>
        <v>71</v>
      </c>
    </row>
    <row r="2801" ht="12.75" customHeight="1">
      <c r="A2801" s="4">
        <f t="shared" si="2"/>
        <v>2800</v>
      </c>
      <c r="B2801" s="4" t="s">
        <v>6040</v>
      </c>
      <c r="C2801" s="5" t="s">
        <v>6041</v>
      </c>
      <c r="D2801" s="4"/>
      <c r="E2801" s="4"/>
      <c r="F2801" s="4" t="s">
        <v>22</v>
      </c>
      <c r="G2801" s="6">
        <v>2.43</v>
      </c>
      <c r="H2801" s="7" t="s">
        <v>1606</v>
      </c>
      <c r="I2801" s="4" t="s">
        <v>1869</v>
      </c>
      <c r="J2801" s="4" t="s">
        <v>5437</v>
      </c>
      <c r="K2801" s="8"/>
      <c r="L2801" s="8" t="s">
        <v>33</v>
      </c>
      <c r="M2801" s="9">
        <f t="shared" si="1"/>
        <v>68</v>
      </c>
    </row>
    <row r="2802" ht="12.75" customHeight="1">
      <c r="A2802" s="4">
        <f t="shared" si="2"/>
        <v>2801</v>
      </c>
      <c r="B2802" s="4" t="s">
        <v>6042</v>
      </c>
      <c r="C2802" s="5" t="s">
        <v>6043</v>
      </c>
      <c r="D2802" s="4"/>
      <c r="E2802" s="4"/>
      <c r="F2802" s="4" t="s">
        <v>22</v>
      </c>
      <c r="G2802" s="6">
        <v>2.43</v>
      </c>
      <c r="H2802" s="7" t="s">
        <v>1606</v>
      </c>
      <c r="I2802" s="4" t="s">
        <v>1869</v>
      </c>
      <c r="J2802" s="4" t="s">
        <v>5437</v>
      </c>
      <c r="K2802" s="8"/>
      <c r="L2802" s="8" t="s">
        <v>33</v>
      </c>
      <c r="M2802" s="9">
        <f t="shared" si="1"/>
        <v>68</v>
      </c>
    </row>
    <row r="2803" ht="12.75" customHeight="1">
      <c r="A2803" s="4">
        <f t="shared" si="2"/>
        <v>2802</v>
      </c>
      <c r="B2803" s="4" t="s">
        <v>6044</v>
      </c>
      <c r="C2803" s="5" t="s">
        <v>6045</v>
      </c>
      <c r="D2803" s="4"/>
      <c r="E2803" s="4"/>
      <c r="F2803" s="4" t="s">
        <v>22</v>
      </c>
      <c r="G2803" s="6">
        <v>2.43</v>
      </c>
      <c r="H2803" s="7" t="s">
        <v>1606</v>
      </c>
      <c r="I2803" s="4" t="s">
        <v>1869</v>
      </c>
      <c r="J2803" s="4" t="s">
        <v>5437</v>
      </c>
      <c r="K2803" s="8"/>
      <c r="L2803" s="8" t="s">
        <v>33</v>
      </c>
      <c r="M2803" s="9">
        <f t="shared" si="1"/>
        <v>70</v>
      </c>
    </row>
    <row r="2804" ht="12.75" customHeight="1">
      <c r="A2804" s="4">
        <f t="shared" si="2"/>
        <v>2803</v>
      </c>
      <c r="B2804" s="4" t="s">
        <v>6046</v>
      </c>
      <c r="C2804" s="5" t="s">
        <v>6047</v>
      </c>
      <c r="D2804" s="4"/>
      <c r="E2804" s="4"/>
      <c r="F2804" s="4" t="s">
        <v>22</v>
      </c>
      <c r="G2804" s="6">
        <v>2.97</v>
      </c>
      <c r="H2804" s="7" t="s">
        <v>1606</v>
      </c>
      <c r="I2804" s="4" t="s">
        <v>1869</v>
      </c>
      <c r="J2804" s="4" t="s">
        <v>5437</v>
      </c>
      <c r="K2804" s="8"/>
      <c r="L2804" s="8" t="s">
        <v>33</v>
      </c>
      <c r="M2804" s="9">
        <f t="shared" si="1"/>
        <v>71</v>
      </c>
    </row>
    <row r="2805" ht="12.75" customHeight="1">
      <c r="A2805" s="4">
        <f t="shared" si="2"/>
        <v>2804</v>
      </c>
      <c r="B2805" s="4" t="s">
        <v>6048</v>
      </c>
      <c r="C2805" s="5" t="s">
        <v>6049</v>
      </c>
      <c r="D2805" s="4"/>
      <c r="E2805" s="4"/>
      <c r="F2805" s="4" t="s">
        <v>22</v>
      </c>
      <c r="G2805" s="6">
        <v>2.97</v>
      </c>
      <c r="H2805" s="7" t="s">
        <v>1606</v>
      </c>
      <c r="I2805" s="4" t="s">
        <v>1869</v>
      </c>
      <c r="J2805" s="4" t="s">
        <v>5437</v>
      </c>
      <c r="K2805" s="8"/>
      <c r="L2805" s="8" t="s">
        <v>33</v>
      </c>
      <c r="M2805" s="9">
        <f t="shared" si="1"/>
        <v>68</v>
      </c>
    </row>
    <row r="2806" ht="12.75" customHeight="1">
      <c r="A2806" s="4">
        <f t="shared" si="2"/>
        <v>2805</v>
      </c>
      <c r="B2806" s="4" t="s">
        <v>6050</v>
      </c>
      <c r="C2806" s="5" t="s">
        <v>6051</v>
      </c>
      <c r="D2806" s="4"/>
      <c r="E2806" s="4"/>
      <c r="F2806" s="4" t="s">
        <v>22</v>
      </c>
      <c r="G2806" s="6">
        <v>2.97</v>
      </c>
      <c r="H2806" s="7" t="s">
        <v>1606</v>
      </c>
      <c r="I2806" s="4" t="s">
        <v>1869</v>
      </c>
      <c r="J2806" s="4" t="s">
        <v>5437</v>
      </c>
      <c r="K2806" s="8"/>
      <c r="L2806" s="8" t="s">
        <v>33</v>
      </c>
      <c r="M2806" s="9">
        <f t="shared" si="1"/>
        <v>68</v>
      </c>
    </row>
    <row r="2807" ht="12.75" customHeight="1">
      <c r="A2807" s="4">
        <f t="shared" si="2"/>
        <v>2806</v>
      </c>
      <c r="B2807" s="4" t="s">
        <v>6052</v>
      </c>
      <c r="C2807" s="5" t="s">
        <v>6053</v>
      </c>
      <c r="D2807" s="4"/>
      <c r="E2807" s="4"/>
      <c r="F2807" s="4" t="s">
        <v>22</v>
      </c>
      <c r="G2807" s="6">
        <v>2.97</v>
      </c>
      <c r="H2807" s="7" t="s">
        <v>1606</v>
      </c>
      <c r="I2807" s="4" t="s">
        <v>1869</v>
      </c>
      <c r="J2807" s="4" t="s">
        <v>5437</v>
      </c>
      <c r="K2807" s="8"/>
      <c r="L2807" s="8" t="s">
        <v>33</v>
      </c>
      <c r="M2807" s="9">
        <f t="shared" si="1"/>
        <v>70</v>
      </c>
    </row>
    <row r="2808" ht="12.75" customHeight="1">
      <c r="A2808" s="4">
        <f t="shared" si="2"/>
        <v>2807</v>
      </c>
      <c r="B2808" s="4" t="s">
        <v>6054</v>
      </c>
      <c r="C2808" s="5" t="s">
        <v>6055</v>
      </c>
      <c r="D2808" s="4"/>
      <c r="E2808" s="4"/>
      <c r="F2808" s="4" t="s">
        <v>22</v>
      </c>
      <c r="G2808" s="6">
        <v>2.7</v>
      </c>
      <c r="H2808" s="7" t="s">
        <v>1606</v>
      </c>
      <c r="I2808" s="4" t="s">
        <v>1869</v>
      </c>
      <c r="J2808" s="4" t="s">
        <v>5437</v>
      </c>
      <c r="K2808" s="8"/>
      <c r="L2808" s="8" t="s">
        <v>33</v>
      </c>
      <c r="M2808" s="9">
        <f t="shared" si="1"/>
        <v>72</v>
      </c>
    </row>
    <row r="2809" ht="12.75" customHeight="1">
      <c r="A2809" s="4">
        <f t="shared" si="2"/>
        <v>2808</v>
      </c>
      <c r="B2809" s="4" t="s">
        <v>6056</v>
      </c>
      <c r="C2809" s="5" t="s">
        <v>6057</v>
      </c>
      <c r="D2809" s="4"/>
      <c r="E2809" s="4"/>
      <c r="F2809" s="4" t="s">
        <v>22</v>
      </c>
      <c r="G2809" s="6">
        <v>2.7</v>
      </c>
      <c r="H2809" s="7" t="s">
        <v>1606</v>
      </c>
      <c r="I2809" s="4" t="s">
        <v>1869</v>
      </c>
      <c r="J2809" s="4" t="s">
        <v>5437</v>
      </c>
      <c r="K2809" s="8"/>
      <c r="L2809" s="8" t="s">
        <v>33</v>
      </c>
      <c r="M2809" s="9">
        <f t="shared" si="1"/>
        <v>68</v>
      </c>
    </row>
    <row r="2810" ht="12.75" customHeight="1">
      <c r="A2810" s="4">
        <f t="shared" si="2"/>
        <v>2809</v>
      </c>
      <c r="B2810" s="4" t="s">
        <v>6058</v>
      </c>
      <c r="C2810" s="5" t="s">
        <v>6059</v>
      </c>
      <c r="D2810" s="4"/>
      <c r="E2810" s="4"/>
      <c r="F2810" s="4" t="s">
        <v>22</v>
      </c>
      <c r="G2810" s="6">
        <v>2.7</v>
      </c>
      <c r="H2810" s="7" t="s">
        <v>1606</v>
      </c>
      <c r="I2810" s="4" t="s">
        <v>1869</v>
      </c>
      <c r="J2810" s="4" t="s">
        <v>5437</v>
      </c>
      <c r="K2810" s="8"/>
      <c r="L2810" s="8" t="s">
        <v>33</v>
      </c>
      <c r="M2810" s="9">
        <f t="shared" si="1"/>
        <v>68</v>
      </c>
    </row>
    <row r="2811" ht="12.75" customHeight="1">
      <c r="A2811" s="4">
        <f t="shared" si="2"/>
        <v>2810</v>
      </c>
      <c r="B2811" s="4" t="s">
        <v>6060</v>
      </c>
      <c r="C2811" s="5" t="s">
        <v>6061</v>
      </c>
      <c r="D2811" s="4"/>
      <c r="E2811" s="4"/>
      <c r="F2811" s="4" t="s">
        <v>22</v>
      </c>
      <c r="G2811" s="6">
        <v>2.7</v>
      </c>
      <c r="H2811" s="7" t="s">
        <v>1606</v>
      </c>
      <c r="I2811" s="4" t="s">
        <v>1869</v>
      </c>
      <c r="J2811" s="4" t="s">
        <v>5437</v>
      </c>
      <c r="K2811" s="8"/>
      <c r="L2811" s="8" t="s">
        <v>33</v>
      </c>
      <c r="M2811" s="9">
        <f t="shared" si="1"/>
        <v>70</v>
      </c>
    </row>
    <row r="2812" ht="12.75" customHeight="1">
      <c r="A2812" s="4">
        <f t="shared" si="2"/>
        <v>2811</v>
      </c>
      <c r="B2812" s="4" t="s">
        <v>6062</v>
      </c>
      <c r="C2812" s="5" t="s">
        <v>6063</v>
      </c>
      <c r="D2812" s="4"/>
      <c r="E2812" s="4"/>
      <c r="F2812" s="4" t="s">
        <v>22</v>
      </c>
      <c r="G2812" s="6">
        <v>3.24</v>
      </c>
      <c r="H2812" s="7" t="s">
        <v>1606</v>
      </c>
      <c r="I2812" s="4" t="s">
        <v>1869</v>
      </c>
      <c r="J2812" s="4" t="s">
        <v>5437</v>
      </c>
      <c r="K2812" s="8"/>
      <c r="L2812" s="8" t="s">
        <v>33</v>
      </c>
      <c r="M2812" s="9">
        <f t="shared" si="1"/>
        <v>71</v>
      </c>
    </row>
    <row r="2813" ht="12.75" customHeight="1">
      <c r="A2813" s="4">
        <f t="shared" si="2"/>
        <v>2812</v>
      </c>
      <c r="B2813" s="4" t="s">
        <v>6064</v>
      </c>
      <c r="C2813" s="5" t="s">
        <v>6065</v>
      </c>
      <c r="D2813" s="4"/>
      <c r="E2813" s="4"/>
      <c r="F2813" s="4" t="s">
        <v>22</v>
      </c>
      <c r="G2813" s="6">
        <v>3.24</v>
      </c>
      <c r="H2813" s="7" t="s">
        <v>1606</v>
      </c>
      <c r="I2813" s="4" t="s">
        <v>1869</v>
      </c>
      <c r="J2813" s="4" t="s">
        <v>5437</v>
      </c>
      <c r="K2813" s="8"/>
      <c r="L2813" s="8" t="s">
        <v>33</v>
      </c>
      <c r="M2813" s="9">
        <f t="shared" si="1"/>
        <v>67</v>
      </c>
    </row>
    <row r="2814" ht="12.75" customHeight="1">
      <c r="A2814" s="4">
        <f t="shared" si="2"/>
        <v>2813</v>
      </c>
      <c r="B2814" s="4" t="s">
        <v>6066</v>
      </c>
      <c r="C2814" s="5" t="s">
        <v>6067</v>
      </c>
      <c r="D2814" s="4"/>
      <c r="E2814" s="4"/>
      <c r="F2814" s="4" t="s">
        <v>22</v>
      </c>
      <c r="G2814" s="6">
        <v>3.24</v>
      </c>
      <c r="H2814" s="7" t="s">
        <v>1606</v>
      </c>
      <c r="I2814" s="4" t="s">
        <v>1869</v>
      </c>
      <c r="J2814" s="4" t="s">
        <v>5437</v>
      </c>
      <c r="K2814" s="8"/>
      <c r="L2814" s="8" t="s">
        <v>33</v>
      </c>
      <c r="M2814" s="9">
        <f t="shared" si="1"/>
        <v>67</v>
      </c>
    </row>
    <row r="2815" ht="12.75" customHeight="1">
      <c r="A2815" s="4">
        <f t="shared" si="2"/>
        <v>2814</v>
      </c>
      <c r="B2815" s="4" t="s">
        <v>6068</v>
      </c>
      <c r="C2815" s="5" t="s">
        <v>6069</v>
      </c>
      <c r="D2815" s="4"/>
      <c r="E2815" s="4"/>
      <c r="F2815" s="4" t="s">
        <v>22</v>
      </c>
      <c r="G2815" s="6">
        <v>3.24</v>
      </c>
      <c r="H2815" s="7" t="s">
        <v>1606</v>
      </c>
      <c r="I2815" s="4" t="s">
        <v>1869</v>
      </c>
      <c r="J2815" s="4" t="s">
        <v>5437</v>
      </c>
      <c r="K2815" s="8"/>
      <c r="L2815" s="8" t="s">
        <v>33</v>
      </c>
      <c r="M2815" s="9">
        <f t="shared" si="1"/>
        <v>69</v>
      </c>
    </row>
    <row r="2816" ht="12.75" customHeight="1">
      <c r="A2816" s="4">
        <f t="shared" si="2"/>
        <v>2815</v>
      </c>
      <c r="B2816" s="4" t="s">
        <v>6070</v>
      </c>
      <c r="C2816" s="5" t="s">
        <v>6071</v>
      </c>
      <c r="D2816" s="4"/>
      <c r="E2816" s="4"/>
      <c r="F2816" s="4" t="s">
        <v>22</v>
      </c>
      <c r="G2816" s="6">
        <v>2.7</v>
      </c>
      <c r="H2816" s="7" t="s">
        <v>1606</v>
      </c>
      <c r="I2816" s="4" t="s">
        <v>1869</v>
      </c>
      <c r="J2816" s="4" t="s">
        <v>5437</v>
      </c>
      <c r="K2816" s="8"/>
      <c r="L2816" s="8" t="s">
        <v>33</v>
      </c>
      <c r="M2816" s="9">
        <f t="shared" si="1"/>
        <v>78</v>
      </c>
    </row>
    <row r="2817" ht="12.75" customHeight="1">
      <c r="A2817" s="4">
        <f t="shared" si="2"/>
        <v>2816</v>
      </c>
      <c r="B2817" s="4" t="s">
        <v>6072</v>
      </c>
      <c r="C2817" s="5" t="s">
        <v>6073</v>
      </c>
      <c r="D2817" s="4"/>
      <c r="E2817" s="4"/>
      <c r="F2817" s="4" t="s">
        <v>22</v>
      </c>
      <c r="G2817" s="6">
        <v>2.7</v>
      </c>
      <c r="H2817" s="7" t="s">
        <v>1606</v>
      </c>
      <c r="I2817" s="4" t="s">
        <v>1869</v>
      </c>
      <c r="J2817" s="4" t="s">
        <v>5437</v>
      </c>
      <c r="K2817" s="8"/>
      <c r="L2817" s="8" t="s">
        <v>33</v>
      </c>
      <c r="M2817" s="9">
        <f t="shared" si="1"/>
        <v>74</v>
      </c>
    </row>
    <row r="2818" ht="12.75" customHeight="1">
      <c r="A2818" s="4">
        <f t="shared" si="2"/>
        <v>2817</v>
      </c>
      <c r="B2818" s="4" t="s">
        <v>6074</v>
      </c>
      <c r="C2818" s="5" t="s">
        <v>6075</v>
      </c>
      <c r="D2818" s="4"/>
      <c r="E2818" s="4"/>
      <c r="F2818" s="4" t="s">
        <v>22</v>
      </c>
      <c r="G2818" s="6">
        <v>2.7</v>
      </c>
      <c r="H2818" s="7" t="s">
        <v>1606</v>
      </c>
      <c r="I2818" s="4" t="s">
        <v>1869</v>
      </c>
      <c r="J2818" s="4" t="s">
        <v>5437</v>
      </c>
      <c r="K2818" s="8"/>
      <c r="L2818" s="8" t="s">
        <v>33</v>
      </c>
      <c r="M2818" s="9">
        <f t="shared" si="1"/>
        <v>77</v>
      </c>
    </row>
    <row r="2819" ht="12.75" customHeight="1">
      <c r="A2819" s="4">
        <f t="shared" si="2"/>
        <v>2818</v>
      </c>
      <c r="B2819" s="4" t="s">
        <v>6076</v>
      </c>
      <c r="C2819" s="5" t="s">
        <v>6077</v>
      </c>
      <c r="D2819" s="4"/>
      <c r="E2819" s="4"/>
      <c r="F2819" s="4" t="s">
        <v>22</v>
      </c>
      <c r="G2819" s="6">
        <v>2.7</v>
      </c>
      <c r="H2819" s="7" t="s">
        <v>1606</v>
      </c>
      <c r="I2819" s="4" t="s">
        <v>1869</v>
      </c>
      <c r="J2819" s="4" t="s">
        <v>5437</v>
      </c>
      <c r="K2819" s="8"/>
      <c r="L2819" s="8" t="s">
        <v>33</v>
      </c>
      <c r="M2819" s="9">
        <f t="shared" si="1"/>
        <v>75</v>
      </c>
    </row>
    <row r="2820" ht="12.75" customHeight="1">
      <c r="A2820" s="4">
        <f t="shared" si="2"/>
        <v>2819</v>
      </c>
      <c r="B2820" s="4" t="s">
        <v>6078</v>
      </c>
      <c r="C2820" s="5" t="s">
        <v>6079</v>
      </c>
      <c r="D2820" s="4"/>
      <c r="E2820" s="4"/>
      <c r="F2820" s="4" t="s">
        <v>22</v>
      </c>
      <c r="G2820" s="6">
        <v>2.7</v>
      </c>
      <c r="H2820" s="7" t="s">
        <v>1606</v>
      </c>
      <c r="I2820" s="4" t="s">
        <v>1869</v>
      </c>
      <c r="J2820" s="4" t="s">
        <v>5437</v>
      </c>
      <c r="K2820" s="8"/>
      <c r="L2820" s="8" t="s">
        <v>33</v>
      </c>
      <c r="M2820" s="9">
        <f t="shared" si="1"/>
        <v>79</v>
      </c>
    </row>
    <row r="2821" ht="12.75" customHeight="1">
      <c r="A2821" s="4">
        <f t="shared" si="2"/>
        <v>2820</v>
      </c>
      <c r="B2821" s="4" t="s">
        <v>6080</v>
      </c>
      <c r="C2821" s="5" t="s">
        <v>6081</v>
      </c>
      <c r="D2821" s="4"/>
      <c r="E2821" s="4"/>
      <c r="F2821" s="4" t="s">
        <v>22</v>
      </c>
      <c r="G2821" s="6">
        <v>2.7</v>
      </c>
      <c r="H2821" s="7" t="s">
        <v>1606</v>
      </c>
      <c r="I2821" s="4" t="s">
        <v>1869</v>
      </c>
      <c r="J2821" s="4" t="s">
        <v>5437</v>
      </c>
      <c r="K2821" s="8"/>
      <c r="L2821" s="8" t="s">
        <v>33</v>
      </c>
      <c r="M2821" s="9">
        <f t="shared" si="1"/>
        <v>77</v>
      </c>
    </row>
    <row r="2822" ht="12.75" customHeight="1">
      <c r="A2822" s="4">
        <f t="shared" si="2"/>
        <v>2821</v>
      </c>
      <c r="B2822" s="4" t="s">
        <v>6082</v>
      </c>
      <c r="C2822" s="5" t="s">
        <v>6083</v>
      </c>
      <c r="D2822" s="4"/>
      <c r="E2822" s="4"/>
      <c r="F2822" s="4" t="s">
        <v>22</v>
      </c>
      <c r="G2822" s="6">
        <v>2.7</v>
      </c>
      <c r="H2822" s="7" t="s">
        <v>1606</v>
      </c>
      <c r="I2822" s="4" t="s">
        <v>1869</v>
      </c>
      <c r="J2822" s="4" t="s">
        <v>5437</v>
      </c>
      <c r="K2822" s="8"/>
      <c r="L2822" s="8" t="s">
        <v>33</v>
      </c>
      <c r="M2822" s="9">
        <f t="shared" si="1"/>
        <v>75</v>
      </c>
    </row>
    <row r="2823" ht="12.75" customHeight="1">
      <c r="A2823" s="4">
        <f t="shared" si="2"/>
        <v>2822</v>
      </c>
      <c r="B2823" s="4" t="s">
        <v>6084</v>
      </c>
      <c r="C2823" s="5" t="s">
        <v>6085</v>
      </c>
      <c r="D2823" s="4"/>
      <c r="E2823" s="4"/>
      <c r="F2823" s="4" t="s">
        <v>22</v>
      </c>
      <c r="G2823" s="6">
        <v>2.7</v>
      </c>
      <c r="H2823" s="7" t="s">
        <v>1606</v>
      </c>
      <c r="I2823" s="4" t="s">
        <v>1869</v>
      </c>
      <c r="J2823" s="4" t="s">
        <v>5437</v>
      </c>
      <c r="K2823" s="8"/>
      <c r="L2823" s="8" t="s">
        <v>33</v>
      </c>
      <c r="M2823" s="9">
        <f t="shared" si="1"/>
        <v>77</v>
      </c>
    </row>
    <row r="2824" ht="12.75" customHeight="1">
      <c r="A2824" s="4">
        <f t="shared" si="2"/>
        <v>2823</v>
      </c>
      <c r="B2824" s="4" t="s">
        <v>6086</v>
      </c>
      <c r="C2824" s="5" t="s">
        <v>6087</v>
      </c>
      <c r="D2824" s="4"/>
      <c r="E2824" s="4"/>
      <c r="F2824" s="4" t="s">
        <v>22</v>
      </c>
      <c r="G2824" s="6">
        <v>2.7</v>
      </c>
      <c r="H2824" s="7" t="s">
        <v>1606</v>
      </c>
      <c r="I2824" s="4" t="s">
        <v>1869</v>
      </c>
      <c r="J2824" s="4" t="s">
        <v>5437</v>
      </c>
      <c r="K2824" s="8"/>
      <c r="L2824" s="8" t="s">
        <v>33</v>
      </c>
      <c r="M2824" s="9">
        <f t="shared" si="1"/>
        <v>80</v>
      </c>
    </row>
    <row r="2825" ht="12.75" customHeight="1">
      <c r="A2825" s="4">
        <f t="shared" si="2"/>
        <v>2824</v>
      </c>
      <c r="B2825" s="4" t="s">
        <v>6088</v>
      </c>
      <c r="C2825" s="5" t="s">
        <v>6089</v>
      </c>
      <c r="D2825" s="4"/>
      <c r="E2825" s="4"/>
      <c r="F2825" s="4" t="s">
        <v>22</v>
      </c>
      <c r="G2825" s="6">
        <v>2.7</v>
      </c>
      <c r="H2825" s="7" t="s">
        <v>1606</v>
      </c>
      <c r="I2825" s="4" t="s">
        <v>1869</v>
      </c>
      <c r="J2825" s="4" t="s">
        <v>5437</v>
      </c>
      <c r="K2825" s="8"/>
      <c r="L2825" s="8" t="s">
        <v>33</v>
      </c>
      <c r="M2825" s="9">
        <f t="shared" si="1"/>
        <v>78</v>
      </c>
    </row>
    <row r="2826" ht="12.75" customHeight="1">
      <c r="A2826" s="4">
        <f t="shared" si="2"/>
        <v>2825</v>
      </c>
      <c r="B2826" s="4" t="s">
        <v>6090</v>
      </c>
      <c r="C2826" s="5" t="s">
        <v>6091</v>
      </c>
      <c r="D2826" s="4"/>
      <c r="E2826" s="4"/>
      <c r="F2826" s="4" t="s">
        <v>22</v>
      </c>
      <c r="G2826" s="6">
        <v>2.7</v>
      </c>
      <c r="H2826" s="7" t="s">
        <v>1606</v>
      </c>
      <c r="I2826" s="4" t="s">
        <v>1869</v>
      </c>
      <c r="J2826" s="4" t="s">
        <v>5437</v>
      </c>
      <c r="K2826" s="8"/>
      <c r="L2826" s="8" t="s">
        <v>33</v>
      </c>
      <c r="M2826" s="9">
        <f t="shared" si="1"/>
        <v>76</v>
      </c>
    </row>
    <row r="2827" ht="12.75" customHeight="1">
      <c r="A2827" s="4">
        <f t="shared" si="2"/>
        <v>2826</v>
      </c>
      <c r="B2827" s="4" t="s">
        <v>6092</v>
      </c>
      <c r="C2827" s="5" t="s">
        <v>6093</v>
      </c>
      <c r="D2827" s="4"/>
      <c r="E2827" s="4"/>
      <c r="F2827" s="4" t="s">
        <v>22</v>
      </c>
      <c r="G2827" s="6">
        <v>2.7</v>
      </c>
      <c r="H2827" s="7" t="s">
        <v>1606</v>
      </c>
      <c r="I2827" s="4" t="s">
        <v>1869</v>
      </c>
      <c r="J2827" s="4" t="s">
        <v>5437</v>
      </c>
      <c r="K2827" s="8"/>
      <c r="L2827" s="8" t="s">
        <v>33</v>
      </c>
      <c r="M2827" s="9">
        <f t="shared" si="1"/>
        <v>78</v>
      </c>
    </row>
    <row r="2828" ht="12.75" customHeight="1">
      <c r="A2828" s="4">
        <f t="shared" si="2"/>
        <v>2827</v>
      </c>
      <c r="B2828" s="4" t="s">
        <v>6094</v>
      </c>
      <c r="C2828" s="5" t="s">
        <v>6095</v>
      </c>
      <c r="D2828" s="4"/>
      <c r="E2828" s="4"/>
      <c r="F2828" s="4" t="s">
        <v>1764</v>
      </c>
      <c r="G2828" s="6">
        <v>3.59</v>
      </c>
      <c r="H2828" s="7" t="s">
        <v>1606</v>
      </c>
      <c r="I2828" s="4" t="s">
        <v>1869</v>
      </c>
      <c r="J2828" s="4" t="s">
        <v>5437</v>
      </c>
      <c r="K2828" s="8"/>
      <c r="L2828" s="8" t="s">
        <v>487</v>
      </c>
      <c r="M2828" s="9">
        <f t="shared" si="1"/>
        <v>79</v>
      </c>
    </row>
    <row r="2829" ht="12.75" customHeight="1">
      <c r="A2829" s="4">
        <f t="shared" si="2"/>
        <v>2828</v>
      </c>
      <c r="B2829" s="4" t="s">
        <v>6096</v>
      </c>
      <c r="C2829" s="5" t="s">
        <v>6097</v>
      </c>
      <c r="D2829" s="4"/>
      <c r="E2829" s="4"/>
      <c r="F2829" s="4" t="s">
        <v>1764</v>
      </c>
      <c r="G2829" s="6">
        <v>3.59</v>
      </c>
      <c r="H2829" s="7" t="s">
        <v>1606</v>
      </c>
      <c r="I2829" s="4" t="s">
        <v>1869</v>
      </c>
      <c r="J2829" s="4" t="s">
        <v>5437</v>
      </c>
      <c r="K2829" s="8"/>
      <c r="L2829" s="8" t="s">
        <v>487</v>
      </c>
      <c r="M2829" s="9">
        <f t="shared" si="1"/>
        <v>75</v>
      </c>
    </row>
    <row r="2830" ht="12.75" customHeight="1">
      <c r="A2830" s="4">
        <f t="shared" si="2"/>
        <v>2829</v>
      </c>
      <c r="B2830" s="4" t="s">
        <v>6098</v>
      </c>
      <c r="C2830" s="5" t="s">
        <v>6099</v>
      </c>
      <c r="D2830" s="4"/>
      <c r="E2830" s="4"/>
      <c r="F2830" s="4" t="s">
        <v>1764</v>
      </c>
      <c r="G2830" s="6">
        <v>4.57</v>
      </c>
      <c r="H2830" s="7" t="s">
        <v>1606</v>
      </c>
      <c r="I2830" s="4" t="s">
        <v>1869</v>
      </c>
      <c r="J2830" s="4" t="s">
        <v>5437</v>
      </c>
      <c r="K2830" s="8"/>
      <c r="L2830" s="8" t="s">
        <v>487</v>
      </c>
      <c r="M2830" s="9">
        <f t="shared" si="1"/>
        <v>75</v>
      </c>
    </row>
    <row r="2831" ht="12.75" customHeight="1">
      <c r="A2831" s="4">
        <f t="shared" si="2"/>
        <v>2830</v>
      </c>
      <c r="B2831" s="4" t="s">
        <v>6100</v>
      </c>
      <c r="C2831" s="5" t="s">
        <v>6101</v>
      </c>
      <c r="D2831" s="4"/>
      <c r="E2831" s="4"/>
      <c r="F2831" s="4" t="s">
        <v>1772</v>
      </c>
      <c r="G2831" s="6">
        <v>3.49</v>
      </c>
      <c r="H2831" s="7" t="s">
        <v>1606</v>
      </c>
      <c r="I2831" s="4" t="s">
        <v>1869</v>
      </c>
      <c r="J2831" s="4" t="s">
        <v>5437</v>
      </c>
      <c r="K2831" s="8"/>
      <c r="L2831" s="8" t="s">
        <v>33</v>
      </c>
      <c r="M2831" s="9">
        <f t="shared" si="1"/>
        <v>50</v>
      </c>
    </row>
    <row r="2832" ht="12.75" customHeight="1">
      <c r="A2832" s="4">
        <f t="shared" si="2"/>
        <v>2831</v>
      </c>
      <c r="B2832" s="4" t="s">
        <v>6102</v>
      </c>
      <c r="C2832" s="5" t="s">
        <v>6103</v>
      </c>
      <c r="D2832" s="4"/>
      <c r="E2832" s="4"/>
      <c r="F2832" s="4" t="s">
        <v>22</v>
      </c>
      <c r="G2832" s="6">
        <v>1.59</v>
      </c>
      <c r="H2832" s="7" t="s">
        <v>1606</v>
      </c>
      <c r="I2832" s="4" t="s">
        <v>1475</v>
      </c>
      <c r="J2832" s="4" t="s">
        <v>1476</v>
      </c>
      <c r="K2832" s="8"/>
      <c r="L2832" s="8" t="s">
        <v>33</v>
      </c>
      <c r="M2832" s="9">
        <f t="shared" si="1"/>
        <v>17</v>
      </c>
    </row>
    <row r="2833" ht="12.75" customHeight="1">
      <c r="A2833" s="4">
        <f t="shared" si="2"/>
        <v>2832</v>
      </c>
      <c r="B2833" s="4" t="s">
        <v>6104</v>
      </c>
      <c r="C2833" s="5" t="s">
        <v>6105</v>
      </c>
      <c r="D2833" s="4"/>
      <c r="E2833" s="4"/>
      <c r="F2833" s="4" t="s">
        <v>1779</v>
      </c>
      <c r="G2833" s="6">
        <v>0.56</v>
      </c>
      <c r="H2833" s="7" t="s">
        <v>1606</v>
      </c>
      <c r="I2833" s="4" t="s">
        <v>1475</v>
      </c>
      <c r="J2833" s="4" t="s">
        <v>1476</v>
      </c>
      <c r="K2833" s="8"/>
      <c r="L2833" s="8" t="s">
        <v>33</v>
      </c>
      <c r="M2833" s="9">
        <f t="shared" si="1"/>
        <v>27</v>
      </c>
    </row>
    <row r="2834" ht="12.75" customHeight="1">
      <c r="A2834" s="4">
        <f t="shared" si="2"/>
        <v>2833</v>
      </c>
      <c r="B2834" s="4" t="s">
        <v>6106</v>
      </c>
      <c r="C2834" s="5" t="s">
        <v>6107</v>
      </c>
      <c r="D2834" s="4"/>
      <c r="E2834" s="4"/>
      <c r="F2834" s="4" t="s">
        <v>22</v>
      </c>
      <c r="G2834" s="6">
        <v>45.25</v>
      </c>
      <c r="H2834" s="7" t="s">
        <v>1606</v>
      </c>
      <c r="I2834" s="4" t="s">
        <v>1574</v>
      </c>
      <c r="J2834" s="4" t="s">
        <v>2434</v>
      </c>
      <c r="K2834" s="8"/>
      <c r="L2834" s="8" t="s">
        <v>3167</v>
      </c>
      <c r="M2834" s="9">
        <f t="shared" si="1"/>
        <v>34</v>
      </c>
    </row>
    <row r="2835" ht="12.75" customHeight="1">
      <c r="A2835" s="4">
        <f t="shared" si="2"/>
        <v>2834</v>
      </c>
      <c r="B2835" s="4" t="s">
        <v>6108</v>
      </c>
      <c r="C2835" s="5" t="s">
        <v>6109</v>
      </c>
      <c r="D2835" s="4"/>
      <c r="E2835" s="4"/>
      <c r="F2835" s="4" t="s">
        <v>22</v>
      </c>
      <c r="G2835" s="6">
        <v>23.49</v>
      </c>
      <c r="H2835" s="7" t="s">
        <v>1606</v>
      </c>
      <c r="I2835" s="4" t="s">
        <v>2011</v>
      </c>
      <c r="J2835" s="4" t="s">
        <v>2012</v>
      </c>
      <c r="K2835" s="8"/>
      <c r="L2835" s="8" t="s">
        <v>33</v>
      </c>
      <c r="M2835" s="9">
        <f t="shared" si="1"/>
        <v>49</v>
      </c>
    </row>
    <row r="2836" ht="12.75" customHeight="1">
      <c r="A2836" s="4">
        <f t="shared" si="2"/>
        <v>2835</v>
      </c>
      <c r="B2836" s="4" t="s">
        <v>6110</v>
      </c>
      <c r="C2836" s="5" t="s">
        <v>6111</v>
      </c>
      <c r="D2836" s="4"/>
      <c r="E2836" s="4"/>
      <c r="F2836" s="4" t="s">
        <v>22</v>
      </c>
      <c r="G2836" s="6">
        <v>27.0</v>
      </c>
      <c r="H2836" s="7" t="s">
        <v>1606</v>
      </c>
      <c r="I2836" s="4" t="s">
        <v>2011</v>
      </c>
      <c r="J2836" s="4" t="s">
        <v>2012</v>
      </c>
      <c r="K2836" s="8"/>
      <c r="L2836" s="8" t="s">
        <v>33</v>
      </c>
      <c r="M2836" s="9">
        <f t="shared" si="1"/>
        <v>49</v>
      </c>
    </row>
    <row r="2837" ht="12.75" customHeight="1">
      <c r="A2837" s="4">
        <f t="shared" si="2"/>
        <v>2836</v>
      </c>
      <c r="B2837" s="4" t="s">
        <v>6112</v>
      </c>
      <c r="C2837" s="5" t="s">
        <v>6113</v>
      </c>
      <c r="D2837" s="4"/>
      <c r="E2837" s="4"/>
      <c r="F2837" s="4" t="s">
        <v>22</v>
      </c>
      <c r="G2837" s="6">
        <v>36.49</v>
      </c>
      <c r="H2837" s="7" t="s">
        <v>1606</v>
      </c>
      <c r="I2837" s="4" t="s">
        <v>2011</v>
      </c>
      <c r="J2837" s="4" t="s">
        <v>2012</v>
      </c>
      <c r="K2837" s="8"/>
      <c r="L2837" s="8" t="s">
        <v>33</v>
      </c>
      <c r="M2837" s="9">
        <f t="shared" si="1"/>
        <v>49</v>
      </c>
    </row>
    <row r="2838" ht="12.75" customHeight="1">
      <c r="A2838" s="4">
        <f t="shared" si="2"/>
        <v>2837</v>
      </c>
      <c r="B2838" s="4" t="s">
        <v>6114</v>
      </c>
      <c r="C2838" s="5" t="s">
        <v>6115</v>
      </c>
      <c r="D2838" s="4"/>
      <c r="E2838" s="4"/>
      <c r="F2838" s="4" t="s">
        <v>22</v>
      </c>
      <c r="G2838" s="6">
        <v>23.22</v>
      </c>
      <c r="H2838" s="7" t="s">
        <v>1606</v>
      </c>
      <c r="I2838" s="4" t="s">
        <v>2011</v>
      </c>
      <c r="J2838" s="4" t="s">
        <v>2012</v>
      </c>
      <c r="K2838" s="8"/>
      <c r="L2838" s="8" t="s">
        <v>33</v>
      </c>
      <c r="M2838" s="9">
        <f t="shared" si="1"/>
        <v>38</v>
      </c>
    </row>
    <row r="2839" ht="12.75" customHeight="1">
      <c r="A2839" s="4">
        <f t="shared" si="2"/>
        <v>2838</v>
      </c>
      <c r="B2839" s="4" t="s">
        <v>6116</v>
      </c>
      <c r="C2839" s="5" t="s">
        <v>6117</v>
      </c>
      <c r="D2839" s="4"/>
      <c r="E2839" s="4"/>
      <c r="F2839" s="4" t="s">
        <v>22</v>
      </c>
      <c r="G2839" s="6">
        <v>32.41</v>
      </c>
      <c r="H2839" s="7" t="s">
        <v>1606</v>
      </c>
      <c r="I2839" s="4" t="s">
        <v>2011</v>
      </c>
      <c r="J2839" s="4" t="s">
        <v>2012</v>
      </c>
      <c r="K2839" s="8"/>
      <c r="L2839" s="8" t="s">
        <v>33</v>
      </c>
      <c r="M2839" s="9">
        <f t="shared" si="1"/>
        <v>38</v>
      </c>
    </row>
    <row r="2840" ht="12.75" customHeight="1">
      <c r="A2840" s="4">
        <f t="shared" si="2"/>
        <v>2839</v>
      </c>
      <c r="B2840" s="4" t="s">
        <v>6118</v>
      </c>
      <c r="C2840" s="5" t="s">
        <v>6119</v>
      </c>
      <c r="D2840" s="4"/>
      <c r="E2840" s="4"/>
      <c r="F2840" s="4" t="s">
        <v>22</v>
      </c>
      <c r="G2840" s="6">
        <v>9.16</v>
      </c>
      <c r="H2840" s="7" t="s">
        <v>1606</v>
      </c>
      <c r="I2840" s="4" t="s">
        <v>2011</v>
      </c>
      <c r="J2840" s="4" t="s">
        <v>2012</v>
      </c>
      <c r="K2840" s="8"/>
      <c r="L2840" s="8" t="s">
        <v>33</v>
      </c>
      <c r="M2840" s="9">
        <f t="shared" si="1"/>
        <v>37</v>
      </c>
    </row>
    <row r="2841" ht="12.75" customHeight="1">
      <c r="A2841" s="4">
        <f t="shared" si="2"/>
        <v>2840</v>
      </c>
      <c r="B2841" s="4" t="s">
        <v>6120</v>
      </c>
      <c r="C2841" s="5" t="s">
        <v>6121</v>
      </c>
      <c r="D2841" s="4"/>
      <c r="E2841" s="4"/>
      <c r="F2841" s="4" t="s">
        <v>22</v>
      </c>
      <c r="G2841" s="6">
        <v>14.03</v>
      </c>
      <c r="H2841" s="7" t="s">
        <v>1606</v>
      </c>
      <c r="I2841" s="4" t="s">
        <v>2011</v>
      </c>
      <c r="J2841" s="4" t="s">
        <v>2012</v>
      </c>
      <c r="K2841" s="8"/>
      <c r="L2841" s="8" t="s">
        <v>33</v>
      </c>
      <c r="M2841" s="9">
        <f t="shared" si="1"/>
        <v>37</v>
      </c>
    </row>
    <row r="2842" ht="12.75" customHeight="1">
      <c r="A2842" s="4">
        <f t="shared" si="2"/>
        <v>2841</v>
      </c>
      <c r="B2842" s="4" t="s">
        <v>6122</v>
      </c>
      <c r="C2842" s="5" t="s">
        <v>6123</v>
      </c>
      <c r="D2842" s="4"/>
      <c r="E2842" s="4"/>
      <c r="F2842" s="4" t="s">
        <v>22</v>
      </c>
      <c r="G2842" s="6">
        <v>18.89</v>
      </c>
      <c r="H2842" s="7" t="s">
        <v>1606</v>
      </c>
      <c r="I2842" s="4" t="s">
        <v>2011</v>
      </c>
      <c r="J2842" s="4" t="s">
        <v>2012</v>
      </c>
      <c r="K2842" s="8"/>
      <c r="L2842" s="8" t="s">
        <v>33</v>
      </c>
      <c r="M2842" s="9">
        <f t="shared" si="1"/>
        <v>37</v>
      </c>
    </row>
    <row r="2843" ht="12.75" customHeight="1">
      <c r="A2843" s="4">
        <f t="shared" si="2"/>
        <v>2842</v>
      </c>
      <c r="B2843" s="4" t="s">
        <v>6124</v>
      </c>
      <c r="C2843" s="5" t="s">
        <v>6125</v>
      </c>
      <c r="D2843" s="4"/>
      <c r="E2843" s="4"/>
      <c r="F2843" s="4" t="s">
        <v>2391</v>
      </c>
      <c r="G2843" s="6">
        <v>3.91</v>
      </c>
      <c r="H2843" s="7" t="s">
        <v>1606</v>
      </c>
      <c r="I2843" s="4" t="s">
        <v>6126</v>
      </c>
      <c r="J2843" s="4" t="s">
        <v>6127</v>
      </c>
      <c r="K2843" s="8"/>
      <c r="L2843" s="8" t="s">
        <v>3509</v>
      </c>
      <c r="M2843" s="9">
        <f t="shared" si="1"/>
        <v>61</v>
      </c>
    </row>
    <row r="2844" ht="12.75" customHeight="1">
      <c r="A2844" s="4">
        <f t="shared" si="2"/>
        <v>2843</v>
      </c>
      <c r="B2844" s="4" t="s">
        <v>6128</v>
      </c>
      <c r="C2844" s="5" t="s">
        <v>6129</v>
      </c>
      <c r="D2844" s="4"/>
      <c r="E2844" s="4"/>
      <c r="F2844" s="4" t="s">
        <v>2391</v>
      </c>
      <c r="G2844" s="6">
        <v>3.51</v>
      </c>
      <c r="H2844" s="7" t="s">
        <v>1606</v>
      </c>
      <c r="I2844" s="4" t="s">
        <v>6126</v>
      </c>
      <c r="J2844" s="4" t="s">
        <v>6127</v>
      </c>
      <c r="K2844" s="8"/>
      <c r="L2844" s="8" t="s">
        <v>3509</v>
      </c>
      <c r="M2844" s="9">
        <f t="shared" si="1"/>
        <v>57</v>
      </c>
    </row>
    <row r="2845" ht="12.75" customHeight="1">
      <c r="A2845" s="4">
        <f t="shared" si="2"/>
        <v>2844</v>
      </c>
      <c r="B2845" s="4" t="s">
        <v>6130</v>
      </c>
      <c r="C2845" s="5" t="s">
        <v>6131</v>
      </c>
      <c r="D2845" s="4"/>
      <c r="E2845" s="4"/>
      <c r="F2845" s="4" t="s">
        <v>2391</v>
      </c>
      <c r="G2845" s="6">
        <v>1.91</v>
      </c>
      <c r="H2845" s="7" t="s">
        <v>1606</v>
      </c>
      <c r="I2845" s="4" t="s">
        <v>6126</v>
      </c>
      <c r="J2845" s="4" t="s">
        <v>6127</v>
      </c>
      <c r="K2845" s="8"/>
      <c r="L2845" s="8" t="s">
        <v>3509</v>
      </c>
      <c r="M2845" s="9">
        <f t="shared" si="1"/>
        <v>59</v>
      </c>
    </row>
    <row r="2846" ht="12.75" customHeight="1">
      <c r="A2846" s="4">
        <f t="shared" si="2"/>
        <v>2845</v>
      </c>
      <c r="B2846" s="4" t="s">
        <v>6132</v>
      </c>
      <c r="C2846" s="5" t="s">
        <v>6133</v>
      </c>
      <c r="D2846" s="4"/>
      <c r="E2846" s="4"/>
      <c r="F2846" s="4" t="s">
        <v>2391</v>
      </c>
      <c r="G2846" s="6">
        <v>5.04</v>
      </c>
      <c r="H2846" s="7" t="s">
        <v>1606</v>
      </c>
      <c r="I2846" s="4" t="s">
        <v>6126</v>
      </c>
      <c r="J2846" s="4" t="s">
        <v>6127</v>
      </c>
      <c r="K2846" s="8"/>
      <c r="L2846" s="8" t="s">
        <v>3509</v>
      </c>
      <c r="M2846" s="9">
        <f t="shared" si="1"/>
        <v>57</v>
      </c>
    </row>
    <row r="2847" ht="12.75" customHeight="1">
      <c r="A2847" s="4">
        <f t="shared" si="2"/>
        <v>2846</v>
      </c>
      <c r="B2847" s="4" t="s">
        <v>6134</v>
      </c>
      <c r="C2847" s="5" t="s">
        <v>6135</v>
      </c>
      <c r="D2847" s="4"/>
      <c r="E2847" s="4"/>
      <c r="F2847" s="4" t="s">
        <v>2391</v>
      </c>
      <c r="G2847" s="6">
        <v>10.42</v>
      </c>
      <c r="H2847" s="7" t="s">
        <v>1606</v>
      </c>
      <c r="I2847" s="4" t="s">
        <v>6126</v>
      </c>
      <c r="J2847" s="4" t="s">
        <v>6127</v>
      </c>
      <c r="K2847" s="8"/>
      <c r="L2847" s="8" t="s">
        <v>3509</v>
      </c>
      <c r="M2847" s="9">
        <f t="shared" si="1"/>
        <v>57</v>
      </c>
    </row>
    <row r="2848" ht="12.75" customHeight="1">
      <c r="A2848" s="4">
        <f t="shared" si="2"/>
        <v>2847</v>
      </c>
      <c r="B2848" s="4" t="s">
        <v>6136</v>
      </c>
      <c r="C2848" s="5" t="s">
        <v>6137</v>
      </c>
      <c r="D2848" s="4"/>
      <c r="E2848" s="4"/>
      <c r="F2848" s="4" t="s">
        <v>2391</v>
      </c>
      <c r="G2848" s="6">
        <v>2.6</v>
      </c>
      <c r="H2848" s="7" t="s">
        <v>1606</v>
      </c>
      <c r="I2848" s="4" t="s">
        <v>6126</v>
      </c>
      <c r="J2848" s="4" t="s">
        <v>6127</v>
      </c>
      <c r="K2848" s="8"/>
      <c r="L2848" s="8" t="s">
        <v>3509</v>
      </c>
      <c r="M2848" s="9">
        <f t="shared" si="1"/>
        <v>59</v>
      </c>
    </row>
    <row r="2849" ht="12.75" customHeight="1">
      <c r="A2849" s="4">
        <f t="shared" si="2"/>
        <v>2848</v>
      </c>
      <c r="B2849" s="4" t="s">
        <v>6138</v>
      </c>
      <c r="C2849" s="5" t="s">
        <v>6139</v>
      </c>
      <c r="D2849" s="4"/>
      <c r="E2849" s="4"/>
      <c r="F2849" s="4" t="s">
        <v>1791</v>
      </c>
      <c r="G2849" s="6">
        <v>1239.0</v>
      </c>
      <c r="H2849" s="7" t="s">
        <v>1606</v>
      </c>
      <c r="I2849" s="4" t="s">
        <v>6126</v>
      </c>
      <c r="J2849" s="4" t="s">
        <v>6140</v>
      </c>
      <c r="K2849" s="8"/>
      <c r="L2849" s="8" t="s">
        <v>3173</v>
      </c>
      <c r="M2849" s="9">
        <f t="shared" si="1"/>
        <v>51</v>
      </c>
    </row>
    <row r="2850" ht="12.75" customHeight="1">
      <c r="A2850" s="4">
        <f t="shared" si="2"/>
        <v>2849</v>
      </c>
      <c r="B2850" s="4" t="s">
        <v>6141</v>
      </c>
      <c r="C2850" s="5" t="s">
        <v>6142</v>
      </c>
      <c r="D2850" s="4"/>
      <c r="E2850" s="4"/>
      <c r="F2850" s="4" t="s">
        <v>22</v>
      </c>
      <c r="G2850" s="6">
        <v>98.36</v>
      </c>
      <c r="H2850" s="7" t="s">
        <v>1606</v>
      </c>
      <c r="I2850" s="4" t="s">
        <v>6126</v>
      </c>
      <c r="J2850" s="4" t="s">
        <v>6140</v>
      </c>
      <c r="K2850" s="8"/>
      <c r="L2850" s="8" t="s">
        <v>3173</v>
      </c>
      <c r="M2850" s="9">
        <f t="shared" si="1"/>
        <v>31</v>
      </c>
    </row>
    <row r="2851" ht="12.75" customHeight="1">
      <c r="A2851" s="4">
        <f t="shared" si="2"/>
        <v>2850</v>
      </c>
      <c r="B2851" s="4" t="s">
        <v>6143</v>
      </c>
      <c r="C2851" s="5" t="s">
        <v>6144</v>
      </c>
      <c r="D2851" s="4"/>
      <c r="E2851" s="4"/>
      <c r="F2851" s="4" t="s">
        <v>22</v>
      </c>
      <c r="G2851" s="6">
        <v>70.8</v>
      </c>
      <c r="H2851" s="7" t="s">
        <v>1606</v>
      </c>
      <c r="I2851" s="4" t="s">
        <v>6126</v>
      </c>
      <c r="J2851" s="4" t="s">
        <v>6140</v>
      </c>
      <c r="K2851" s="8"/>
      <c r="L2851" s="8" t="s">
        <v>3173</v>
      </c>
      <c r="M2851" s="9">
        <f t="shared" si="1"/>
        <v>31</v>
      </c>
    </row>
    <row r="2852" ht="12.75" customHeight="1">
      <c r="A2852" s="4">
        <f t="shared" si="2"/>
        <v>2851</v>
      </c>
      <c r="B2852" s="4" t="s">
        <v>6145</v>
      </c>
      <c r="C2852" s="5" t="s">
        <v>6146</v>
      </c>
      <c r="D2852" s="4"/>
      <c r="E2852" s="4"/>
      <c r="F2852" s="4" t="s">
        <v>22</v>
      </c>
      <c r="G2852" s="21">
        <v>85.25</v>
      </c>
      <c r="H2852" s="7" t="s">
        <v>1606</v>
      </c>
      <c r="I2852" s="4" t="s">
        <v>6126</v>
      </c>
      <c r="J2852" s="4" t="s">
        <v>6140</v>
      </c>
      <c r="K2852" s="8"/>
      <c r="L2852" s="8" t="s">
        <v>3173</v>
      </c>
      <c r="M2852" s="9">
        <f t="shared" si="1"/>
        <v>31</v>
      </c>
    </row>
    <row r="2853" ht="12.75" customHeight="1">
      <c r="A2853" s="4">
        <f t="shared" si="2"/>
        <v>2852</v>
      </c>
      <c r="B2853" s="4" t="s">
        <v>6147</v>
      </c>
      <c r="C2853" s="5" t="s">
        <v>6148</v>
      </c>
      <c r="D2853" s="4"/>
      <c r="E2853" s="4"/>
      <c r="F2853" s="4" t="s">
        <v>22</v>
      </c>
      <c r="G2853" s="21">
        <v>91.89</v>
      </c>
      <c r="H2853" s="7" t="s">
        <v>1606</v>
      </c>
      <c r="I2853" s="4" t="s">
        <v>6126</v>
      </c>
      <c r="J2853" s="4" t="s">
        <v>6149</v>
      </c>
      <c r="K2853" s="8"/>
      <c r="L2853" s="8" t="s">
        <v>33</v>
      </c>
      <c r="M2853" s="9">
        <f t="shared" si="1"/>
        <v>54</v>
      </c>
    </row>
    <row r="2854" ht="12.75" customHeight="1">
      <c r="A2854" s="4">
        <f t="shared" si="2"/>
        <v>2853</v>
      </c>
      <c r="B2854" s="4" t="s">
        <v>6150</v>
      </c>
      <c r="C2854" s="5" t="s">
        <v>6151</v>
      </c>
      <c r="D2854" s="4"/>
      <c r="E2854" s="4"/>
      <c r="F2854" s="4" t="s">
        <v>22</v>
      </c>
      <c r="G2854" s="21">
        <v>67.68</v>
      </c>
      <c r="H2854" s="7" t="s">
        <v>1606</v>
      </c>
      <c r="I2854" s="4" t="s">
        <v>6126</v>
      </c>
      <c r="J2854" s="4" t="s">
        <v>6149</v>
      </c>
      <c r="K2854" s="8"/>
      <c r="L2854" s="8" t="s">
        <v>33</v>
      </c>
      <c r="M2854" s="9">
        <f t="shared" si="1"/>
        <v>56</v>
      </c>
    </row>
    <row r="2855" ht="12.75" customHeight="1">
      <c r="A2855" s="4">
        <f t="shared" si="2"/>
        <v>2854</v>
      </c>
      <c r="B2855" s="4" t="s">
        <v>6152</v>
      </c>
      <c r="C2855" s="5" t="s">
        <v>6153</v>
      </c>
      <c r="D2855" s="4"/>
      <c r="E2855" s="4"/>
      <c r="F2855" s="4" t="s">
        <v>22</v>
      </c>
      <c r="G2855" s="21">
        <v>229.73</v>
      </c>
      <c r="H2855" s="7" t="s">
        <v>1606</v>
      </c>
      <c r="I2855" s="4" t="s">
        <v>6126</v>
      </c>
      <c r="J2855" s="4" t="s">
        <v>6149</v>
      </c>
      <c r="K2855" s="8"/>
      <c r="L2855" s="8" t="s">
        <v>33</v>
      </c>
      <c r="M2855" s="9">
        <f t="shared" si="1"/>
        <v>54</v>
      </c>
    </row>
    <row r="2856" ht="12.75" customHeight="1">
      <c r="A2856" s="4">
        <f t="shared" si="2"/>
        <v>2855</v>
      </c>
      <c r="B2856" s="4" t="s">
        <v>6154</v>
      </c>
      <c r="C2856" s="5" t="s">
        <v>6155</v>
      </c>
      <c r="D2856" s="4"/>
      <c r="E2856" s="4"/>
      <c r="F2856" s="4" t="s">
        <v>22</v>
      </c>
      <c r="G2856" s="21">
        <v>81.08</v>
      </c>
      <c r="H2856" s="7" t="s">
        <v>1606</v>
      </c>
      <c r="I2856" s="4" t="s">
        <v>6126</v>
      </c>
      <c r="J2856" s="4" t="s">
        <v>6149</v>
      </c>
      <c r="K2856" s="8"/>
      <c r="L2856" s="8" t="s">
        <v>33</v>
      </c>
      <c r="M2856" s="9">
        <f t="shared" si="1"/>
        <v>56</v>
      </c>
    </row>
    <row r="2857" ht="12.75" customHeight="1">
      <c r="A2857" s="4">
        <f t="shared" si="2"/>
        <v>2856</v>
      </c>
      <c r="B2857" s="4" t="s">
        <v>6156</v>
      </c>
      <c r="C2857" s="5" t="s">
        <v>6157</v>
      </c>
      <c r="D2857" s="4"/>
      <c r="E2857" s="4"/>
      <c r="F2857" s="4" t="s">
        <v>22</v>
      </c>
      <c r="G2857" s="21">
        <v>101.89</v>
      </c>
      <c r="H2857" s="7" t="s">
        <v>1606</v>
      </c>
      <c r="I2857" s="4" t="s">
        <v>6126</v>
      </c>
      <c r="J2857" s="4" t="s">
        <v>6127</v>
      </c>
      <c r="K2857" s="8"/>
      <c r="L2857" s="8" t="s">
        <v>1659</v>
      </c>
      <c r="M2857" s="9">
        <f t="shared" si="1"/>
        <v>43</v>
      </c>
    </row>
    <row r="2858" ht="12.75" customHeight="1">
      <c r="A2858" s="4">
        <f t="shared" si="2"/>
        <v>2857</v>
      </c>
      <c r="B2858" s="4" t="s">
        <v>6158</v>
      </c>
      <c r="C2858" s="5" t="s">
        <v>6159</v>
      </c>
      <c r="D2858" s="4"/>
      <c r="E2858" s="4"/>
      <c r="F2858" s="4" t="s">
        <v>22</v>
      </c>
      <c r="G2858" s="21">
        <v>93.61</v>
      </c>
      <c r="H2858" s="7" t="s">
        <v>1606</v>
      </c>
      <c r="I2858" s="4" t="s">
        <v>6126</v>
      </c>
      <c r="J2858" s="4" t="s">
        <v>6127</v>
      </c>
      <c r="K2858" s="8"/>
      <c r="L2858" s="8" t="s">
        <v>1659</v>
      </c>
      <c r="M2858" s="9">
        <f t="shared" si="1"/>
        <v>39</v>
      </c>
    </row>
    <row r="2859" ht="12.75" customHeight="1">
      <c r="A2859" s="4">
        <f t="shared" si="2"/>
        <v>2858</v>
      </c>
      <c r="B2859" s="4" t="s">
        <v>6160</v>
      </c>
      <c r="C2859" s="5" t="s">
        <v>6161</v>
      </c>
      <c r="D2859" s="4"/>
      <c r="E2859" s="4"/>
      <c r="F2859" s="4" t="s">
        <v>22</v>
      </c>
      <c r="G2859" s="21">
        <v>38.9</v>
      </c>
      <c r="H2859" s="7" t="s">
        <v>1606</v>
      </c>
      <c r="I2859" s="4" t="s">
        <v>6126</v>
      </c>
      <c r="J2859" s="4" t="s">
        <v>6127</v>
      </c>
      <c r="K2859" s="8"/>
      <c r="L2859" s="8" t="s">
        <v>1659</v>
      </c>
      <c r="M2859" s="9">
        <f t="shared" si="1"/>
        <v>41</v>
      </c>
    </row>
    <row r="2860" ht="12.75" customHeight="1">
      <c r="A2860" s="4">
        <f t="shared" si="2"/>
        <v>2859</v>
      </c>
      <c r="B2860" s="4" t="s">
        <v>6162</v>
      </c>
      <c r="C2860" s="5" t="s">
        <v>6163</v>
      </c>
      <c r="D2860" s="4"/>
      <c r="E2860" s="4"/>
      <c r="F2860" s="4" t="s">
        <v>22</v>
      </c>
      <c r="G2860" s="21">
        <v>216.22</v>
      </c>
      <c r="H2860" s="7" t="s">
        <v>1606</v>
      </c>
      <c r="I2860" s="4" t="s">
        <v>6126</v>
      </c>
      <c r="J2860" s="4" t="s">
        <v>6127</v>
      </c>
      <c r="K2860" s="8"/>
      <c r="L2860" s="8" t="s">
        <v>1659</v>
      </c>
      <c r="M2860" s="9">
        <f t="shared" si="1"/>
        <v>39</v>
      </c>
    </row>
    <row r="2861" ht="12.75" customHeight="1">
      <c r="A2861" s="4">
        <f t="shared" si="2"/>
        <v>2860</v>
      </c>
      <c r="B2861" s="4" t="s">
        <v>6164</v>
      </c>
      <c r="C2861" s="5" t="s">
        <v>6165</v>
      </c>
      <c r="D2861" s="4"/>
      <c r="E2861" s="4"/>
      <c r="F2861" s="4" t="s">
        <v>22</v>
      </c>
      <c r="G2861" s="21">
        <v>297.3</v>
      </c>
      <c r="H2861" s="7" t="s">
        <v>1606</v>
      </c>
      <c r="I2861" s="4" t="s">
        <v>6126</v>
      </c>
      <c r="J2861" s="4" t="s">
        <v>6127</v>
      </c>
      <c r="K2861" s="8"/>
      <c r="L2861" s="8" t="s">
        <v>1659</v>
      </c>
      <c r="M2861" s="9">
        <f t="shared" si="1"/>
        <v>39</v>
      </c>
    </row>
    <row r="2862" ht="12.75" customHeight="1">
      <c r="A2862" s="4">
        <f t="shared" si="2"/>
        <v>2861</v>
      </c>
      <c r="B2862" s="4" t="s">
        <v>6166</v>
      </c>
      <c r="C2862" s="5" t="s">
        <v>6167</v>
      </c>
      <c r="D2862" s="4"/>
      <c r="E2862" s="4"/>
      <c r="F2862" s="4" t="s">
        <v>22</v>
      </c>
      <c r="G2862" s="21">
        <v>54.74</v>
      </c>
      <c r="H2862" s="7" t="s">
        <v>1606</v>
      </c>
      <c r="I2862" s="4" t="s">
        <v>6126</v>
      </c>
      <c r="J2862" s="4" t="s">
        <v>6127</v>
      </c>
      <c r="K2862" s="8"/>
      <c r="L2862" s="8" t="s">
        <v>1659</v>
      </c>
      <c r="M2862" s="9">
        <f t="shared" si="1"/>
        <v>41</v>
      </c>
    </row>
    <row r="2863" ht="12.75" customHeight="1">
      <c r="A2863" s="4">
        <f t="shared" si="2"/>
        <v>2862</v>
      </c>
      <c r="B2863" s="4" t="s">
        <v>6168</v>
      </c>
      <c r="C2863" s="5" t="s">
        <v>6169</v>
      </c>
      <c r="D2863" s="4"/>
      <c r="E2863" s="4"/>
      <c r="F2863" s="4" t="s">
        <v>22</v>
      </c>
      <c r="G2863" s="21">
        <v>359.05</v>
      </c>
      <c r="H2863" s="7" t="s">
        <v>1606</v>
      </c>
      <c r="I2863" s="4" t="s">
        <v>6126</v>
      </c>
      <c r="J2863" s="4" t="s">
        <v>6127</v>
      </c>
      <c r="K2863" s="8"/>
      <c r="L2863" s="8" t="s">
        <v>1659</v>
      </c>
      <c r="M2863" s="9">
        <f t="shared" si="1"/>
        <v>39</v>
      </c>
    </row>
    <row r="2864" ht="12.75" customHeight="1">
      <c r="A2864" s="4">
        <f t="shared" si="2"/>
        <v>2863</v>
      </c>
      <c r="B2864" s="4" t="s">
        <v>6170</v>
      </c>
      <c r="C2864" s="5" t="s">
        <v>6171</v>
      </c>
      <c r="D2864" s="4"/>
      <c r="E2864" s="4"/>
      <c r="F2864" s="4" t="s">
        <v>22</v>
      </c>
      <c r="G2864" s="21">
        <v>38.04</v>
      </c>
      <c r="H2864" s="7" t="s">
        <v>1606</v>
      </c>
      <c r="I2864" s="4" t="s">
        <v>6126</v>
      </c>
      <c r="J2864" s="4" t="s">
        <v>6127</v>
      </c>
      <c r="K2864" s="8"/>
      <c r="L2864" s="8" t="s">
        <v>6172</v>
      </c>
      <c r="M2864" s="9">
        <f t="shared" si="1"/>
        <v>56</v>
      </c>
    </row>
    <row r="2865" ht="12.75" customHeight="1">
      <c r="A2865" s="4">
        <f t="shared" si="2"/>
        <v>2864</v>
      </c>
      <c r="B2865" s="4" t="s">
        <v>6173</v>
      </c>
      <c r="C2865" s="5" t="s">
        <v>6174</v>
      </c>
      <c r="D2865" s="4"/>
      <c r="E2865" s="4"/>
      <c r="F2865" s="4" t="s">
        <v>22</v>
      </c>
      <c r="G2865" s="21">
        <v>29.87</v>
      </c>
      <c r="H2865" s="7" t="s">
        <v>1606</v>
      </c>
      <c r="I2865" s="4" t="s">
        <v>6126</v>
      </c>
      <c r="J2865" s="4" t="s">
        <v>6127</v>
      </c>
      <c r="K2865" s="8"/>
      <c r="L2865" s="8" t="s">
        <v>6172</v>
      </c>
      <c r="M2865" s="9">
        <f t="shared" si="1"/>
        <v>56</v>
      </c>
    </row>
    <row r="2866" ht="12.75" customHeight="1">
      <c r="A2866" s="4">
        <f t="shared" si="2"/>
        <v>2865</v>
      </c>
      <c r="B2866" s="4" t="s">
        <v>6175</v>
      </c>
      <c r="C2866" s="5" t="s">
        <v>6176</v>
      </c>
      <c r="D2866" s="4"/>
      <c r="E2866" s="4"/>
      <c r="F2866" s="4" t="s">
        <v>22</v>
      </c>
      <c r="G2866" s="21">
        <v>23.27</v>
      </c>
      <c r="H2866" s="7" t="s">
        <v>1606</v>
      </c>
      <c r="I2866" s="4" t="s">
        <v>6126</v>
      </c>
      <c r="J2866" s="4" t="s">
        <v>6127</v>
      </c>
      <c r="K2866" s="8"/>
      <c r="L2866" s="8" t="s">
        <v>6172</v>
      </c>
      <c r="M2866" s="9">
        <f t="shared" si="1"/>
        <v>52</v>
      </c>
    </row>
    <row r="2867" ht="12.75" customHeight="1">
      <c r="A2867" s="4">
        <f t="shared" si="2"/>
        <v>2866</v>
      </c>
      <c r="B2867" s="4" t="s">
        <v>6177</v>
      </c>
      <c r="C2867" s="5" t="s">
        <v>6178</v>
      </c>
      <c r="D2867" s="4"/>
      <c r="E2867" s="4"/>
      <c r="F2867" s="4" t="s">
        <v>22</v>
      </c>
      <c r="G2867" s="21">
        <v>11.98</v>
      </c>
      <c r="H2867" s="7" t="s">
        <v>1606</v>
      </c>
      <c r="I2867" s="4" t="s">
        <v>6126</v>
      </c>
      <c r="J2867" s="4" t="s">
        <v>6127</v>
      </c>
      <c r="K2867" s="8"/>
      <c r="L2867" s="8" t="s">
        <v>6172</v>
      </c>
      <c r="M2867" s="9">
        <f t="shared" si="1"/>
        <v>54</v>
      </c>
    </row>
    <row r="2868" ht="12.75" customHeight="1">
      <c r="A2868" s="4">
        <f t="shared" si="2"/>
        <v>2867</v>
      </c>
      <c r="B2868" s="4" t="s">
        <v>6179</v>
      </c>
      <c r="C2868" s="5" t="s">
        <v>6180</v>
      </c>
      <c r="D2868" s="4"/>
      <c r="E2868" s="4"/>
      <c r="F2868" s="4" t="s">
        <v>22</v>
      </c>
      <c r="G2868" s="21">
        <v>57.22</v>
      </c>
      <c r="H2868" s="7" t="s">
        <v>1606</v>
      </c>
      <c r="I2868" s="4" t="s">
        <v>6126</v>
      </c>
      <c r="J2868" s="4" t="s">
        <v>6127</v>
      </c>
      <c r="K2868" s="8"/>
      <c r="L2868" s="8" t="s">
        <v>6172</v>
      </c>
      <c r="M2868" s="9">
        <f t="shared" si="1"/>
        <v>52</v>
      </c>
    </row>
    <row r="2869" ht="12.75" customHeight="1">
      <c r="A2869" s="4">
        <f t="shared" si="2"/>
        <v>2868</v>
      </c>
      <c r="B2869" s="4" t="s">
        <v>6181</v>
      </c>
      <c r="C2869" s="5" t="s">
        <v>6182</v>
      </c>
      <c r="D2869" s="4"/>
      <c r="E2869" s="4"/>
      <c r="F2869" s="4" t="s">
        <v>22</v>
      </c>
      <c r="G2869" s="21">
        <v>110.84</v>
      </c>
      <c r="H2869" s="7" t="s">
        <v>1606</v>
      </c>
      <c r="I2869" s="4" t="s">
        <v>6126</v>
      </c>
      <c r="J2869" s="4" t="s">
        <v>6127</v>
      </c>
      <c r="K2869" s="8"/>
      <c r="L2869" s="8" t="s">
        <v>6172</v>
      </c>
      <c r="M2869" s="9">
        <f t="shared" si="1"/>
        <v>52</v>
      </c>
    </row>
    <row r="2870" ht="12.75" customHeight="1">
      <c r="A2870" s="4">
        <f t="shared" si="2"/>
        <v>2869</v>
      </c>
      <c r="B2870" s="4" t="s">
        <v>6183</v>
      </c>
      <c r="C2870" s="5" t="s">
        <v>6184</v>
      </c>
      <c r="D2870" s="4"/>
      <c r="E2870" s="4"/>
      <c r="F2870" s="4" t="s">
        <v>22</v>
      </c>
      <c r="G2870" s="21">
        <v>15.89</v>
      </c>
      <c r="H2870" s="7" t="s">
        <v>1606</v>
      </c>
      <c r="I2870" s="4" t="s">
        <v>6126</v>
      </c>
      <c r="J2870" s="4" t="s">
        <v>6127</v>
      </c>
      <c r="K2870" s="8"/>
      <c r="L2870" s="8" t="s">
        <v>6172</v>
      </c>
      <c r="M2870" s="9">
        <f t="shared" si="1"/>
        <v>54</v>
      </c>
    </row>
    <row r="2871" ht="12.75" customHeight="1">
      <c r="A2871" s="4">
        <f t="shared" si="2"/>
        <v>2870</v>
      </c>
      <c r="B2871" s="4" t="s">
        <v>6185</v>
      </c>
      <c r="C2871" s="5" t="s">
        <v>6186</v>
      </c>
      <c r="D2871" s="4"/>
      <c r="E2871" s="4"/>
      <c r="F2871" s="4" t="s">
        <v>22</v>
      </c>
      <c r="G2871" s="6">
        <v>163.54</v>
      </c>
      <c r="H2871" s="7" t="s">
        <v>1606</v>
      </c>
      <c r="I2871" s="4" t="s">
        <v>1574</v>
      </c>
      <c r="J2871" s="4" t="s">
        <v>1624</v>
      </c>
      <c r="K2871" s="8"/>
      <c r="L2871" s="8" t="s">
        <v>6172</v>
      </c>
      <c r="M2871" s="9">
        <f t="shared" si="1"/>
        <v>52</v>
      </c>
    </row>
    <row r="2872" ht="12.75" customHeight="1">
      <c r="A2872" s="4">
        <f t="shared" si="2"/>
        <v>2871</v>
      </c>
      <c r="B2872" s="4" t="s">
        <v>6187</v>
      </c>
      <c r="C2872" s="5" t="s">
        <v>6188</v>
      </c>
      <c r="D2872" s="4"/>
      <c r="E2872" s="4"/>
      <c r="F2872" s="4" t="s">
        <v>22</v>
      </c>
      <c r="G2872" s="6">
        <v>19.69</v>
      </c>
      <c r="H2872" s="7" t="s">
        <v>1606</v>
      </c>
      <c r="I2872" s="4" t="s">
        <v>6126</v>
      </c>
      <c r="J2872" s="4" t="s">
        <v>6189</v>
      </c>
      <c r="K2872" s="8"/>
      <c r="L2872" s="8" t="s">
        <v>33</v>
      </c>
      <c r="M2872" s="9">
        <f t="shared" si="1"/>
        <v>46</v>
      </c>
    </row>
    <row r="2873" ht="12.75" customHeight="1">
      <c r="A2873" s="4">
        <f t="shared" si="2"/>
        <v>2872</v>
      </c>
      <c r="B2873" s="4" t="s">
        <v>6190</v>
      </c>
      <c r="C2873" s="5" t="s">
        <v>6191</v>
      </c>
      <c r="D2873" s="4"/>
      <c r="E2873" s="4"/>
      <c r="F2873" s="4" t="s">
        <v>22</v>
      </c>
      <c r="G2873" s="6">
        <v>17.71</v>
      </c>
      <c r="H2873" s="7" t="s">
        <v>1606</v>
      </c>
      <c r="I2873" s="4" t="s">
        <v>6126</v>
      </c>
      <c r="J2873" s="4" t="s">
        <v>6189</v>
      </c>
      <c r="K2873" s="8"/>
      <c r="L2873" s="8" t="s">
        <v>33</v>
      </c>
      <c r="M2873" s="9">
        <f t="shared" si="1"/>
        <v>38</v>
      </c>
    </row>
    <row r="2874" ht="12.75" customHeight="1">
      <c r="A2874" s="4">
        <f t="shared" si="2"/>
        <v>2873</v>
      </c>
      <c r="B2874" s="4" t="s">
        <v>6192</v>
      </c>
      <c r="C2874" s="5" t="s">
        <v>6193</v>
      </c>
      <c r="D2874" s="4"/>
      <c r="E2874" s="4"/>
      <c r="F2874" s="4" t="s">
        <v>22</v>
      </c>
      <c r="G2874" s="6">
        <v>47.3</v>
      </c>
      <c r="H2874" s="7" t="s">
        <v>1606</v>
      </c>
      <c r="I2874" s="4" t="s">
        <v>6126</v>
      </c>
      <c r="J2874" s="4" t="s">
        <v>6189</v>
      </c>
      <c r="K2874" s="8"/>
      <c r="L2874" s="8" t="s">
        <v>33</v>
      </c>
      <c r="M2874" s="9">
        <f t="shared" si="1"/>
        <v>40</v>
      </c>
    </row>
    <row r="2875" ht="12.75" customHeight="1">
      <c r="A2875" s="4">
        <f t="shared" si="2"/>
        <v>2874</v>
      </c>
      <c r="B2875" s="4" t="s">
        <v>6194</v>
      </c>
      <c r="C2875" s="5" t="s">
        <v>6195</v>
      </c>
      <c r="D2875" s="4"/>
      <c r="E2875" s="4"/>
      <c r="F2875" s="4" t="s">
        <v>22</v>
      </c>
      <c r="G2875" s="6">
        <v>35.29</v>
      </c>
      <c r="H2875" s="7" t="s">
        <v>1606</v>
      </c>
      <c r="I2875" s="4" t="s">
        <v>6126</v>
      </c>
      <c r="J2875" s="4" t="s">
        <v>6189</v>
      </c>
      <c r="K2875" s="8"/>
      <c r="L2875" s="8" t="s">
        <v>33</v>
      </c>
      <c r="M2875" s="9">
        <f t="shared" si="1"/>
        <v>38</v>
      </c>
    </row>
    <row r="2876" ht="12.75" customHeight="1">
      <c r="A2876" s="4">
        <f t="shared" si="2"/>
        <v>2875</v>
      </c>
      <c r="B2876" s="4" t="s">
        <v>6196</v>
      </c>
      <c r="C2876" s="5" t="s">
        <v>6197</v>
      </c>
      <c r="D2876" s="4"/>
      <c r="E2876" s="4"/>
      <c r="F2876" s="4" t="s">
        <v>22</v>
      </c>
      <c r="G2876" s="6">
        <v>2.2</v>
      </c>
      <c r="H2876" s="7" t="s">
        <v>1606</v>
      </c>
      <c r="I2876" s="4" t="s">
        <v>2085</v>
      </c>
      <c r="J2876" s="4" t="s">
        <v>4164</v>
      </c>
      <c r="K2876" s="8"/>
      <c r="L2876" s="8" t="s">
        <v>33</v>
      </c>
      <c r="M2876" s="9">
        <f t="shared" si="1"/>
        <v>72</v>
      </c>
    </row>
    <row r="2877" ht="12.75" customHeight="1">
      <c r="A2877" s="4">
        <f t="shared" si="2"/>
        <v>2876</v>
      </c>
      <c r="B2877" s="4" t="s">
        <v>6198</v>
      </c>
      <c r="C2877" s="5" t="s">
        <v>6199</v>
      </c>
      <c r="D2877" s="4"/>
      <c r="E2877" s="4"/>
      <c r="F2877" s="4" t="s">
        <v>22</v>
      </c>
      <c r="G2877" s="6">
        <v>20.81</v>
      </c>
      <c r="H2877" s="7" t="s">
        <v>1606</v>
      </c>
      <c r="I2877" s="4" t="s">
        <v>6126</v>
      </c>
      <c r="J2877" s="4" t="s">
        <v>6200</v>
      </c>
      <c r="K2877" s="8"/>
      <c r="L2877" s="8" t="s">
        <v>2623</v>
      </c>
      <c r="M2877" s="9">
        <f t="shared" si="1"/>
        <v>28</v>
      </c>
    </row>
    <row r="2878" ht="12.75" customHeight="1">
      <c r="A2878" s="4">
        <f t="shared" si="2"/>
        <v>2877</v>
      </c>
      <c r="B2878" s="4" t="s">
        <v>6201</v>
      </c>
      <c r="C2878" s="5" t="s">
        <v>6202</v>
      </c>
      <c r="D2878" s="4"/>
      <c r="E2878" s="4"/>
      <c r="F2878" s="4" t="s">
        <v>22</v>
      </c>
      <c r="G2878" s="6">
        <v>14.32</v>
      </c>
      <c r="H2878" s="7" t="s">
        <v>1606</v>
      </c>
      <c r="I2878" s="4" t="s">
        <v>6126</v>
      </c>
      <c r="J2878" s="4" t="s">
        <v>6200</v>
      </c>
      <c r="K2878" s="8"/>
      <c r="L2878" s="8" t="s">
        <v>2623</v>
      </c>
      <c r="M2878" s="9">
        <f t="shared" si="1"/>
        <v>24</v>
      </c>
    </row>
    <row r="2879" ht="12.75" customHeight="1">
      <c r="A2879" s="4">
        <f t="shared" si="2"/>
        <v>2878</v>
      </c>
      <c r="B2879" s="4" t="s">
        <v>6203</v>
      </c>
      <c r="C2879" s="5" t="s">
        <v>6204</v>
      </c>
      <c r="D2879" s="4"/>
      <c r="E2879" s="4"/>
      <c r="F2879" s="4" t="s">
        <v>22</v>
      </c>
      <c r="G2879" s="6">
        <v>5.81</v>
      </c>
      <c r="H2879" s="7" t="s">
        <v>1606</v>
      </c>
      <c r="I2879" s="4" t="s">
        <v>6126</v>
      </c>
      <c r="J2879" s="4" t="s">
        <v>6200</v>
      </c>
      <c r="K2879" s="8"/>
      <c r="L2879" s="8" t="s">
        <v>2623</v>
      </c>
      <c r="M2879" s="9">
        <f t="shared" si="1"/>
        <v>26</v>
      </c>
    </row>
    <row r="2880" ht="12.75" customHeight="1">
      <c r="A2880" s="4">
        <f t="shared" si="2"/>
        <v>2879</v>
      </c>
      <c r="B2880" s="4" t="s">
        <v>6205</v>
      </c>
      <c r="C2880" s="5" t="s">
        <v>6206</v>
      </c>
      <c r="D2880" s="4"/>
      <c r="E2880" s="4"/>
      <c r="F2880" s="4" t="s">
        <v>22</v>
      </c>
      <c r="G2880" s="6">
        <v>10.0</v>
      </c>
      <c r="H2880" s="7" t="s">
        <v>1606</v>
      </c>
      <c r="I2880" s="4" t="s">
        <v>6126</v>
      </c>
      <c r="J2880" s="4" t="s">
        <v>6200</v>
      </c>
      <c r="K2880" s="8"/>
      <c r="L2880" s="8" t="s">
        <v>2623</v>
      </c>
      <c r="M2880" s="9">
        <f t="shared" si="1"/>
        <v>26</v>
      </c>
    </row>
    <row r="2881" ht="12.75" customHeight="1">
      <c r="A2881" s="4">
        <f t="shared" si="2"/>
        <v>2880</v>
      </c>
      <c r="B2881" s="4" t="s">
        <v>6207</v>
      </c>
      <c r="C2881" s="5" t="s">
        <v>6208</v>
      </c>
      <c r="D2881" s="4"/>
      <c r="E2881" s="4"/>
      <c r="F2881" s="4" t="s">
        <v>2391</v>
      </c>
      <c r="G2881" s="6">
        <v>4.67</v>
      </c>
      <c r="H2881" s="7" t="s">
        <v>1606</v>
      </c>
      <c r="I2881" s="4" t="s">
        <v>6126</v>
      </c>
      <c r="J2881" s="4" t="s">
        <v>6209</v>
      </c>
      <c r="K2881" s="8"/>
      <c r="L2881" s="8" t="s">
        <v>33</v>
      </c>
      <c r="M2881" s="9">
        <f t="shared" si="1"/>
        <v>31</v>
      </c>
    </row>
    <row r="2882" ht="12.75" customHeight="1">
      <c r="A2882" s="4">
        <f t="shared" si="2"/>
        <v>2881</v>
      </c>
      <c r="B2882" s="4" t="s">
        <v>6210</v>
      </c>
      <c r="C2882" s="5" t="s">
        <v>6211</v>
      </c>
      <c r="D2882" s="4"/>
      <c r="E2882" s="4"/>
      <c r="F2882" s="4" t="s">
        <v>2391</v>
      </c>
      <c r="G2882" s="6">
        <v>8.03</v>
      </c>
      <c r="H2882" s="7" t="s">
        <v>1606</v>
      </c>
      <c r="I2882" s="4" t="s">
        <v>6126</v>
      </c>
      <c r="J2882" s="4" t="s">
        <v>6209</v>
      </c>
      <c r="K2882" s="8"/>
      <c r="L2882" s="8" t="s">
        <v>33</v>
      </c>
      <c r="M2882" s="9">
        <f t="shared" si="1"/>
        <v>31</v>
      </c>
    </row>
    <row r="2883" ht="12.75" customHeight="1">
      <c r="A2883" s="4">
        <f t="shared" si="2"/>
        <v>2882</v>
      </c>
      <c r="B2883" s="4" t="s">
        <v>6212</v>
      </c>
      <c r="C2883" s="5" t="s">
        <v>6213</v>
      </c>
      <c r="D2883" s="4"/>
      <c r="E2883" s="4"/>
      <c r="F2883" s="4" t="s">
        <v>2391</v>
      </c>
      <c r="G2883" s="6">
        <v>10.81</v>
      </c>
      <c r="H2883" s="7" t="s">
        <v>1606</v>
      </c>
      <c r="I2883" s="4" t="s">
        <v>6126</v>
      </c>
      <c r="J2883" s="4" t="s">
        <v>6209</v>
      </c>
      <c r="K2883" s="8"/>
      <c r="L2883" s="8" t="s">
        <v>33</v>
      </c>
      <c r="M2883" s="9">
        <f t="shared" si="1"/>
        <v>25</v>
      </c>
    </row>
    <row r="2884" ht="12.75" customHeight="1">
      <c r="A2884" s="4">
        <f t="shared" si="2"/>
        <v>2883</v>
      </c>
      <c r="B2884" s="4" t="s">
        <v>6214</v>
      </c>
      <c r="C2884" s="5" t="s">
        <v>6215</v>
      </c>
      <c r="D2884" s="4"/>
      <c r="E2884" s="4"/>
      <c r="F2884" s="4" t="s">
        <v>2391</v>
      </c>
      <c r="G2884" s="6">
        <v>12.86</v>
      </c>
      <c r="H2884" s="7" t="s">
        <v>1606</v>
      </c>
      <c r="I2884" s="4" t="s">
        <v>6126</v>
      </c>
      <c r="J2884" s="4" t="s">
        <v>6209</v>
      </c>
      <c r="K2884" s="8"/>
      <c r="L2884" s="8" t="s">
        <v>33</v>
      </c>
      <c r="M2884" s="9">
        <f t="shared" si="1"/>
        <v>31</v>
      </c>
    </row>
    <row r="2885" ht="12.75" customHeight="1">
      <c r="A2885" s="4">
        <f t="shared" si="2"/>
        <v>2884</v>
      </c>
      <c r="B2885" s="4" t="s">
        <v>6216</v>
      </c>
      <c r="C2885" s="5" t="s">
        <v>6217</v>
      </c>
      <c r="D2885" s="4"/>
      <c r="E2885" s="4"/>
      <c r="F2885" s="4" t="s">
        <v>22</v>
      </c>
      <c r="G2885" s="6">
        <v>4.89</v>
      </c>
      <c r="H2885" s="7" t="s">
        <v>1606</v>
      </c>
      <c r="I2885" s="4" t="s">
        <v>6126</v>
      </c>
      <c r="J2885" s="4" t="s">
        <v>6218</v>
      </c>
      <c r="K2885" s="8"/>
      <c r="L2885" s="8" t="s">
        <v>2623</v>
      </c>
      <c r="M2885" s="9">
        <f t="shared" si="1"/>
        <v>38</v>
      </c>
    </row>
    <row r="2886" ht="12.75" customHeight="1">
      <c r="A2886" s="4">
        <f t="shared" si="2"/>
        <v>2885</v>
      </c>
      <c r="B2886" s="4" t="s">
        <v>6219</v>
      </c>
      <c r="C2886" s="5" t="s">
        <v>6220</v>
      </c>
      <c r="D2886" s="4"/>
      <c r="E2886" s="4"/>
      <c r="F2886" s="4" t="s">
        <v>22</v>
      </c>
      <c r="G2886" s="6">
        <v>2.63</v>
      </c>
      <c r="H2886" s="7" t="s">
        <v>1606</v>
      </c>
      <c r="I2886" s="4" t="s">
        <v>6126</v>
      </c>
      <c r="J2886" s="4" t="s">
        <v>6218</v>
      </c>
      <c r="K2886" s="8"/>
      <c r="L2886" s="8" t="s">
        <v>2623</v>
      </c>
      <c r="M2886" s="9">
        <f t="shared" si="1"/>
        <v>34</v>
      </c>
    </row>
    <row r="2887" ht="12.75" customHeight="1">
      <c r="A2887" s="4">
        <f t="shared" si="2"/>
        <v>2886</v>
      </c>
      <c r="B2887" s="4" t="s">
        <v>6221</v>
      </c>
      <c r="C2887" s="5" t="s">
        <v>6222</v>
      </c>
      <c r="D2887" s="4"/>
      <c r="E2887" s="4"/>
      <c r="F2887" s="4" t="s">
        <v>22</v>
      </c>
      <c r="G2887" s="6">
        <v>1.53</v>
      </c>
      <c r="H2887" s="7" t="s">
        <v>1606</v>
      </c>
      <c r="I2887" s="4" t="s">
        <v>6126</v>
      </c>
      <c r="J2887" s="4" t="s">
        <v>6218</v>
      </c>
      <c r="K2887" s="8"/>
      <c r="L2887" s="8" t="s">
        <v>2623</v>
      </c>
      <c r="M2887" s="9">
        <f t="shared" si="1"/>
        <v>36</v>
      </c>
    </row>
    <row r="2888" ht="12.75" customHeight="1">
      <c r="A2888" s="4">
        <f t="shared" si="2"/>
        <v>2887</v>
      </c>
      <c r="B2888" s="4" t="s">
        <v>6223</v>
      </c>
      <c r="C2888" s="5" t="s">
        <v>6224</v>
      </c>
      <c r="D2888" s="4"/>
      <c r="E2888" s="4"/>
      <c r="F2888" s="4" t="s">
        <v>22</v>
      </c>
      <c r="G2888" s="6">
        <v>7.09</v>
      </c>
      <c r="H2888" s="7" t="s">
        <v>1606</v>
      </c>
      <c r="I2888" s="4" t="s">
        <v>6126</v>
      </c>
      <c r="J2888" s="4" t="s">
        <v>6218</v>
      </c>
      <c r="K2888" s="8"/>
      <c r="L2888" s="8" t="s">
        <v>2623</v>
      </c>
      <c r="M2888" s="9">
        <f t="shared" si="1"/>
        <v>34</v>
      </c>
    </row>
    <row r="2889" ht="12.75" customHeight="1">
      <c r="A2889" s="4">
        <f t="shared" si="2"/>
        <v>2888</v>
      </c>
      <c r="B2889" s="4" t="s">
        <v>6225</v>
      </c>
      <c r="C2889" s="5" t="s">
        <v>6226</v>
      </c>
      <c r="D2889" s="4"/>
      <c r="E2889" s="4"/>
      <c r="F2889" s="4" t="s">
        <v>22</v>
      </c>
      <c r="G2889" s="6">
        <v>15.11</v>
      </c>
      <c r="H2889" s="7" t="s">
        <v>1606</v>
      </c>
      <c r="I2889" s="4" t="s">
        <v>6126</v>
      </c>
      <c r="J2889" s="4" t="s">
        <v>6218</v>
      </c>
      <c r="K2889" s="8"/>
      <c r="L2889" s="8" t="s">
        <v>2623</v>
      </c>
      <c r="M2889" s="9">
        <f t="shared" si="1"/>
        <v>34</v>
      </c>
    </row>
    <row r="2890" ht="12.75" customHeight="1">
      <c r="A2890" s="4">
        <f t="shared" si="2"/>
        <v>2889</v>
      </c>
      <c r="B2890" s="4" t="s">
        <v>6227</v>
      </c>
      <c r="C2890" s="5" t="s">
        <v>6228</v>
      </c>
      <c r="D2890" s="4"/>
      <c r="E2890" s="4"/>
      <c r="F2890" s="4" t="s">
        <v>22</v>
      </c>
      <c r="G2890" s="6">
        <v>1.39</v>
      </c>
      <c r="H2890" s="7" t="s">
        <v>1606</v>
      </c>
      <c r="I2890" s="4" t="s">
        <v>6126</v>
      </c>
      <c r="J2890" s="4" t="s">
        <v>6218</v>
      </c>
      <c r="K2890" s="8"/>
      <c r="L2890" s="8" t="s">
        <v>2623</v>
      </c>
      <c r="M2890" s="9">
        <f t="shared" si="1"/>
        <v>36</v>
      </c>
    </row>
    <row r="2891" ht="12.75" customHeight="1">
      <c r="A2891" s="4">
        <f t="shared" si="2"/>
        <v>2890</v>
      </c>
      <c r="B2891" s="4" t="s">
        <v>6229</v>
      </c>
      <c r="C2891" s="5" t="s">
        <v>6230</v>
      </c>
      <c r="D2891" s="4"/>
      <c r="E2891" s="4"/>
      <c r="F2891" s="4" t="s">
        <v>22</v>
      </c>
      <c r="G2891" s="6">
        <v>19.68</v>
      </c>
      <c r="H2891" s="7" t="s">
        <v>1606</v>
      </c>
      <c r="I2891" s="4" t="s">
        <v>6126</v>
      </c>
      <c r="J2891" s="4" t="s">
        <v>6218</v>
      </c>
      <c r="K2891" s="8"/>
      <c r="L2891" s="8" t="s">
        <v>2623</v>
      </c>
      <c r="M2891" s="9">
        <f t="shared" si="1"/>
        <v>34</v>
      </c>
    </row>
    <row r="2892" ht="12.75" customHeight="1">
      <c r="A2892" s="4">
        <f t="shared" si="2"/>
        <v>2891</v>
      </c>
      <c r="B2892" s="4" t="s">
        <v>6231</v>
      </c>
      <c r="C2892" s="5" t="s">
        <v>6232</v>
      </c>
      <c r="D2892" s="4"/>
      <c r="E2892" s="4"/>
      <c r="F2892" s="4" t="s">
        <v>22</v>
      </c>
      <c r="G2892" s="6">
        <v>31.78</v>
      </c>
      <c r="H2892" s="7" t="s">
        <v>1606</v>
      </c>
      <c r="I2892" s="4" t="s">
        <v>6126</v>
      </c>
      <c r="J2892" s="4" t="s">
        <v>6218</v>
      </c>
      <c r="K2892" s="8"/>
      <c r="L2892" s="8" t="s">
        <v>2623</v>
      </c>
      <c r="M2892" s="9">
        <f t="shared" si="1"/>
        <v>30</v>
      </c>
    </row>
    <row r="2893" ht="12.75" customHeight="1">
      <c r="A2893" s="4">
        <f t="shared" si="2"/>
        <v>2892</v>
      </c>
      <c r="B2893" s="4" t="s">
        <v>6233</v>
      </c>
      <c r="C2893" s="5" t="s">
        <v>6234</v>
      </c>
      <c r="D2893" s="4"/>
      <c r="E2893" s="4"/>
      <c r="F2893" s="4" t="s">
        <v>22</v>
      </c>
      <c r="G2893" s="6">
        <v>16.35</v>
      </c>
      <c r="H2893" s="7" t="s">
        <v>1606</v>
      </c>
      <c r="I2893" s="4" t="s">
        <v>6126</v>
      </c>
      <c r="J2893" s="4" t="s">
        <v>6218</v>
      </c>
      <c r="K2893" s="8"/>
      <c r="L2893" s="8" t="s">
        <v>2623</v>
      </c>
      <c r="M2893" s="9">
        <f t="shared" si="1"/>
        <v>32</v>
      </c>
    </row>
    <row r="2894" ht="12.75" customHeight="1">
      <c r="A2894" s="4">
        <f t="shared" si="2"/>
        <v>2893</v>
      </c>
      <c r="B2894" s="4" t="s">
        <v>6235</v>
      </c>
      <c r="C2894" s="5" t="s">
        <v>6236</v>
      </c>
      <c r="D2894" s="4"/>
      <c r="E2894" s="4"/>
      <c r="F2894" s="4" t="s">
        <v>22</v>
      </c>
      <c r="G2894" s="6">
        <v>65.41</v>
      </c>
      <c r="H2894" s="7" t="s">
        <v>1606</v>
      </c>
      <c r="I2894" s="4" t="s">
        <v>6126</v>
      </c>
      <c r="J2894" s="4" t="s">
        <v>6218</v>
      </c>
      <c r="K2894" s="8"/>
      <c r="L2894" s="8" t="s">
        <v>2623</v>
      </c>
      <c r="M2894" s="9">
        <f t="shared" si="1"/>
        <v>30</v>
      </c>
    </row>
    <row r="2895" ht="12.75" customHeight="1">
      <c r="A2895" s="4">
        <f t="shared" si="2"/>
        <v>2894</v>
      </c>
      <c r="B2895" s="4" t="s">
        <v>6237</v>
      </c>
      <c r="C2895" s="5" t="s">
        <v>6238</v>
      </c>
      <c r="D2895" s="4"/>
      <c r="E2895" s="4"/>
      <c r="F2895" s="4" t="s">
        <v>22</v>
      </c>
      <c r="G2895" s="6">
        <v>21.35</v>
      </c>
      <c r="H2895" s="7" t="s">
        <v>1606</v>
      </c>
      <c r="I2895" s="4" t="s">
        <v>1623</v>
      </c>
      <c r="J2895" s="4" t="s">
        <v>3029</v>
      </c>
      <c r="K2895" s="8"/>
      <c r="L2895" s="8" t="s">
        <v>2623</v>
      </c>
      <c r="M2895" s="9">
        <f t="shared" si="1"/>
        <v>32</v>
      </c>
    </row>
    <row r="2896" ht="12.75" customHeight="1">
      <c r="A2896" s="4">
        <f t="shared" si="2"/>
        <v>2895</v>
      </c>
      <c r="B2896" s="4" t="s">
        <v>6239</v>
      </c>
      <c r="C2896" s="5" t="s">
        <v>6240</v>
      </c>
      <c r="D2896" s="4"/>
      <c r="E2896" s="4"/>
      <c r="F2896" s="4" t="s">
        <v>22</v>
      </c>
      <c r="G2896" s="6">
        <v>172.62</v>
      </c>
      <c r="H2896" s="7" t="s">
        <v>1606</v>
      </c>
      <c r="I2896" s="4" t="s">
        <v>1623</v>
      </c>
      <c r="J2896" s="4" t="s">
        <v>3029</v>
      </c>
      <c r="K2896" s="8"/>
      <c r="L2896" s="8" t="s">
        <v>2623</v>
      </c>
      <c r="M2896" s="9">
        <f t="shared" si="1"/>
        <v>30</v>
      </c>
    </row>
    <row r="2897" ht="12.75" customHeight="1">
      <c r="A2897" s="4">
        <f t="shared" si="2"/>
        <v>2896</v>
      </c>
      <c r="B2897" s="4" t="s">
        <v>6241</v>
      </c>
      <c r="C2897" s="5" t="s">
        <v>6242</v>
      </c>
      <c r="D2897" s="4"/>
      <c r="E2897" s="4"/>
      <c r="F2897" s="4" t="s">
        <v>22</v>
      </c>
      <c r="G2897" s="6">
        <v>322.54</v>
      </c>
      <c r="H2897" s="7" t="s">
        <v>1606</v>
      </c>
      <c r="I2897" s="4" t="s">
        <v>1623</v>
      </c>
      <c r="J2897" s="4" t="s">
        <v>3029</v>
      </c>
      <c r="K2897" s="8"/>
      <c r="L2897" s="8" t="s">
        <v>2623</v>
      </c>
      <c r="M2897" s="9">
        <f t="shared" si="1"/>
        <v>30</v>
      </c>
    </row>
    <row r="2898" ht="12.75" customHeight="1">
      <c r="A2898" s="4">
        <f t="shared" si="2"/>
        <v>2897</v>
      </c>
      <c r="B2898" s="4" t="s">
        <v>6243</v>
      </c>
      <c r="C2898" s="5" t="s">
        <v>6244</v>
      </c>
      <c r="D2898" s="4"/>
      <c r="E2898" s="4"/>
      <c r="F2898" s="4" t="s">
        <v>22</v>
      </c>
      <c r="G2898" s="6">
        <v>54.51</v>
      </c>
      <c r="H2898" s="7" t="s">
        <v>1606</v>
      </c>
      <c r="I2898" s="4" t="s">
        <v>6126</v>
      </c>
      <c r="J2898" s="4" t="s">
        <v>6218</v>
      </c>
      <c r="K2898" s="8"/>
      <c r="L2898" s="8" t="s">
        <v>2623</v>
      </c>
      <c r="M2898" s="9">
        <f t="shared" si="1"/>
        <v>35</v>
      </c>
    </row>
    <row r="2899" ht="12.75" customHeight="1">
      <c r="A2899" s="4">
        <f t="shared" si="2"/>
        <v>2898</v>
      </c>
      <c r="B2899" s="4" t="s">
        <v>6245</v>
      </c>
      <c r="C2899" s="5" t="s">
        <v>6246</v>
      </c>
      <c r="D2899" s="4"/>
      <c r="E2899" s="4"/>
      <c r="F2899" s="4" t="s">
        <v>22</v>
      </c>
      <c r="G2899" s="6">
        <v>31.78</v>
      </c>
      <c r="H2899" s="7" t="s">
        <v>1606</v>
      </c>
      <c r="I2899" s="4" t="s">
        <v>6126</v>
      </c>
      <c r="J2899" s="4" t="s">
        <v>6218</v>
      </c>
      <c r="K2899" s="8"/>
      <c r="L2899" s="8" t="s">
        <v>2623</v>
      </c>
      <c r="M2899" s="9">
        <f t="shared" si="1"/>
        <v>30</v>
      </c>
    </row>
    <row r="2900" ht="12.75" customHeight="1">
      <c r="A2900" s="4">
        <f t="shared" si="2"/>
        <v>2899</v>
      </c>
      <c r="B2900" s="4" t="s">
        <v>6247</v>
      </c>
      <c r="C2900" s="5" t="s">
        <v>6248</v>
      </c>
      <c r="D2900" s="4"/>
      <c r="E2900" s="4"/>
      <c r="F2900" s="4" t="s">
        <v>22</v>
      </c>
      <c r="G2900" s="6">
        <v>104.49</v>
      </c>
      <c r="H2900" s="7" t="s">
        <v>1606</v>
      </c>
      <c r="I2900" s="4" t="s">
        <v>6126</v>
      </c>
      <c r="J2900" s="4" t="s">
        <v>6218</v>
      </c>
      <c r="K2900" s="8"/>
      <c r="L2900" s="8" t="s">
        <v>2623</v>
      </c>
      <c r="M2900" s="9">
        <f t="shared" si="1"/>
        <v>30</v>
      </c>
    </row>
    <row r="2901" ht="12.75" customHeight="1">
      <c r="A2901" s="4">
        <f t="shared" si="2"/>
        <v>2900</v>
      </c>
      <c r="B2901" s="4" t="s">
        <v>6249</v>
      </c>
      <c r="C2901" s="5" t="s">
        <v>6250</v>
      </c>
      <c r="D2901" s="4"/>
      <c r="E2901" s="4"/>
      <c r="F2901" s="4" t="s">
        <v>22</v>
      </c>
      <c r="G2901" s="6">
        <v>36.32</v>
      </c>
      <c r="H2901" s="7" t="s">
        <v>1606</v>
      </c>
      <c r="I2901" s="4" t="s">
        <v>6126</v>
      </c>
      <c r="J2901" s="4" t="s">
        <v>6218</v>
      </c>
      <c r="K2901" s="8"/>
      <c r="L2901" s="8" t="s">
        <v>2623</v>
      </c>
      <c r="M2901" s="9">
        <f t="shared" si="1"/>
        <v>32</v>
      </c>
    </row>
    <row r="2902" ht="12.75" customHeight="1">
      <c r="A2902" s="4">
        <f t="shared" si="2"/>
        <v>2901</v>
      </c>
      <c r="B2902" s="4" t="s">
        <v>6251</v>
      </c>
      <c r="C2902" s="5" t="s">
        <v>6252</v>
      </c>
      <c r="D2902" s="4"/>
      <c r="E2902" s="4"/>
      <c r="F2902" s="4" t="s">
        <v>22</v>
      </c>
      <c r="G2902" s="6">
        <v>108.11</v>
      </c>
      <c r="H2902" s="7" t="s">
        <v>1606</v>
      </c>
      <c r="I2902" s="4" t="s">
        <v>6126</v>
      </c>
      <c r="J2902" s="4" t="s">
        <v>6253</v>
      </c>
      <c r="K2902" s="8"/>
      <c r="L2902" s="8" t="s">
        <v>33</v>
      </c>
      <c r="M2902" s="9">
        <f t="shared" si="1"/>
        <v>40</v>
      </c>
    </row>
    <row r="2903" ht="12.75" customHeight="1">
      <c r="A2903" s="4">
        <f t="shared" si="2"/>
        <v>2902</v>
      </c>
      <c r="B2903" s="4" t="s">
        <v>6254</v>
      </c>
      <c r="C2903" s="5" t="s">
        <v>6255</v>
      </c>
      <c r="D2903" s="4"/>
      <c r="E2903" s="4"/>
      <c r="F2903" s="4" t="s">
        <v>22</v>
      </c>
      <c r="G2903" s="6">
        <v>62.16</v>
      </c>
      <c r="H2903" s="7" t="s">
        <v>1606</v>
      </c>
      <c r="I2903" s="4" t="s">
        <v>6126</v>
      </c>
      <c r="J2903" s="4" t="s">
        <v>6253</v>
      </c>
      <c r="K2903" s="8"/>
      <c r="L2903" s="8" t="s">
        <v>33</v>
      </c>
      <c r="M2903" s="9">
        <f t="shared" si="1"/>
        <v>41</v>
      </c>
    </row>
    <row r="2904" ht="12.75" customHeight="1">
      <c r="A2904" s="4">
        <f t="shared" si="2"/>
        <v>2903</v>
      </c>
      <c r="B2904" s="4" t="s">
        <v>6256</v>
      </c>
      <c r="C2904" s="5" t="s">
        <v>6257</v>
      </c>
      <c r="D2904" s="4"/>
      <c r="E2904" s="4"/>
      <c r="F2904" s="4" t="s">
        <v>22</v>
      </c>
      <c r="G2904" s="6">
        <v>54.05</v>
      </c>
      <c r="H2904" s="7" t="s">
        <v>1606</v>
      </c>
      <c r="I2904" s="4" t="s">
        <v>6126</v>
      </c>
      <c r="J2904" s="4" t="s">
        <v>6253</v>
      </c>
      <c r="K2904" s="8"/>
      <c r="L2904" s="8" t="s">
        <v>33</v>
      </c>
      <c r="M2904" s="9">
        <f t="shared" si="1"/>
        <v>40</v>
      </c>
    </row>
    <row r="2905" ht="12.75" customHeight="1">
      <c r="A2905" s="4">
        <f t="shared" si="2"/>
        <v>2904</v>
      </c>
      <c r="B2905" s="4" t="s">
        <v>6258</v>
      </c>
      <c r="C2905" s="5" t="s">
        <v>6259</v>
      </c>
      <c r="D2905" s="4"/>
      <c r="E2905" s="4"/>
      <c r="F2905" s="4" t="s">
        <v>22</v>
      </c>
      <c r="G2905" s="6">
        <v>38.65</v>
      </c>
      <c r="H2905" s="7" t="s">
        <v>1606</v>
      </c>
      <c r="I2905" s="4" t="s">
        <v>6126</v>
      </c>
      <c r="J2905" s="4" t="s">
        <v>6253</v>
      </c>
      <c r="K2905" s="8"/>
      <c r="L2905" s="8" t="s">
        <v>33</v>
      </c>
      <c r="M2905" s="9">
        <f t="shared" si="1"/>
        <v>41</v>
      </c>
    </row>
    <row r="2906" ht="12.75" customHeight="1">
      <c r="A2906" s="4">
        <f t="shared" si="2"/>
        <v>2905</v>
      </c>
      <c r="B2906" s="4" t="s">
        <v>6260</v>
      </c>
      <c r="C2906" s="5" t="s">
        <v>6261</v>
      </c>
      <c r="D2906" s="4"/>
      <c r="E2906" s="4"/>
      <c r="F2906" s="4" t="s">
        <v>22</v>
      </c>
      <c r="G2906" s="6">
        <v>105.41</v>
      </c>
      <c r="H2906" s="7" t="s">
        <v>1606</v>
      </c>
      <c r="I2906" s="4" t="s">
        <v>6126</v>
      </c>
      <c r="J2906" s="4" t="s">
        <v>6253</v>
      </c>
      <c r="K2906" s="8"/>
      <c r="L2906" s="8" t="s">
        <v>33</v>
      </c>
      <c r="M2906" s="9">
        <f t="shared" si="1"/>
        <v>36</v>
      </c>
    </row>
    <row r="2907" ht="12.75" customHeight="1">
      <c r="A2907" s="4">
        <f t="shared" si="2"/>
        <v>2906</v>
      </c>
      <c r="B2907" s="4" t="s">
        <v>6262</v>
      </c>
      <c r="C2907" s="5" t="s">
        <v>6263</v>
      </c>
      <c r="D2907" s="4"/>
      <c r="E2907" s="4"/>
      <c r="F2907" s="4" t="s">
        <v>22</v>
      </c>
      <c r="G2907" s="6">
        <v>26.22</v>
      </c>
      <c r="H2907" s="7" t="s">
        <v>1606</v>
      </c>
      <c r="I2907" s="4" t="s">
        <v>6126</v>
      </c>
      <c r="J2907" s="4" t="s">
        <v>6253</v>
      </c>
      <c r="K2907" s="8"/>
      <c r="L2907" s="8" t="s">
        <v>33</v>
      </c>
      <c r="M2907" s="9">
        <f t="shared" si="1"/>
        <v>37</v>
      </c>
    </row>
    <row r="2908" ht="12.75" customHeight="1">
      <c r="A2908" s="4">
        <f t="shared" si="2"/>
        <v>2907</v>
      </c>
      <c r="B2908" s="4" t="s">
        <v>6264</v>
      </c>
      <c r="C2908" s="5" t="s">
        <v>6265</v>
      </c>
      <c r="D2908" s="4"/>
      <c r="E2908" s="4"/>
      <c r="F2908" s="4" t="s">
        <v>22</v>
      </c>
      <c r="G2908" s="6">
        <v>72.97</v>
      </c>
      <c r="H2908" s="7" t="s">
        <v>1606</v>
      </c>
      <c r="I2908" s="4" t="s">
        <v>6126</v>
      </c>
      <c r="J2908" s="4" t="s">
        <v>6253</v>
      </c>
      <c r="K2908" s="8"/>
      <c r="L2908" s="8" t="s">
        <v>33</v>
      </c>
      <c r="M2908" s="9">
        <f t="shared" si="1"/>
        <v>38</v>
      </c>
    </row>
    <row r="2909" ht="12.75" customHeight="1">
      <c r="A2909" s="4">
        <f t="shared" si="2"/>
        <v>2908</v>
      </c>
      <c r="B2909" s="4" t="s">
        <v>6266</v>
      </c>
      <c r="C2909" s="5" t="s">
        <v>6267</v>
      </c>
      <c r="D2909" s="4"/>
      <c r="E2909" s="4"/>
      <c r="F2909" s="4" t="s">
        <v>22</v>
      </c>
      <c r="G2909" s="6">
        <v>18.92</v>
      </c>
      <c r="H2909" s="7" t="s">
        <v>1606</v>
      </c>
      <c r="I2909" s="4" t="s">
        <v>6126</v>
      </c>
      <c r="J2909" s="4" t="s">
        <v>6253</v>
      </c>
      <c r="K2909" s="8"/>
      <c r="L2909" s="8" t="s">
        <v>33</v>
      </c>
      <c r="M2909" s="9">
        <f t="shared" si="1"/>
        <v>39</v>
      </c>
    </row>
    <row r="2910" ht="12.75" customHeight="1">
      <c r="A2910" s="4">
        <f t="shared" si="2"/>
        <v>2909</v>
      </c>
      <c r="B2910" s="4" t="s">
        <v>6268</v>
      </c>
      <c r="C2910" s="5" t="s">
        <v>6269</v>
      </c>
      <c r="D2910" s="4"/>
      <c r="E2910" s="4"/>
      <c r="F2910" s="4" t="s">
        <v>22</v>
      </c>
      <c r="G2910" s="6">
        <v>175.68</v>
      </c>
      <c r="H2910" s="7" t="s">
        <v>1606</v>
      </c>
      <c r="I2910" s="4" t="s">
        <v>6126</v>
      </c>
      <c r="J2910" s="4" t="s">
        <v>6253</v>
      </c>
      <c r="K2910" s="8"/>
      <c r="L2910" s="8" t="s">
        <v>33</v>
      </c>
      <c r="M2910" s="9">
        <f t="shared" si="1"/>
        <v>40</v>
      </c>
    </row>
    <row r="2911" ht="12.75" customHeight="1">
      <c r="A2911" s="4">
        <f t="shared" si="2"/>
        <v>2910</v>
      </c>
      <c r="B2911" s="4" t="s">
        <v>6270</v>
      </c>
      <c r="C2911" s="5" t="s">
        <v>6271</v>
      </c>
      <c r="D2911" s="4"/>
      <c r="E2911" s="4"/>
      <c r="F2911" s="4" t="s">
        <v>22</v>
      </c>
      <c r="G2911" s="6">
        <v>70.27</v>
      </c>
      <c r="H2911" s="7" t="s">
        <v>1606</v>
      </c>
      <c r="I2911" s="4" t="s">
        <v>6126</v>
      </c>
      <c r="J2911" s="4" t="s">
        <v>6253</v>
      </c>
      <c r="K2911" s="8"/>
      <c r="L2911" s="8" t="s">
        <v>33</v>
      </c>
      <c r="M2911" s="9">
        <f t="shared" si="1"/>
        <v>41</v>
      </c>
    </row>
    <row r="2912" ht="12.75" customHeight="1">
      <c r="A2912" s="4">
        <f t="shared" si="2"/>
        <v>2911</v>
      </c>
      <c r="B2912" s="4" t="s">
        <v>6272</v>
      </c>
      <c r="C2912" s="5" t="s">
        <v>6273</v>
      </c>
      <c r="D2912" s="4"/>
      <c r="E2912" s="4"/>
      <c r="F2912" s="4" t="s">
        <v>22</v>
      </c>
      <c r="G2912" s="6">
        <v>121.62</v>
      </c>
      <c r="H2912" s="7" t="s">
        <v>1606</v>
      </c>
      <c r="I2912" s="4" t="s">
        <v>6126</v>
      </c>
      <c r="J2912" s="4" t="s">
        <v>6253</v>
      </c>
      <c r="K2912" s="8"/>
      <c r="L2912" s="8" t="s">
        <v>33</v>
      </c>
      <c r="M2912" s="9">
        <f t="shared" si="1"/>
        <v>36</v>
      </c>
    </row>
    <row r="2913" ht="12.75" customHeight="1">
      <c r="A2913" s="4">
        <f t="shared" si="2"/>
        <v>2912</v>
      </c>
      <c r="B2913" s="4" t="s">
        <v>6274</v>
      </c>
      <c r="C2913" s="5" t="s">
        <v>6275</v>
      </c>
      <c r="D2913" s="4"/>
      <c r="E2913" s="4"/>
      <c r="F2913" s="4" t="s">
        <v>22</v>
      </c>
      <c r="G2913" s="6">
        <v>54.05</v>
      </c>
      <c r="H2913" s="7" t="s">
        <v>1606</v>
      </c>
      <c r="I2913" s="4" t="s">
        <v>6126</v>
      </c>
      <c r="J2913" s="4" t="s">
        <v>6253</v>
      </c>
      <c r="K2913" s="8"/>
      <c r="L2913" s="8" t="s">
        <v>33</v>
      </c>
      <c r="M2913" s="9">
        <f t="shared" si="1"/>
        <v>37</v>
      </c>
    </row>
    <row r="2914" ht="12.75" customHeight="1">
      <c r="A2914" s="4">
        <f t="shared" si="2"/>
        <v>2913</v>
      </c>
      <c r="B2914" s="4" t="s">
        <v>6276</v>
      </c>
      <c r="C2914" s="5" t="s">
        <v>6277</v>
      </c>
      <c r="D2914" s="4"/>
      <c r="E2914" s="4"/>
      <c r="F2914" s="4" t="s">
        <v>22</v>
      </c>
      <c r="G2914" s="21">
        <v>186.49</v>
      </c>
      <c r="H2914" s="7" t="s">
        <v>1606</v>
      </c>
      <c r="I2914" s="4" t="s">
        <v>6126</v>
      </c>
      <c r="J2914" s="4" t="s">
        <v>6253</v>
      </c>
      <c r="K2914" s="8"/>
      <c r="L2914" s="8" t="s">
        <v>33</v>
      </c>
      <c r="M2914" s="9">
        <f t="shared" si="1"/>
        <v>36</v>
      </c>
    </row>
    <row r="2915" ht="12.75" customHeight="1">
      <c r="A2915" s="4">
        <f t="shared" si="2"/>
        <v>2914</v>
      </c>
      <c r="B2915" s="4" t="s">
        <v>6278</v>
      </c>
      <c r="C2915" s="5" t="s">
        <v>6279</v>
      </c>
      <c r="D2915" s="4"/>
      <c r="E2915" s="4"/>
      <c r="F2915" s="4" t="s">
        <v>22</v>
      </c>
      <c r="G2915" s="6">
        <v>94.59</v>
      </c>
      <c r="H2915" s="7" t="s">
        <v>1606</v>
      </c>
      <c r="I2915" s="4" t="s">
        <v>6126</v>
      </c>
      <c r="J2915" s="4" t="s">
        <v>6253</v>
      </c>
      <c r="K2915" s="8"/>
      <c r="L2915" s="8" t="s">
        <v>33</v>
      </c>
      <c r="M2915" s="9">
        <f t="shared" si="1"/>
        <v>37</v>
      </c>
    </row>
    <row r="2916" ht="12.75" customHeight="1">
      <c r="A2916" s="4">
        <f t="shared" si="2"/>
        <v>2915</v>
      </c>
      <c r="B2916" s="4" t="s">
        <v>6280</v>
      </c>
      <c r="C2916" s="5" t="s">
        <v>6281</v>
      </c>
      <c r="D2916" s="4"/>
      <c r="E2916" s="4"/>
      <c r="F2916" s="4" t="s">
        <v>22</v>
      </c>
      <c r="G2916" s="6">
        <v>19.14</v>
      </c>
      <c r="H2916" s="7" t="s">
        <v>1606</v>
      </c>
      <c r="I2916" s="4" t="s">
        <v>6126</v>
      </c>
      <c r="J2916" s="4" t="s">
        <v>6253</v>
      </c>
      <c r="K2916" s="8"/>
      <c r="L2916" s="8" t="s">
        <v>33</v>
      </c>
      <c r="M2916" s="9">
        <f t="shared" si="1"/>
        <v>38</v>
      </c>
    </row>
    <row r="2917" ht="12.75" customHeight="1">
      <c r="A2917" s="4">
        <f t="shared" si="2"/>
        <v>2916</v>
      </c>
      <c r="B2917" s="4" t="s">
        <v>6282</v>
      </c>
      <c r="C2917" s="5" t="s">
        <v>6283</v>
      </c>
      <c r="D2917" s="4"/>
      <c r="E2917" s="4"/>
      <c r="F2917" s="4" t="s">
        <v>22</v>
      </c>
      <c r="G2917" s="6">
        <v>22.97</v>
      </c>
      <c r="H2917" s="7" t="s">
        <v>1606</v>
      </c>
      <c r="I2917" s="4" t="s">
        <v>6126</v>
      </c>
      <c r="J2917" s="4" t="s">
        <v>6253</v>
      </c>
      <c r="K2917" s="8"/>
      <c r="L2917" s="8" t="s">
        <v>33</v>
      </c>
      <c r="M2917" s="9">
        <f t="shared" si="1"/>
        <v>39</v>
      </c>
    </row>
    <row r="2918" ht="12.75" customHeight="1">
      <c r="A2918" s="4">
        <f t="shared" si="2"/>
        <v>2917</v>
      </c>
      <c r="B2918" s="4" t="s">
        <v>6284</v>
      </c>
      <c r="C2918" s="5" t="s">
        <v>6285</v>
      </c>
      <c r="D2918" s="4"/>
      <c r="E2918" s="4"/>
      <c r="F2918" s="4" t="s">
        <v>22</v>
      </c>
      <c r="G2918" s="6">
        <v>351.35</v>
      </c>
      <c r="H2918" s="7" t="s">
        <v>1606</v>
      </c>
      <c r="I2918" s="4" t="s">
        <v>6126</v>
      </c>
      <c r="J2918" s="4" t="s">
        <v>6253</v>
      </c>
      <c r="K2918" s="8"/>
      <c r="L2918" s="8" t="s">
        <v>33</v>
      </c>
      <c r="M2918" s="9">
        <f t="shared" si="1"/>
        <v>36</v>
      </c>
    </row>
    <row r="2919" ht="12.75" customHeight="1">
      <c r="A2919" s="4">
        <f t="shared" si="2"/>
        <v>2918</v>
      </c>
      <c r="B2919" s="4" t="s">
        <v>6286</v>
      </c>
      <c r="C2919" s="5" t="s">
        <v>6287</v>
      </c>
      <c r="D2919" s="4"/>
      <c r="E2919" s="4"/>
      <c r="F2919" s="4" t="s">
        <v>22</v>
      </c>
      <c r="G2919" s="21">
        <v>131.62</v>
      </c>
      <c r="H2919" s="7" t="s">
        <v>1606</v>
      </c>
      <c r="I2919" s="4" t="s">
        <v>6126</v>
      </c>
      <c r="J2919" s="4" t="s">
        <v>6253</v>
      </c>
      <c r="K2919" s="8"/>
      <c r="L2919" s="8" t="s">
        <v>33</v>
      </c>
      <c r="M2919" s="9">
        <f t="shared" si="1"/>
        <v>37</v>
      </c>
    </row>
    <row r="2920" ht="12.75" customHeight="1">
      <c r="A2920" s="4">
        <f t="shared" si="2"/>
        <v>2919</v>
      </c>
      <c r="B2920" s="4" t="s">
        <v>6288</v>
      </c>
      <c r="C2920" s="5" t="s">
        <v>6289</v>
      </c>
      <c r="D2920" s="4"/>
      <c r="E2920" s="4"/>
      <c r="F2920" s="4" t="s">
        <v>22</v>
      </c>
      <c r="G2920" s="21">
        <v>28.11</v>
      </c>
      <c r="H2920" s="7" t="s">
        <v>1606</v>
      </c>
      <c r="I2920" s="4" t="s">
        <v>6126</v>
      </c>
      <c r="J2920" s="4" t="s">
        <v>6189</v>
      </c>
      <c r="K2920" s="8"/>
      <c r="L2920" s="8" t="s">
        <v>33</v>
      </c>
      <c r="M2920" s="9">
        <f t="shared" si="1"/>
        <v>46</v>
      </c>
    </row>
    <row r="2921" ht="12.75" customHeight="1">
      <c r="A2921" s="4">
        <f t="shared" si="2"/>
        <v>2920</v>
      </c>
      <c r="B2921" s="4" t="s">
        <v>6290</v>
      </c>
      <c r="C2921" s="5" t="s">
        <v>6291</v>
      </c>
      <c r="D2921" s="4"/>
      <c r="E2921" s="4"/>
      <c r="F2921" s="4" t="s">
        <v>22</v>
      </c>
      <c r="G2921" s="6">
        <v>22.99</v>
      </c>
      <c r="H2921" s="7" t="s">
        <v>1606</v>
      </c>
      <c r="I2921" s="4" t="s">
        <v>6126</v>
      </c>
      <c r="J2921" s="4" t="s">
        <v>6189</v>
      </c>
      <c r="K2921" s="8"/>
      <c r="L2921" s="8" t="s">
        <v>33</v>
      </c>
      <c r="M2921" s="9">
        <f t="shared" si="1"/>
        <v>46</v>
      </c>
    </row>
    <row r="2922" ht="12.75" customHeight="1">
      <c r="A2922" s="4">
        <f t="shared" si="2"/>
        <v>2921</v>
      </c>
      <c r="B2922" s="4" t="s">
        <v>6292</v>
      </c>
      <c r="C2922" s="5" t="s">
        <v>6293</v>
      </c>
      <c r="D2922" s="4"/>
      <c r="E2922" s="4"/>
      <c r="F2922" s="4" t="s">
        <v>22</v>
      </c>
      <c r="G2922" s="21">
        <v>24.54</v>
      </c>
      <c r="H2922" s="7" t="s">
        <v>1606</v>
      </c>
      <c r="I2922" s="4" t="s">
        <v>6126</v>
      </c>
      <c r="J2922" s="4" t="s">
        <v>6189</v>
      </c>
      <c r="K2922" s="8"/>
      <c r="L2922" s="8" t="s">
        <v>33</v>
      </c>
      <c r="M2922" s="9">
        <f t="shared" si="1"/>
        <v>42</v>
      </c>
    </row>
    <row r="2923" ht="12.75" customHeight="1">
      <c r="A2923" s="4">
        <f t="shared" si="2"/>
        <v>2922</v>
      </c>
      <c r="B2923" s="4" t="s">
        <v>6294</v>
      </c>
      <c r="C2923" s="5" t="s">
        <v>6295</v>
      </c>
      <c r="D2923" s="4"/>
      <c r="E2923" s="4"/>
      <c r="F2923" s="4" t="s">
        <v>22</v>
      </c>
      <c r="G2923" s="21">
        <v>10.63</v>
      </c>
      <c r="H2923" s="7" t="s">
        <v>1606</v>
      </c>
      <c r="I2923" s="4" t="s">
        <v>6126</v>
      </c>
      <c r="J2923" s="4" t="s">
        <v>6189</v>
      </c>
      <c r="K2923" s="8"/>
      <c r="L2923" s="8" t="s">
        <v>33</v>
      </c>
      <c r="M2923" s="9">
        <f t="shared" si="1"/>
        <v>44</v>
      </c>
    </row>
    <row r="2924" ht="12.75" customHeight="1">
      <c r="A2924" s="4">
        <f t="shared" si="2"/>
        <v>2923</v>
      </c>
      <c r="B2924" s="4" t="s">
        <v>6296</v>
      </c>
      <c r="C2924" s="5" t="s">
        <v>6297</v>
      </c>
      <c r="D2924" s="4"/>
      <c r="E2924" s="4"/>
      <c r="F2924" s="4" t="s">
        <v>22</v>
      </c>
      <c r="G2924" s="6">
        <v>52.51</v>
      </c>
      <c r="H2924" s="7" t="s">
        <v>1606</v>
      </c>
      <c r="I2924" s="4" t="s">
        <v>6126</v>
      </c>
      <c r="J2924" s="4" t="s">
        <v>6189</v>
      </c>
      <c r="K2924" s="8"/>
      <c r="L2924" s="8" t="s">
        <v>33</v>
      </c>
      <c r="M2924" s="9">
        <f t="shared" si="1"/>
        <v>44</v>
      </c>
    </row>
    <row r="2925" ht="12.75" customHeight="1">
      <c r="A2925" s="4">
        <f t="shared" si="2"/>
        <v>2924</v>
      </c>
      <c r="B2925" s="4" t="s">
        <v>6298</v>
      </c>
      <c r="C2925" s="5" t="s">
        <v>6299</v>
      </c>
      <c r="D2925" s="4"/>
      <c r="E2925" s="4"/>
      <c r="F2925" s="4" t="s">
        <v>22</v>
      </c>
      <c r="G2925" s="6">
        <v>107.01</v>
      </c>
      <c r="H2925" s="7" t="s">
        <v>1606</v>
      </c>
      <c r="I2925" s="4" t="s">
        <v>6126</v>
      </c>
      <c r="J2925" s="4" t="s">
        <v>6189</v>
      </c>
      <c r="K2925" s="8"/>
      <c r="L2925" s="8" t="s">
        <v>33</v>
      </c>
      <c r="M2925" s="9">
        <f t="shared" si="1"/>
        <v>42</v>
      </c>
    </row>
    <row r="2926" ht="12.75" customHeight="1">
      <c r="A2926" s="4">
        <f t="shared" si="2"/>
        <v>2925</v>
      </c>
      <c r="B2926" s="4" t="s">
        <v>6300</v>
      </c>
      <c r="C2926" s="5" t="s">
        <v>6301</v>
      </c>
      <c r="D2926" s="4"/>
      <c r="E2926" s="4"/>
      <c r="F2926" s="4" t="s">
        <v>22</v>
      </c>
      <c r="G2926" s="21">
        <v>15.24</v>
      </c>
      <c r="H2926" s="7" t="s">
        <v>1606</v>
      </c>
      <c r="I2926" s="4" t="s">
        <v>6126</v>
      </c>
      <c r="J2926" s="4" t="s">
        <v>6189</v>
      </c>
      <c r="K2926" s="8"/>
      <c r="L2926" s="8" t="s">
        <v>33</v>
      </c>
      <c r="M2926" s="9">
        <f t="shared" si="1"/>
        <v>44</v>
      </c>
    </row>
    <row r="2927" ht="12.75" customHeight="1">
      <c r="A2927" s="4">
        <f t="shared" si="2"/>
        <v>2926</v>
      </c>
      <c r="B2927" s="4" t="s">
        <v>6302</v>
      </c>
      <c r="C2927" s="5" t="s">
        <v>6303</v>
      </c>
      <c r="D2927" s="4"/>
      <c r="E2927" s="4"/>
      <c r="F2927" s="4" t="s">
        <v>22</v>
      </c>
      <c r="G2927" s="6">
        <v>151.25</v>
      </c>
      <c r="H2927" s="7" t="s">
        <v>1606</v>
      </c>
      <c r="I2927" s="4" t="s">
        <v>6126</v>
      </c>
      <c r="J2927" s="4" t="s">
        <v>6189</v>
      </c>
      <c r="K2927" s="8"/>
      <c r="L2927" s="8" t="s">
        <v>33</v>
      </c>
      <c r="M2927" s="9">
        <f t="shared" si="1"/>
        <v>42</v>
      </c>
    </row>
    <row r="2928" ht="12.75" customHeight="1">
      <c r="A2928" s="4">
        <f t="shared" si="2"/>
        <v>2927</v>
      </c>
      <c r="B2928" s="4" t="s">
        <v>6304</v>
      </c>
      <c r="C2928" s="5" t="s">
        <v>6305</v>
      </c>
      <c r="D2928" s="4"/>
      <c r="E2928" s="4"/>
      <c r="F2928" s="4" t="s">
        <v>22</v>
      </c>
      <c r="G2928" s="6">
        <v>21.9</v>
      </c>
      <c r="H2928" s="7" t="s">
        <v>1606</v>
      </c>
      <c r="I2928" s="4" t="s">
        <v>6126</v>
      </c>
      <c r="J2928" s="4" t="s">
        <v>6189</v>
      </c>
      <c r="K2928" s="8"/>
      <c r="L2928" s="8" t="s">
        <v>33</v>
      </c>
      <c r="M2928" s="9">
        <f t="shared" si="1"/>
        <v>43</v>
      </c>
    </row>
    <row r="2929" ht="12.75" customHeight="1">
      <c r="A2929" s="4">
        <f t="shared" si="2"/>
        <v>2928</v>
      </c>
      <c r="B2929" s="4" t="s">
        <v>6306</v>
      </c>
      <c r="C2929" s="5" t="s">
        <v>6307</v>
      </c>
      <c r="D2929" s="4"/>
      <c r="E2929" s="4"/>
      <c r="F2929" s="4" t="s">
        <v>22</v>
      </c>
      <c r="G2929" s="6">
        <v>18.02</v>
      </c>
      <c r="H2929" s="7" t="s">
        <v>1606</v>
      </c>
      <c r="I2929" s="4" t="s">
        <v>6126</v>
      </c>
      <c r="J2929" s="4" t="s">
        <v>6189</v>
      </c>
      <c r="K2929" s="8"/>
      <c r="L2929" s="8" t="s">
        <v>33</v>
      </c>
      <c r="M2929" s="9">
        <f t="shared" si="1"/>
        <v>43</v>
      </c>
    </row>
    <row r="2930" ht="12.75" customHeight="1">
      <c r="A2930" s="4">
        <f t="shared" si="2"/>
        <v>2929</v>
      </c>
      <c r="B2930" s="4" t="s">
        <v>6308</v>
      </c>
      <c r="C2930" s="5" t="s">
        <v>6309</v>
      </c>
      <c r="D2930" s="4"/>
      <c r="E2930" s="4"/>
      <c r="F2930" s="4" t="s">
        <v>22</v>
      </c>
      <c r="G2930" s="6">
        <v>19.47</v>
      </c>
      <c r="H2930" s="7" t="s">
        <v>1606</v>
      </c>
      <c r="I2930" s="4" t="s">
        <v>6126</v>
      </c>
      <c r="J2930" s="4" t="s">
        <v>6189</v>
      </c>
      <c r="K2930" s="8"/>
      <c r="L2930" s="8" t="s">
        <v>33</v>
      </c>
      <c r="M2930" s="9">
        <f t="shared" si="1"/>
        <v>39</v>
      </c>
    </row>
    <row r="2931" ht="12.75" customHeight="1">
      <c r="A2931" s="4">
        <f t="shared" si="2"/>
        <v>2930</v>
      </c>
      <c r="B2931" s="4" t="s">
        <v>6310</v>
      </c>
      <c r="C2931" s="5" t="s">
        <v>6311</v>
      </c>
      <c r="D2931" s="4"/>
      <c r="E2931" s="4"/>
      <c r="F2931" s="4" t="s">
        <v>22</v>
      </c>
      <c r="G2931" s="6">
        <v>10.63</v>
      </c>
      <c r="H2931" s="7" t="s">
        <v>1606</v>
      </c>
      <c r="I2931" s="4" t="s">
        <v>6126</v>
      </c>
      <c r="J2931" s="4" t="s">
        <v>6189</v>
      </c>
      <c r="K2931" s="8"/>
      <c r="L2931" s="8" t="s">
        <v>33</v>
      </c>
      <c r="M2931" s="9">
        <f t="shared" si="1"/>
        <v>41</v>
      </c>
    </row>
    <row r="2932" ht="12.75" customHeight="1">
      <c r="A2932" s="4">
        <f t="shared" si="2"/>
        <v>2931</v>
      </c>
      <c r="B2932" s="4" t="s">
        <v>6312</v>
      </c>
      <c r="C2932" s="5" t="s">
        <v>6313</v>
      </c>
      <c r="D2932" s="4"/>
      <c r="E2932" s="4"/>
      <c r="F2932" s="4" t="s">
        <v>22</v>
      </c>
      <c r="G2932" s="21">
        <v>23.5</v>
      </c>
      <c r="H2932" s="7" t="s">
        <v>1606</v>
      </c>
      <c r="I2932" s="4" t="s">
        <v>6126</v>
      </c>
      <c r="J2932" s="4" t="s">
        <v>6189</v>
      </c>
      <c r="K2932" s="8"/>
      <c r="L2932" s="8" t="s">
        <v>33</v>
      </c>
      <c r="M2932" s="9">
        <f t="shared" si="1"/>
        <v>39</v>
      </c>
    </row>
    <row r="2933" ht="12.75" customHeight="1">
      <c r="A2933" s="4">
        <f t="shared" si="2"/>
        <v>2932</v>
      </c>
      <c r="B2933" s="4" t="s">
        <v>6314</v>
      </c>
      <c r="C2933" s="5" t="s">
        <v>6315</v>
      </c>
      <c r="D2933" s="4"/>
      <c r="E2933" s="4"/>
      <c r="F2933" s="4" t="s">
        <v>22</v>
      </c>
      <c r="G2933" s="6">
        <v>28.5</v>
      </c>
      <c r="H2933" s="7" t="s">
        <v>1606</v>
      </c>
      <c r="I2933" s="4" t="s">
        <v>6126</v>
      </c>
      <c r="J2933" s="4" t="s">
        <v>6189</v>
      </c>
      <c r="K2933" s="8"/>
      <c r="L2933" s="8" t="s">
        <v>33</v>
      </c>
      <c r="M2933" s="9">
        <f t="shared" si="1"/>
        <v>39</v>
      </c>
    </row>
    <row r="2934" ht="12.75" customHeight="1">
      <c r="A2934" s="4">
        <f t="shared" si="2"/>
        <v>2933</v>
      </c>
      <c r="B2934" s="4" t="s">
        <v>6316</v>
      </c>
      <c r="C2934" s="5" t="s">
        <v>6317</v>
      </c>
      <c r="D2934" s="4"/>
      <c r="E2934" s="4"/>
      <c r="F2934" s="4" t="s">
        <v>22</v>
      </c>
      <c r="G2934" s="6">
        <v>15.65</v>
      </c>
      <c r="H2934" s="7" t="s">
        <v>1606</v>
      </c>
      <c r="I2934" s="4" t="s">
        <v>6126</v>
      </c>
      <c r="J2934" s="4" t="s">
        <v>6189</v>
      </c>
      <c r="K2934" s="8"/>
      <c r="L2934" s="8" t="s">
        <v>33</v>
      </c>
      <c r="M2934" s="9">
        <f t="shared" si="1"/>
        <v>41</v>
      </c>
    </row>
    <row r="2935" ht="12.75" customHeight="1">
      <c r="A2935" s="4">
        <f t="shared" si="2"/>
        <v>2934</v>
      </c>
      <c r="B2935" s="4" t="s">
        <v>6318</v>
      </c>
      <c r="C2935" s="5" t="s">
        <v>6319</v>
      </c>
      <c r="D2935" s="4"/>
      <c r="E2935" s="4"/>
      <c r="F2935" s="4" t="s">
        <v>22</v>
      </c>
      <c r="G2935" s="6">
        <v>4.59</v>
      </c>
      <c r="H2935" s="7" t="s">
        <v>1606</v>
      </c>
      <c r="I2935" s="4" t="s">
        <v>6126</v>
      </c>
      <c r="J2935" s="4" t="s">
        <v>6218</v>
      </c>
      <c r="K2935" s="8"/>
      <c r="L2935" s="8" t="s">
        <v>2623</v>
      </c>
      <c r="M2935" s="9">
        <f t="shared" si="1"/>
        <v>21</v>
      </c>
    </row>
    <row r="2936" ht="12.75" customHeight="1">
      <c r="A2936" s="4">
        <f t="shared" si="2"/>
        <v>2935</v>
      </c>
      <c r="B2936" s="4" t="s">
        <v>6320</v>
      </c>
      <c r="C2936" s="5" t="s">
        <v>6321</v>
      </c>
      <c r="D2936" s="4"/>
      <c r="E2936" s="4"/>
      <c r="F2936" s="4" t="s">
        <v>22</v>
      </c>
      <c r="G2936" s="6">
        <v>7.81</v>
      </c>
      <c r="H2936" s="7" t="s">
        <v>1606</v>
      </c>
      <c r="I2936" s="4" t="s">
        <v>6126</v>
      </c>
      <c r="J2936" s="4" t="s">
        <v>6218</v>
      </c>
      <c r="K2936" s="8"/>
      <c r="L2936" s="8" t="s">
        <v>2623</v>
      </c>
      <c r="M2936" s="9">
        <f t="shared" si="1"/>
        <v>21</v>
      </c>
    </row>
    <row r="2937" ht="12.75" customHeight="1">
      <c r="A2937" s="4">
        <f t="shared" si="2"/>
        <v>2936</v>
      </c>
      <c r="B2937" s="4" t="s">
        <v>6322</v>
      </c>
      <c r="C2937" s="5" t="s">
        <v>6323</v>
      </c>
      <c r="D2937" s="4"/>
      <c r="E2937" s="4"/>
      <c r="F2937" s="4" t="s">
        <v>22</v>
      </c>
      <c r="G2937" s="6">
        <v>31.62</v>
      </c>
      <c r="H2937" s="7" t="s">
        <v>1606</v>
      </c>
      <c r="I2937" s="4" t="s">
        <v>6126</v>
      </c>
      <c r="J2937" s="4" t="s">
        <v>6189</v>
      </c>
      <c r="K2937" s="8"/>
      <c r="L2937" s="8" t="s">
        <v>33</v>
      </c>
      <c r="M2937" s="9">
        <f t="shared" si="1"/>
        <v>50</v>
      </c>
    </row>
    <row r="2938" ht="12.75" customHeight="1">
      <c r="A2938" s="4">
        <f t="shared" si="2"/>
        <v>2937</v>
      </c>
      <c r="B2938" s="4" t="s">
        <v>6324</v>
      </c>
      <c r="C2938" s="5" t="s">
        <v>6325</v>
      </c>
      <c r="D2938" s="4"/>
      <c r="E2938" s="4"/>
      <c r="F2938" s="4" t="s">
        <v>22</v>
      </c>
      <c r="G2938" s="6">
        <v>74.94</v>
      </c>
      <c r="H2938" s="7" t="s">
        <v>1606</v>
      </c>
      <c r="I2938" s="4" t="s">
        <v>6126</v>
      </c>
      <c r="J2938" s="4" t="s">
        <v>6189</v>
      </c>
      <c r="K2938" s="8"/>
      <c r="L2938" s="8" t="s">
        <v>33</v>
      </c>
      <c r="M2938" s="9">
        <f t="shared" si="1"/>
        <v>61</v>
      </c>
    </row>
    <row r="2939" ht="12.75" customHeight="1">
      <c r="A2939" s="4">
        <f t="shared" si="2"/>
        <v>2938</v>
      </c>
      <c r="B2939" s="4" t="s">
        <v>6326</v>
      </c>
      <c r="C2939" s="5" t="s">
        <v>6327</v>
      </c>
      <c r="D2939" s="4"/>
      <c r="E2939" s="4"/>
      <c r="F2939" s="4" t="s">
        <v>22</v>
      </c>
      <c r="G2939" s="6">
        <v>104.67</v>
      </c>
      <c r="H2939" s="7" t="s">
        <v>1606</v>
      </c>
      <c r="I2939" s="4" t="s">
        <v>6126</v>
      </c>
      <c r="J2939" s="4" t="s">
        <v>6189</v>
      </c>
      <c r="K2939" s="8"/>
      <c r="L2939" s="8" t="s">
        <v>33</v>
      </c>
      <c r="M2939" s="9">
        <f t="shared" si="1"/>
        <v>62</v>
      </c>
    </row>
    <row r="2940" ht="12.75" customHeight="1">
      <c r="A2940" s="4">
        <f t="shared" si="2"/>
        <v>2939</v>
      </c>
      <c r="B2940" s="4" t="s">
        <v>6328</v>
      </c>
      <c r="C2940" s="5" t="s">
        <v>6329</v>
      </c>
      <c r="D2940" s="4"/>
      <c r="E2940" s="4"/>
      <c r="F2940" s="4" t="s">
        <v>22</v>
      </c>
      <c r="G2940" s="6">
        <v>0.32</v>
      </c>
      <c r="H2940" s="7" t="s">
        <v>1606</v>
      </c>
      <c r="I2940" s="4" t="s">
        <v>1869</v>
      </c>
      <c r="J2940" s="4" t="s">
        <v>6330</v>
      </c>
      <c r="K2940" s="8"/>
      <c r="L2940" s="8" t="s">
        <v>33</v>
      </c>
      <c r="M2940" s="9">
        <f t="shared" si="1"/>
        <v>59</v>
      </c>
    </row>
    <row r="2941" ht="12.75" customHeight="1">
      <c r="A2941" s="4">
        <f t="shared" si="2"/>
        <v>2940</v>
      </c>
      <c r="B2941" s="4" t="s">
        <v>6331</v>
      </c>
      <c r="C2941" s="5" t="s">
        <v>6332</v>
      </c>
      <c r="D2941" s="4"/>
      <c r="E2941" s="4"/>
      <c r="F2941" s="4" t="s">
        <v>22</v>
      </c>
      <c r="G2941" s="21">
        <v>1.22</v>
      </c>
      <c r="H2941" s="7" t="s">
        <v>1606</v>
      </c>
      <c r="I2941" s="4" t="s">
        <v>1869</v>
      </c>
      <c r="J2941" s="4" t="s">
        <v>6330</v>
      </c>
      <c r="K2941" s="8"/>
      <c r="L2941" s="8" t="s">
        <v>33</v>
      </c>
      <c r="M2941" s="9">
        <f t="shared" si="1"/>
        <v>57</v>
      </c>
    </row>
    <row r="2942" ht="12.75" customHeight="1">
      <c r="A2942" s="4">
        <f t="shared" si="2"/>
        <v>2941</v>
      </c>
      <c r="B2942" s="4" t="s">
        <v>6333</v>
      </c>
      <c r="C2942" s="5" t="s">
        <v>6334</v>
      </c>
      <c r="D2942" s="4"/>
      <c r="E2942" s="4"/>
      <c r="F2942" s="4" t="s">
        <v>22</v>
      </c>
      <c r="G2942" s="21">
        <v>0.62</v>
      </c>
      <c r="H2942" s="7" t="s">
        <v>1606</v>
      </c>
      <c r="I2942" s="4" t="s">
        <v>1869</v>
      </c>
      <c r="J2942" s="4" t="s">
        <v>6330</v>
      </c>
      <c r="K2942" s="8"/>
      <c r="L2942" s="8" t="s">
        <v>33</v>
      </c>
      <c r="M2942" s="9">
        <f t="shared" si="1"/>
        <v>59</v>
      </c>
    </row>
    <row r="2943" ht="12.75" customHeight="1">
      <c r="A2943" s="4">
        <f t="shared" si="2"/>
        <v>2942</v>
      </c>
      <c r="B2943" s="4" t="s">
        <v>6335</v>
      </c>
      <c r="C2943" s="5" t="s">
        <v>6336</v>
      </c>
      <c r="D2943" s="4"/>
      <c r="E2943" s="4"/>
      <c r="F2943" s="4" t="s">
        <v>22</v>
      </c>
      <c r="G2943" s="6">
        <v>0.45</v>
      </c>
      <c r="H2943" s="7" t="s">
        <v>1606</v>
      </c>
      <c r="I2943" s="4" t="s">
        <v>1869</v>
      </c>
      <c r="J2943" s="4" t="s">
        <v>6330</v>
      </c>
      <c r="K2943" s="8"/>
      <c r="L2943" s="8" t="s">
        <v>33</v>
      </c>
      <c r="M2943" s="9">
        <f t="shared" si="1"/>
        <v>59</v>
      </c>
    </row>
    <row r="2944" ht="12.75" customHeight="1">
      <c r="A2944" s="4">
        <f t="shared" si="2"/>
        <v>2943</v>
      </c>
      <c r="B2944" s="4" t="s">
        <v>6337</v>
      </c>
      <c r="C2944" s="5" t="s">
        <v>6338</v>
      </c>
      <c r="D2944" s="4"/>
      <c r="E2944" s="4"/>
      <c r="F2944" s="4" t="s">
        <v>22</v>
      </c>
      <c r="G2944" s="21">
        <v>2.43</v>
      </c>
      <c r="H2944" s="7" t="s">
        <v>1606</v>
      </c>
      <c r="I2944" s="4" t="s">
        <v>1574</v>
      </c>
      <c r="J2944" s="4" t="s">
        <v>1624</v>
      </c>
      <c r="K2944" s="8"/>
      <c r="L2944" s="8" t="s">
        <v>2660</v>
      </c>
      <c r="M2944" s="9">
        <f t="shared" si="1"/>
        <v>60</v>
      </c>
    </row>
    <row r="2945" ht="12.75" customHeight="1">
      <c r="A2945" s="4">
        <f t="shared" si="2"/>
        <v>2944</v>
      </c>
      <c r="B2945" s="4" t="s">
        <v>6339</v>
      </c>
      <c r="C2945" s="5" t="s">
        <v>6340</v>
      </c>
      <c r="D2945" s="4"/>
      <c r="E2945" s="4"/>
      <c r="F2945" s="4" t="s">
        <v>22</v>
      </c>
      <c r="G2945" s="21">
        <v>49.0</v>
      </c>
      <c r="H2945" s="7" t="s">
        <v>1606</v>
      </c>
      <c r="I2945" s="4" t="s">
        <v>1574</v>
      </c>
      <c r="J2945" s="4" t="s">
        <v>1624</v>
      </c>
      <c r="K2945" s="8"/>
      <c r="L2945" s="8" t="s">
        <v>1659</v>
      </c>
      <c r="M2945" s="9">
        <f t="shared" si="1"/>
        <v>75</v>
      </c>
    </row>
    <row r="2946" ht="12.75" customHeight="1">
      <c r="A2946" s="4">
        <f t="shared" si="2"/>
        <v>2945</v>
      </c>
      <c r="B2946" s="4" t="s">
        <v>6341</v>
      </c>
      <c r="C2946" s="5" t="s">
        <v>6342</v>
      </c>
      <c r="D2946" s="4"/>
      <c r="E2946" s="4"/>
      <c r="F2946" s="4" t="s">
        <v>22</v>
      </c>
      <c r="G2946" s="21">
        <v>1.43</v>
      </c>
      <c r="H2946" s="7" t="s">
        <v>1606</v>
      </c>
      <c r="I2946" s="4" t="s">
        <v>1574</v>
      </c>
      <c r="J2946" s="4" t="s">
        <v>1624</v>
      </c>
      <c r="K2946" s="8"/>
      <c r="L2946" s="8" t="s">
        <v>2660</v>
      </c>
      <c r="M2946" s="9">
        <f t="shared" si="1"/>
        <v>56</v>
      </c>
    </row>
    <row r="2947" ht="12.75" customHeight="1">
      <c r="A2947" s="4">
        <f t="shared" si="2"/>
        <v>2946</v>
      </c>
      <c r="B2947" s="4" t="s">
        <v>6343</v>
      </c>
      <c r="C2947" s="5" t="s">
        <v>6344</v>
      </c>
      <c r="D2947" s="4"/>
      <c r="E2947" s="4"/>
      <c r="F2947" s="4" t="s">
        <v>22</v>
      </c>
      <c r="G2947" s="6">
        <v>42.36</v>
      </c>
      <c r="H2947" s="7" t="s">
        <v>1606</v>
      </c>
      <c r="I2947" s="4" t="s">
        <v>1574</v>
      </c>
      <c r="J2947" s="4" t="s">
        <v>1624</v>
      </c>
      <c r="K2947" s="8"/>
      <c r="L2947" s="8" t="s">
        <v>1659</v>
      </c>
      <c r="M2947" s="9">
        <f t="shared" si="1"/>
        <v>71</v>
      </c>
    </row>
    <row r="2948" ht="12.75" customHeight="1">
      <c r="A2948" s="4">
        <f t="shared" si="2"/>
        <v>2947</v>
      </c>
      <c r="B2948" s="4" t="s">
        <v>6345</v>
      </c>
      <c r="C2948" s="5" t="s">
        <v>6346</v>
      </c>
      <c r="D2948" s="4"/>
      <c r="E2948" s="4"/>
      <c r="F2948" s="4" t="s">
        <v>22</v>
      </c>
      <c r="G2948" s="6">
        <v>0.71</v>
      </c>
      <c r="H2948" s="7" t="s">
        <v>1606</v>
      </c>
      <c r="I2948" s="4" t="s">
        <v>1574</v>
      </c>
      <c r="J2948" s="4" t="s">
        <v>1624</v>
      </c>
      <c r="K2948" s="8"/>
      <c r="L2948" s="8" t="s">
        <v>2660</v>
      </c>
      <c r="M2948" s="9">
        <f t="shared" si="1"/>
        <v>58</v>
      </c>
    </row>
    <row r="2949" ht="12.75" customHeight="1">
      <c r="A2949" s="4">
        <f t="shared" si="2"/>
        <v>2948</v>
      </c>
      <c r="B2949" s="4" t="s">
        <v>6347</v>
      </c>
      <c r="C2949" s="5" t="s">
        <v>6348</v>
      </c>
      <c r="D2949" s="4"/>
      <c r="E2949" s="4"/>
      <c r="F2949" s="4" t="s">
        <v>22</v>
      </c>
      <c r="G2949" s="6">
        <v>31.52</v>
      </c>
      <c r="H2949" s="7" t="s">
        <v>1606</v>
      </c>
      <c r="I2949" s="4" t="s">
        <v>1574</v>
      </c>
      <c r="J2949" s="4" t="s">
        <v>1624</v>
      </c>
      <c r="K2949" s="8"/>
      <c r="L2949" s="8" t="s">
        <v>1659</v>
      </c>
      <c r="M2949" s="9">
        <f t="shared" si="1"/>
        <v>73</v>
      </c>
    </row>
    <row r="2950" ht="12.75" customHeight="1">
      <c r="A2950" s="4">
        <f t="shared" si="2"/>
        <v>2949</v>
      </c>
      <c r="B2950" s="4" t="s">
        <v>6349</v>
      </c>
      <c r="C2950" s="5" t="s">
        <v>6350</v>
      </c>
      <c r="D2950" s="4"/>
      <c r="E2950" s="4"/>
      <c r="F2950" s="4" t="s">
        <v>22</v>
      </c>
      <c r="G2950" s="6">
        <v>3.08</v>
      </c>
      <c r="H2950" s="7" t="s">
        <v>1606</v>
      </c>
      <c r="I2950" s="4" t="s">
        <v>1574</v>
      </c>
      <c r="J2950" s="4" t="s">
        <v>1624</v>
      </c>
      <c r="K2950" s="8"/>
      <c r="L2950" s="8" t="s">
        <v>2660</v>
      </c>
      <c r="M2950" s="9">
        <f t="shared" si="1"/>
        <v>56</v>
      </c>
    </row>
    <row r="2951" ht="12.75" customHeight="1">
      <c r="A2951" s="4">
        <f t="shared" si="2"/>
        <v>2950</v>
      </c>
      <c r="B2951" s="4" t="s">
        <v>6351</v>
      </c>
      <c r="C2951" s="5" t="s">
        <v>6352</v>
      </c>
      <c r="D2951" s="4"/>
      <c r="E2951" s="4"/>
      <c r="F2951" s="4" t="s">
        <v>22</v>
      </c>
      <c r="G2951" s="6">
        <v>52.49</v>
      </c>
      <c r="H2951" s="7" t="s">
        <v>1606</v>
      </c>
      <c r="I2951" s="4" t="s">
        <v>1574</v>
      </c>
      <c r="J2951" s="4" t="s">
        <v>1624</v>
      </c>
      <c r="K2951" s="8"/>
      <c r="L2951" s="8" t="s">
        <v>1659</v>
      </c>
      <c r="M2951" s="9">
        <f t="shared" si="1"/>
        <v>71</v>
      </c>
    </row>
    <row r="2952" ht="12.75" customHeight="1">
      <c r="A2952" s="4">
        <f t="shared" si="2"/>
        <v>2951</v>
      </c>
      <c r="B2952" s="4" t="s">
        <v>6353</v>
      </c>
      <c r="C2952" s="5" t="s">
        <v>6354</v>
      </c>
      <c r="D2952" s="4"/>
      <c r="E2952" s="4"/>
      <c r="F2952" s="4" t="s">
        <v>22</v>
      </c>
      <c r="G2952" s="6">
        <v>3.98</v>
      </c>
      <c r="H2952" s="7" t="s">
        <v>1606</v>
      </c>
      <c r="I2952" s="4" t="s">
        <v>1574</v>
      </c>
      <c r="J2952" s="4" t="s">
        <v>1624</v>
      </c>
      <c r="K2952" s="8"/>
      <c r="L2952" s="8" t="s">
        <v>2660</v>
      </c>
      <c r="M2952" s="9">
        <f t="shared" si="1"/>
        <v>56</v>
      </c>
    </row>
    <row r="2953" ht="12.75" customHeight="1">
      <c r="A2953" s="4">
        <f t="shared" si="2"/>
        <v>2952</v>
      </c>
      <c r="B2953" s="4" t="s">
        <v>6355</v>
      </c>
      <c r="C2953" s="5" t="s">
        <v>6356</v>
      </c>
      <c r="D2953" s="4"/>
      <c r="E2953" s="4"/>
      <c r="F2953" s="4" t="s">
        <v>22</v>
      </c>
      <c r="G2953" s="6">
        <v>1.76</v>
      </c>
      <c r="H2953" s="7" t="s">
        <v>1606</v>
      </c>
      <c r="I2953" s="4" t="s">
        <v>1574</v>
      </c>
      <c r="J2953" s="4" t="s">
        <v>1624</v>
      </c>
      <c r="K2953" s="8"/>
      <c r="L2953" s="8" t="s">
        <v>2660</v>
      </c>
      <c r="M2953" s="9">
        <f t="shared" si="1"/>
        <v>58</v>
      </c>
    </row>
    <row r="2954" ht="12.75" customHeight="1">
      <c r="A2954" s="4">
        <f t="shared" si="2"/>
        <v>2953</v>
      </c>
      <c r="B2954" s="4" t="s">
        <v>6357</v>
      </c>
      <c r="C2954" s="5" t="s">
        <v>6358</v>
      </c>
      <c r="D2954" s="4"/>
      <c r="E2954" s="4"/>
      <c r="F2954" s="4" t="s">
        <v>22</v>
      </c>
      <c r="G2954" s="6">
        <v>33.99</v>
      </c>
      <c r="H2954" s="7" t="s">
        <v>1606</v>
      </c>
      <c r="I2954" s="4" t="s">
        <v>1574</v>
      </c>
      <c r="J2954" s="4" t="s">
        <v>1624</v>
      </c>
      <c r="K2954" s="8"/>
      <c r="L2954" s="8" t="s">
        <v>1659</v>
      </c>
      <c r="M2954" s="9">
        <f t="shared" si="1"/>
        <v>73</v>
      </c>
    </row>
    <row r="2955" ht="12.75" customHeight="1">
      <c r="A2955" s="4">
        <f t="shared" si="2"/>
        <v>2954</v>
      </c>
      <c r="B2955" s="4" t="s">
        <v>6359</v>
      </c>
      <c r="C2955" s="5" t="s">
        <v>6360</v>
      </c>
      <c r="D2955" s="4"/>
      <c r="E2955" s="4"/>
      <c r="F2955" s="4" t="s">
        <v>22</v>
      </c>
      <c r="G2955" s="6">
        <v>9.51</v>
      </c>
      <c r="H2955" s="7" t="s">
        <v>1606</v>
      </c>
      <c r="I2955" s="4" t="s">
        <v>1574</v>
      </c>
      <c r="J2955" s="4" t="s">
        <v>1624</v>
      </c>
      <c r="K2955" s="8"/>
      <c r="L2955" s="8" t="s">
        <v>2660</v>
      </c>
      <c r="M2955" s="9">
        <f t="shared" si="1"/>
        <v>56</v>
      </c>
    </row>
    <row r="2956" ht="12.75" customHeight="1">
      <c r="A2956" s="4">
        <f t="shared" si="2"/>
        <v>2955</v>
      </c>
      <c r="B2956" s="4" t="s">
        <v>6361</v>
      </c>
      <c r="C2956" s="5" t="s">
        <v>6362</v>
      </c>
      <c r="D2956" s="4"/>
      <c r="E2956" s="4"/>
      <c r="F2956" s="4" t="s">
        <v>22</v>
      </c>
      <c r="G2956" s="6">
        <v>0.27</v>
      </c>
      <c r="H2956" s="7" t="s">
        <v>1606</v>
      </c>
      <c r="I2956" s="4" t="s">
        <v>1574</v>
      </c>
      <c r="J2956" s="4" t="s">
        <v>1624</v>
      </c>
      <c r="K2956" s="8"/>
      <c r="L2956" s="8" t="s">
        <v>33</v>
      </c>
      <c r="M2956" s="9">
        <f t="shared" si="1"/>
        <v>39</v>
      </c>
    </row>
    <row r="2957" ht="12.75" customHeight="1">
      <c r="A2957" s="4">
        <f t="shared" si="2"/>
        <v>2956</v>
      </c>
      <c r="B2957" s="4" t="s">
        <v>6363</v>
      </c>
      <c r="C2957" s="5" t="s">
        <v>6364</v>
      </c>
      <c r="D2957" s="4"/>
      <c r="E2957" s="4"/>
      <c r="F2957" s="4" t="s">
        <v>22</v>
      </c>
      <c r="G2957" s="6">
        <v>0.15</v>
      </c>
      <c r="H2957" s="7" t="s">
        <v>1606</v>
      </c>
      <c r="I2957" s="4" t="s">
        <v>1574</v>
      </c>
      <c r="J2957" s="4" t="s">
        <v>1624</v>
      </c>
      <c r="K2957" s="8"/>
      <c r="L2957" s="8" t="s">
        <v>33</v>
      </c>
      <c r="M2957" s="9">
        <f t="shared" si="1"/>
        <v>39</v>
      </c>
    </row>
    <row r="2958" ht="12.75" customHeight="1">
      <c r="A2958" s="4">
        <f t="shared" si="2"/>
        <v>2957</v>
      </c>
      <c r="B2958" s="4" t="s">
        <v>6365</v>
      </c>
      <c r="C2958" s="5" t="s">
        <v>6366</v>
      </c>
      <c r="D2958" s="4"/>
      <c r="E2958" s="4"/>
      <c r="F2958" s="4" t="s">
        <v>22</v>
      </c>
      <c r="G2958" s="6">
        <v>0.35</v>
      </c>
      <c r="H2958" s="7" t="s">
        <v>1606</v>
      </c>
      <c r="I2958" s="4" t="s">
        <v>1574</v>
      </c>
      <c r="J2958" s="4" t="s">
        <v>1624</v>
      </c>
      <c r="K2958" s="8"/>
      <c r="L2958" s="8" t="s">
        <v>33</v>
      </c>
      <c r="M2958" s="9">
        <f t="shared" si="1"/>
        <v>39</v>
      </c>
    </row>
    <row r="2959" ht="12.75" customHeight="1">
      <c r="A2959" s="4">
        <f t="shared" si="2"/>
        <v>2958</v>
      </c>
      <c r="B2959" s="4" t="s">
        <v>6367</v>
      </c>
      <c r="C2959" s="5" t="s">
        <v>6368</v>
      </c>
      <c r="D2959" s="4"/>
      <c r="E2959" s="4"/>
      <c r="F2959" s="4" t="s">
        <v>22</v>
      </c>
      <c r="G2959" s="6">
        <v>0.18</v>
      </c>
      <c r="H2959" s="7" t="s">
        <v>1606</v>
      </c>
      <c r="I2959" s="4" t="s">
        <v>1574</v>
      </c>
      <c r="J2959" s="4" t="s">
        <v>1624</v>
      </c>
      <c r="K2959" s="8"/>
      <c r="L2959" s="8" t="s">
        <v>33</v>
      </c>
      <c r="M2959" s="9">
        <f t="shared" si="1"/>
        <v>39</v>
      </c>
    </row>
    <row r="2960" ht="12.75" customHeight="1">
      <c r="A2960" s="4">
        <f t="shared" si="2"/>
        <v>2959</v>
      </c>
      <c r="B2960" s="4" t="s">
        <v>6369</v>
      </c>
      <c r="C2960" s="5" t="s">
        <v>6370</v>
      </c>
      <c r="D2960" s="4"/>
      <c r="E2960" s="4"/>
      <c r="F2960" s="4" t="s">
        <v>22</v>
      </c>
      <c r="G2960" s="6">
        <v>0.04</v>
      </c>
      <c r="H2960" s="7" t="s">
        <v>1606</v>
      </c>
      <c r="I2960" s="4" t="s">
        <v>1869</v>
      </c>
      <c r="J2960" s="4" t="s">
        <v>6330</v>
      </c>
      <c r="K2960" s="8"/>
      <c r="L2960" s="8" t="s">
        <v>33</v>
      </c>
      <c r="M2960" s="9">
        <f t="shared" si="1"/>
        <v>30</v>
      </c>
    </row>
    <row r="2961" ht="12.75" customHeight="1">
      <c r="A2961" s="4">
        <f t="shared" si="2"/>
        <v>2960</v>
      </c>
      <c r="B2961" s="4" t="s">
        <v>6371</v>
      </c>
      <c r="C2961" s="5" t="s">
        <v>6372</v>
      </c>
      <c r="D2961" s="4"/>
      <c r="E2961" s="4"/>
      <c r="F2961" s="4" t="s">
        <v>22</v>
      </c>
      <c r="G2961" s="6">
        <v>0.03</v>
      </c>
      <c r="H2961" s="7" t="s">
        <v>1606</v>
      </c>
      <c r="I2961" s="4" t="s">
        <v>1869</v>
      </c>
      <c r="J2961" s="4" t="s">
        <v>6330</v>
      </c>
      <c r="K2961" s="8"/>
      <c r="L2961" s="8" t="s">
        <v>33</v>
      </c>
      <c r="M2961" s="9">
        <f t="shared" si="1"/>
        <v>32</v>
      </c>
    </row>
    <row r="2962" ht="12.75" customHeight="1">
      <c r="A2962" s="4">
        <f t="shared" si="2"/>
        <v>2961</v>
      </c>
      <c r="B2962" s="4" t="s">
        <v>6373</v>
      </c>
      <c r="C2962" s="5" t="s">
        <v>6374</v>
      </c>
      <c r="D2962" s="4"/>
      <c r="E2962" s="4"/>
      <c r="F2962" s="4" t="s">
        <v>22</v>
      </c>
      <c r="G2962" s="6">
        <v>0.01</v>
      </c>
      <c r="H2962" s="7" t="s">
        <v>1606</v>
      </c>
      <c r="I2962" s="4" t="s">
        <v>1869</v>
      </c>
      <c r="J2962" s="4" t="s">
        <v>6330</v>
      </c>
      <c r="K2962" s="8"/>
      <c r="L2962" s="8" t="s">
        <v>33</v>
      </c>
      <c r="M2962" s="9">
        <f t="shared" si="1"/>
        <v>32</v>
      </c>
    </row>
    <row r="2963" ht="12.75" customHeight="1">
      <c r="A2963" s="4">
        <f t="shared" si="2"/>
        <v>2962</v>
      </c>
      <c r="B2963" s="4" t="s">
        <v>6375</v>
      </c>
      <c r="C2963" s="5" t="s">
        <v>6376</v>
      </c>
      <c r="D2963" s="4"/>
      <c r="E2963" s="4"/>
      <c r="F2963" s="4" t="s">
        <v>22</v>
      </c>
      <c r="G2963" s="6">
        <v>0.02</v>
      </c>
      <c r="H2963" s="7" t="s">
        <v>1606</v>
      </c>
      <c r="I2963" s="4" t="s">
        <v>1869</v>
      </c>
      <c r="J2963" s="4" t="s">
        <v>6330</v>
      </c>
      <c r="K2963" s="8"/>
      <c r="L2963" s="8" t="s">
        <v>33</v>
      </c>
      <c r="M2963" s="9">
        <f t="shared" si="1"/>
        <v>32</v>
      </c>
    </row>
    <row r="2964" ht="12.75" customHeight="1">
      <c r="A2964" s="4">
        <f t="shared" si="2"/>
        <v>2963</v>
      </c>
      <c r="B2964" s="4" t="s">
        <v>6377</v>
      </c>
      <c r="C2964" s="5" t="s">
        <v>6378</v>
      </c>
      <c r="D2964" s="4"/>
      <c r="E2964" s="4"/>
      <c r="F2964" s="4" t="s">
        <v>22</v>
      </c>
      <c r="G2964" s="6">
        <v>0.04</v>
      </c>
      <c r="H2964" s="7" t="s">
        <v>1606</v>
      </c>
      <c r="I2964" s="4" t="s">
        <v>1869</v>
      </c>
      <c r="J2964" s="4" t="s">
        <v>6330</v>
      </c>
      <c r="K2964" s="8"/>
      <c r="L2964" s="8" t="s">
        <v>33</v>
      </c>
      <c r="M2964" s="9">
        <f t="shared" si="1"/>
        <v>32</v>
      </c>
    </row>
    <row r="2965" ht="12.75" customHeight="1">
      <c r="A2965" s="4">
        <f t="shared" si="2"/>
        <v>2964</v>
      </c>
      <c r="B2965" s="4" t="s">
        <v>6379</v>
      </c>
      <c r="C2965" s="5" t="s">
        <v>6380</v>
      </c>
      <c r="D2965" s="4"/>
      <c r="E2965" s="4"/>
      <c r="F2965" s="4" t="s">
        <v>22</v>
      </c>
      <c r="G2965" s="6">
        <v>0.02</v>
      </c>
      <c r="H2965" s="7" t="s">
        <v>1606</v>
      </c>
      <c r="I2965" s="4" t="s">
        <v>1869</v>
      </c>
      <c r="J2965" s="4" t="s">
        <v>6330</v>
      </c>
      <c r="K2965" s="8"/>
      <c r="L2965" s="8" t="s">
        <v>33</v>
      </c>
      <c r="M2965" s="9">
        <f t="shared" si="1"/>
        <v>32</v>
      </c>
    </row>
    <row r="2966" ht="12.75" customHeight="1">
      <c r="A2966" s="4">
        <f t="shared" si="2"/>
        <v>2965</v>
      </c>
      <c r="B2966" s="4" t="s">
        <v>6381</v>
      </c>
      <c r="C2966" s="5" t="s">
        <v>6382</v>
      </c>
      <c r="D2966" s="4"/>
      <c r="E2966" s="4"/>
      <c r="F2966" s="4" t="s">
        <v>22</v>
      </c>
      <c r="G2966" s="21">
        <v>0.03</v>
      </c>
      <c r="H2966" s="7" t="s">
        <v>1606</v>
      </c>
      <c r="I2966" s="4" t="s">
        <v>1869</v>
      </c>
      <c r="J2966" s="4" t="s">
        <v>6330</v>
      </c>
      <c r="K2966" s="8"/>
      <c r="L2966" s="8" t="s">
        <v>33</v>
      </c>
      <c r="M2966" s="9">
        <f t="shared" si="1"/>
        <v>32</v>
      </c>
    </row>
    <row r="2967" ht="12.75" customHeight="1">
      <c r="A2967" s="4">
        <f t="shared" si="2"/>
        <v>2966</v>
      </c>
      <c r="B2967" s="4" t="s">
        <v>6383</v>
      </c>
      <c r="C2967" s="5" t="s">
        <v>6384</v>
      </c>
      <c r="D2967" s="4"/>
      <c r="E2967" s="4"/>
      <c r="F2967" s="4" t="s">
        <v>22</v>
      </c>
      <c r="G2967" s="6">
        <v>0.04</v>
      </c>
      <c r="H2967" s="7" t="s">
        <v>1606</v>
      </c>
      <c r="I2967" s="4" t="s">
        <v>1869</v>
      </c>
      <c r="J2967" s="4" t="s">
        <v>6330</v>
      </c>
      <c r="K2967" s="8"/>
      <c r="L2967" s="8" t="s">
        <v>33</v>
      </c>
      <c r="M2967" s="9">
        <f t="shared" si="1"/>
        <v>32</v>
      </c>
    </row>
    <row r="2968" ht="12.75" customHeight="1">
      <c r="A2968" s="4">
        <f t="shared" si="2"/>
        <v>2967</v>
      </c>
      <c r="B2968" s="4" t="s">
        <v>6385</v>
      </c>
      <c r="C2968" s="5" t="s">
        <v>6386</v>
      </c>
      <c r="D2968" s="4"/>
      <c r="E2968" s="4"/>
      <c r="F2968" s="4" t="s">
        <v>22</v>
      </c>
      <c r="G2968" s="6">
        <v>0.4</v>
      </c>
      <c r="H2968" s="7" t="s">
        <v>1606</v>
      </c>
      <c r="I2968" s="4" t="s">
        <v>1869</v>
      </c>
      <c r="J2968" s="4" t="s">
        <v>6330</v>
      </c>
      <c r="K2968" s="8"/>
      <c r="L2968" s="8" t="s">
        <v>33</v>
      </c>
      <c r="M2968" s="9">
        <f t="shared" si="1"/>
        <v>30</v>
      </c>
    </row>
    <row r="2969" ht="12.75" customHeight="1">
      <c r="A2969" s="4">
        <f t="shared" si="2"/>
        <v>2968</v>
      </c>
      <c r="B2969" s="4" t="s">
        <v>6387</v>
      </c>
      <c r="C2969" s="5" t="s">
        <v>6388</v>
      </c>
      <c r="D2969" s="4"/>
      <c r="E2969" s="4"/>
      <c r="F2969" s="4" t="s">
        <v>22</v>
      </c>
      <c r="G2969" s="6">
        <v>0.06</v>
      </c>
      <c r="H2969" s="7" t="s">
        <v>1606</v>
      </c>
      <c r="I2969" s="4" t="s">
        <v>1869</v>
      </c>
      <c r="J2969" s="4" t="s">
        <v>6330</v>
      </c>
      <c r="K2969" s="8"/>
      <c r="L2969" s="8" t="s">
        <v>33</v>
      </c>
      <c r="M2969" s="9">
        <f t="shared" si="1"/>
        <v>32</v>
      </c>
    </row>
    <row r="2970" ht="12.75" customHeight="1">
      <c r="A2970" s="4">
        <f t="shared" si="2"/>
        <v>2969</v>
      </c>
      <c r="B2970" s="4" t="s">
        <v>6389</v>
      </c>
      <c r="C2970" s="5" t="s">
        <v>6390</v>
      </c>
      <c r="D2970" s="4"/>
      <c r="E2970" s="4"/>
      <c r="F2970" s="4" t="s">
        <v>22</v>
      </c>
      <c r="G2970" s="6">
        <v>0.02</v>
      </c>
      <c r="H2970" s="7" t="s">
        <v>1606</v>
      </c>
      <c r="I2970" s="4" t="s">
        <v>1869</v>
      </c>
      <c r="J2970" s="4" t="s">
        <v>6330</v>
      </c>
      <c r="K2970" s="8"/>
      <c r="L2970" s="8" t="s">
        <v>33</v>
      </c>
      <c r="M2970" s="9">
        <f t="shared" si="1"/>
        <v>32</v>
      </c>
    </row>
    <row r="2971" ht="12.75" customHeight="1">
      <c r="A2971" s="4">
        <f t="shared" si="2"/>
        <v>2970</v>
      </c>
      <c r="B2971" s="4" t="s">
        <v>6391</v>
      </c>
      <c r="C2971" s="5" t="s">
        <v>6392</v>
      </c>
      <c r="D2971" s="4"/>
      <c r="E2971" s="4"/>
      <c r="F2971" s="4" t="s">
        <v>22</v>
      </c>
      <c r="G2971" s="6">
        <v>0.03</v>
      </c>
      <c r="H2971" s="7" t="s">
        <v>1606</v>
      </c>
      <c r="I2971" s="4" t="s">
        <v>1869</v>
      </c>
      <c r="J2971" s="4" t="s">
        <v>6330</v>
      </c>
      <c r="K2971" s="8"/>
      <c r="L2971" s="8" t="s">
        <v>33</v>
      </c>
      <c r="M2971" s="9">
        <f t="shared" si="1"/>
        <v>32</v>
      </c>
    </row>
    <row r="2972" ht="12.75" customHeight="1">
      <c r="A2972" s="4">
        <f t="shared" si="2"/>
        <v>2971</v>
      </c>
      <c r="B2972" s="4" t="s">
        <v>6393</v>
      </c>
      <c r="C2972" s="5" t="s">
        <v>6394</v>
      </c>
      <c r="D2972" s="4"/>
      <c r="E2972" s="4"/>
      <c r="F2972" s="4" t="s">
        <v>22</v>
      </c>
      <c r="G2972" s="6">
        <v>0.35</v>
      </c>
      <c r="H2972" s="7" t="s">
        <v>1606</v>
      </c>
      <c r="I2972" s="4" t="s">
        <v>1869</v>
      </c>
      <c r="J2972" s="4" t="s">
        <v>6330</v>
      </c>
      <c r="K2972" s="8"/>
      <c r="L2972" s="8" t="s">
        <v>33</v>
      </c>
      <c r="M2972" s="9">
        <f t="shared" si="1"/>
        <v>32</v>
      </c>
    </row>
    <row r="2973" ht="12.75" customHeight="1">
      <c r="A2973" s="4">
        <f t="shared" si="2"/>
        <v>2972</v>
      </c>
      <c r="B2973" s="4" t="s">
        <v>6395</v>
      </c>
      <c r="C2973" s="5" t="s">
        <v>6396</v>
      </c>
      <c r="D2973" s="4"/>
      <c r="E2973" s="4"/>
      <c r="F2973" s="4" t="s">
        <v>22</v>
      </c>
      <c r="G2973" s="6">
        <v>0.05</v>
      </c>
      <c r="H2973" s="7" t="s">
        <v>1606</v>
      </c>
      <c r="I2973" s="4" t="s">
        <v>1869</v>
      </c>
      <c r="J2973" s="4" t="s">
        <v>6330</v>
      </c>
      <c r="K2973" s="8"/>
      <c r="L2973" s="8" t="s">
        <v>33</v>
      </c>
      <c r="M2973" s="9">
        <f t="shared" si="1"/>
        <v>32</v>
      </c>
    </row>
    <row r="2974" ht="12.75" customHeight="1">
      <c r="A2974" s="4">
        <f t="shared" si="2"/>
        <v>2973</v>
      </c>
      <c r="B2974" s="4" t="s">
        <v>6397</v>
      </c>
      <c r="C2974" s="5" t="s">
        <v>6398</v>
      </c>
      <c r="D2974" s="4"/>
      <c r="E2974" s="4"/>
      <c r="F2974" s="4" t="s">
        <v>22</v>
      </c>
      <c r="G2974" s="6">
        <v>0.1</v>
      </c>
      <c r="H2974" s="7" t="s">
        <v>1606</v>
      </c>
      <c r="I2974" s="4" t="s">
        <v>1869</v>
      </c>
      <c r="J2974" s="4" t="s">
        <v>6330</v>
      </c>
      <c r="K2974" s="8"/>
      <c r="L2974" s="8" t="s">
        <v>33</v>
      </c>
      <c r="M2974" s="9">
        <f t="shared" si="1"/>
        <v>32</v>
      </c>
    </row>
    <row r="2975" ht="12.75" customHeight="1">
      <c r="A2975" s="4">
        <f t="shared" si="2"/>
        <v>2974</v>
      </c>
      <c r="B2975" s="4" t="s">
        <v>6399</v>
      </c>
      <c r="C2975" s="5" t="s">
        <v>6400</v>
      </c>
      <c r="D2975" s="4"/>
      <c r="E2975" s="4"/>
      <c r="F2975" s="4" t="s">
        <v>22</v>
      </c>
      <c r="G2975" s="6">
        <v>0.15</v>
      </c>
      <c r="H2975" s="7" t="s">
        <v>1606</v>
      </c>
      <c r="I2975" s="4" t="s">
        <v>1869</v>
      </c>
      <c r="J2975" s="4" t="s">
        <v>6330</v>
      </c>
      <c r="K2975" s="8"/>
      <c r="L2975" s="8" t="s">
        <v>33</v>
      </c>
      <c r="M2975" s="9">
        <f t="shared" si="1"/>
        <v>32</v>
      </c>
    </row>
    <row r="2976" ht="12.75" customHeight="1">
      <c r="A2976" s="4">
        <f t="shared" si="2"/>
        <v>2975</v>
      </c>
      <c r="B2976" s="4" t="s">
        <v>6401</v>
      </c>
      <c r="C2976" s="5" t="s">
        <v>6402</v>
      </c>
      <c r="D2976" s="4"/>
      <c r="E2976" s="4"/>
      <c r="F2976" s="4" t="s">
        <v>22</v>
      </c>
      <c r="G2976" s="21">
        <v>0.54</v>
      </c>
      <c r="H2976" s="7" t="s">
        <v>1606</v>
      </c>
      <c r="I2976" s="4" t="s">
        <v>1869</v>
      </c>
      <c r="J2976" s="4" t="s">
        <v>6330</v>
      </c>
      <c r="K2976" s="8"/>
      <c r="L2976" s="8" t="s">
        <v>33</v>
      </c>
      <c r="M2976" s="9">
        <f t="shared" si="1"/>
        <v>31</v>
      </c>
    </row>
    <row r="2977" ht="12.75" customHeight="1">
      <c r="A2977" s="4">
        <f t="shared" si="2"/>
        <v>2976</v>
      </c>
      <c r="B2977" s="4" t="s">
        <v>6403</v>
      </c>
      <c r="C2977" s="5" t="s">
        <v>6404</v>
      </c>
      <c r="D2977" s="4"/>
      <c r="E2977" s="4"/>
      <c r="F2977" s="4" t="s">
        <v>22</v>
      </c>
      <c r="G2977" s="6">
        <v>0.12</v>
      </c>
      <c r="H2977" s="7" t="s">
        <v>1606</v>
      </c>
      <c r="I2977" s="4" t="s">
        <v>1869</v>
      </c>
      <c r="J2977" s="4" t="s">
        <v>6330</v>
      </c>
      <c r="K2977" s="8"/>
      <c r="L2977" s="8" t="s">
        <v>33</v>
      </c>
      <c r="M2977" s="9">
        <f t="shared" si="1"/>
        <v>33</v>
      </c>
    </row>
    <row r="2978" ht="12.75" customHeight="1">
      <c r="A2978" s="4">
        <f t="shared" si="2"/>
        <v>2977</v>
      </c>
      <c r="B2978" s="4" t="s">
        <v>6405</v>
      </c>
      <c r="C2978" s="5" t="s">
        <v>6406</v>
      </c>
      <c r="D2978" s="4"/>
      <c r="E2978" s="4"/>
      <c r="F2978" s="4" t="s">
        <v>22</v>
      </c>
      <c r="G2978" s="6">
        <v>0.07</v>
      </c>
      <c r="H2978" s="7" t="s">
        <v>1606</v>
      </c>
      <c r="I2978" s="4" t="s">
        <v>1869</v>
      </c>
      <c r="J2978" s="4" t="s">
        <v>6330</v>
      </c>
      <c r="K2978" s="8"/>
      <c r="L2978" s="8" t="s">
        <v>33</v>
      </c>
      <c r="M2978" s="9">
        <f t="shared" si="1"/>
        <v>33</v>
      </c>
    </row>
    <row r="2979" ht="12.75" customHeight="1">
      <c r="A2979" s="4">
        <f t="shared" si="2"/>
        <v>2978</v>
      </c>
      <c r="B2979" s="4" t="s">
        <v>6407</v>
      </c>
      <c r="C2979" s="5" t="s">
        <v>6408</v>
      </c>
      <c r="D2979" s="4"/>
      <c r="E2979" s="4"/>
      <c r="F2979" s="4" t="s">
        <v>22</v>
      </c>
      <c r="G2979" s="21">
        <v>0.05</v>
      </c>
      <c r="H2979" s="7" t="s">
        <v>1606</v>
      </c>
      <c r="I2979" s="4" t="s">
        <v>1869</v>
      </c>
      <c r="J2979" s="4" t="s">
        <v>6330</v>
      </c>
      <c r="K2979" s="8"/>
      <c r="L2979" s="8" t="s">
        <v>33</v>
      </c>
      <c r="M2979" s="9">
        <f t="shared" si="1"/>
        <v>33</v>
      </c>
    </row>
    <row r="2980" ht="12.75" customHeight="1">
      <c r="A2980" s="4">
        <f t="shared" si="2"/>
        <v>2979</v>
      </c>
      <c r="B2980" s="4" t="s">
        <v>6409</v>
      </c>
      <c r="C2980" s="5" t="s">
        <v>6410</v>
      </c>
      <c r="D2980" s="4"/>
      <c r="E2980" s="4"/>
      <c r="F2980" s="4" t="s">
        <v>22</v>
      </c>
      <c r="G2980" s="6">
        <v>0.38</v>
      </c>
      <c r="H2980" s="7" t="s">
        <v>1606</v>
      </c>
      <c r="I2980" s="4" t="s">
        <v>1869</v>
      </c>
      <c r="J2980" s="4" t="s">
        <v>6330</v>
      </c>
      <c r="K2980" s="8"/>
      <c r="L2980" s="8" t="s">
        <v>33</v>
      </c>
      <c r="M2980" s="9">
        <f t="shared" si="1"/>
        <v>33</v>
      </c>
    </row>
    <row r="2981" ht="12.75" customHeight="1">
      <c r="A2981" s="4">
        <f t="shared" si="2"/>
        <v>2980</v>
      </c>
      <c r="B2981" s="4" t="s">
        <v>6411</v>
      </c>
      <c r="C2981" s="5" t="s">
        <v>6412</v>
      </c>
      <c r="D2981" s="4"/>
      <c r="E2981" s="4"/>
      <c r="F2981" s="4" t="s">
        <v>22</v>
      </c>
      <c r="G2981" s="21">
        <v>0.1</v>
      </c>
      <c r="H2981" s="7" t="s">
        <v>1606</v>
      </c>
      <c r="I2981" s="4" t="s">
        <v>1869</v>
      </c>
      <c r="J2981" s="4" t="s">
        <v>6330</v>
      </c>
      <c r="K2981" s="8"/>
      <c r="L2981" s="8" t="s">
        <v>33</v>
      </c>
      <c r="M2981" s="9">
        <f t="shared" si="1"/>
        <v>33</v>
      </c>
    </row>
    <row r="2982" ht="12.75" customHeight="1">
      <c r="A2982" s="4">
        <f t="shared" si="2"/>
        <v>2981</v>
      </c>
      <c r="B2982" s="4" t="s">
        <v>6413</v>
      </c>
      <c r="C2982" s="5" t="s">
        <v>6414</v>
      </c>
      <c r="D2982" s="4"/>
      <c r="E2982" s="4"/>
      <c r="F2982" s="4" t="s">
        <v>22</v>
      </c>
      <c r="G2982" s="6">
        <v>0.19</v>
      </c>
      <c r="H2982" s="7" t="s">
        <v>1606</v>
      </c>
      <c r="I2982" s="4" t="s">
        <v>1869</v>
      </c>
      <c r="J2982" s="4" t="s">
        <v>6330</v>
      </c>
      <c r="K2982" s="8"/>
      <c r="L2982" s="8" t="s">
        <v>33</v>
      </c>
      <c r="M2982" s="9">
        <f t="shared" si="1"/>
        <v>33</v>
      </c>
    </row>
    <row r="2983" ht="12.75" customHeight="1">
      <c r="A2983" s="4">
        <f t="shared" si="2"/>
        <v>2982</v>
      </c>
      <c r="B2983" s="4" t="s">
        <v>6415</v>
      </c>
      <c r="C2983" s="5" t="s">
        <v>6416</v>
      </c>
      <c r="D2983" s="4"/>
      <c r="E2983" s="4"/>
      <c r="F2983" s="4" t="s">
        <v>22</v>
      </c>
      <c r="G2983" s="6">
        <v>0.25</v>
      </c>
      <c r="H2983" s="7" t="s">
        <v>1606</v>
      </c>
      <c r="I2983" s="4" t="s">
        <v>1869</v>
      </c>
      <c r="J2983" s="4" t="s">
        <v>6330</v>
      </c>
      <c r="K2983" s="8"/>
      <c r="L2983" s="8" t="s">
        <v>33</v>
      </c>
      <c r="M2983" s="9">
        <f t="shared" si="1"/>
        <v>33</v>
      </c>
    </row>
    <row r="2984" ht="12.75" customHeight="1">
      <c r="A2984" s="4">
        <f t="shared" si="2"/>
        <v>2983</v>
      </c>
      <c r="B2984" s="4" t="s">
        <v>6417</v>
      </c>
      <c r="C2984" s="5" t="s">
        <v>6418</v>
      </c>
      <c r="D2984" s="4"/>
      <c r="E2984" s="4"/>
      <c r="F2984" s="4" t="s">
        <v>22</v>
      </c>
      <c r="G2984" s="6">
        <v>0.54</v>
      </c>
      <c r="H2984" s="7" t="s">
        <v>1606</v>
      </c>
      <c r="I2984" s="4" t="s">
        <v>1869</v>
      </c>
      <c r="J2984" s="4" t="s">
        <v>6330</v>
      </c>
      <c r="K2984" s="8"/>
      <c r="L2984" s="8" t="s">
        <v>33</v>
      </c>
      <c r="M2984" s="9">
        <f t="shared" si="1"/>
        <v>31</v>
      </c>
    </row>
    <row r="2985" ht="12.75" customHeight="1">
      <c r="A2985" s="4">
        <f t="shared" si="2"/>
        <v>2984</v>
      </c>
      <c r="B2985" s="4" t="s">
        <v>6419</v>
      </c>
      <c r="C2985" s="5" t="s">
        <v>6420</v>
      </c>
      <c r="D2985" s="4"/>
      <c r="E2985" s="4"/>
      <c r="F2985" s="4" t="s">
        <v>22</v>
      </c>
      <c r="G2985" s="21">
        <v>0.12</v>
      </c>
      <c r="H2985" s="7" t="s">
        <v>1606</v>
      </c>
      <c r="I2985" s="4" t="s">
        <v>1869</v>
      </c>
      <c r="J2985" s="4" t="s">
        <v>6330</v>
      </c>
      <c r="K2985" s="8"/>
      <c r="L2985" s="8" t="s">
        <v>33</v>
      </c>
      <c r="M2985" s="9">
        <f t="shared" si="1"/>
        <v>33</v>
      </c>
    </row>
    <row r="2986" ht="12.75" customHeight="1">
      <c r="A2986" s="4">
        <f t="shared" si="2"/>
        <v>2985</v>
      </c>
      <c r="B2986" s="4" t="s">
        <v>6421</v>
      </c>
      <c r="C2986" s="5" t="s">
        <v>6422</v>
      </c>
      <c r="D2986" s="4"/>
      <c r="E2986" s="4"/>
      <c r="F2986" s="4" t="s">
        <v>22</v>
      </c>
      <c r="G2986" s="6">
        <v>0.07</v>
      </c>
      <c r="H2986" s="7" t="s">
        <v>1606</v>
      </c>
      <c r="I2986" s="4" t="s">
        <v>1869</v>
      </c>
      <c r="J2986" s="4" t="s">
        <v>6330</v>
      </c>
      <c r="K2986" s="8"/>
      <c r="L2986" s="8" t="s">
        <v>33</v>
      </c>
      <c r="M2986" s="9">
        <f t="shared" si="1"/>
        <v>33</v>
      </c>
    </row>
    <row r="2987" ht="12.75" customHeight="1">
      <c r="A2987" s="4">
        <f t="shared" si="2"/>
        <v>2986</v>
      </c>
      <c r="B2987" s="4" t="s">
        <v>6423</v>
      </c>
      <c r="C2987" s="5" t="s">
        <v>6424</v>
      </c>
      <c r="D2987" s="4"/>
      <c r="E2987" s="4"/>
      <c r="F2987" s="4" t="s">
        <v>22</v>
      </c>
      <c r="G2987" s="21">
        <v>0.05</v>
      </c>
      <c r="H2987" s="7" t="s">
        <v>1606</v>
      </c>
      <c r="I2987" s="4" t="s">
        <v>1869</v>
      </c>
      <c r="J2987" s="4" t="s">
        <v>6330</v>
      </c>
      <c r="K2987" s="8"/>
      <c r="L2987" s="8" t="s">
        <v>33</v>
      </c>
      <c r="M2987" s="9">
        <f t="shared" si="1"/>
        <v>33</v>
      </c>
    </row>
    <row r="2988" ht="12.75" customHeight="1">
      <c r="A2988" s="4">
        <f t="shared" si="2"/>
        <v>2987</v>
      </c>
      <c r="B2988" s="4" t="s">
        <v>6425</v>
      </c>
      <c r="C2988" s="5" t="s">
        <v>6426</v>
      </c>
      <c r="D2988" s="4"/>
      <c r="E2988" s="4"/>
      <c r="F2988" s="4" t="s">
        <v>22</v>
      </c>
      <c r="G2988" s="6">
        <v>0.38</v>
      </c>
      <c r="H2988" s="7" t="s">
        <v>1606</v>
      </c>
      <c r="I2988" s="4" t="s">
        <v>1869</v>
      </c>
      <c r="J2988" s="4" t="s">
        <v>6330</v>
      </c>
      <c r="K2988" s="8"/>
      <c r="L2988" s="8" t="s">
        <v>33</v>
      </c>
      <c r="M2988" s="9">
        <f t="shared" si="1"/>
        <v>33</v>
      </c>
    </row>
    <row r="2989" ht="12.75" customHeight="1">
      <c r="A2989" s="4">
        <f t="shared" si="2"/>
        <v>2988</v>
      </c>
      <c r="B2989" s="4" t="s">
        <v>6427</v>
      </c>
      <c r="C2989" s="5" t="s">
        <v>6428</v>
      </c>
      <c r="D2989" s="4"/>
      <c r="E2989" s="4"/>
      <c r="F2989" s="4" t="s">
        <v>22</v>
      </c>
      <c r="G2989" s="6">
        <v>0.1</v>
      </c>
      <c r="H2989" s="7" t="s">
        <v>1606</v>
      </c>
      <c r="I2989" s="4" t="s">
        <v>1869</v>
      </c>
      <c r="J2989" s="4" t="s">
        <v>6330</v>
      </c>
      <c r="K2989" s="8"/>
      <c r="L2989" s="8" t="s">
        <v>33</v>
      </c>
      <c r="M2989" s="9">
        <f t="shared" si="1"/>
        <v>33</v>
      </c>
    </row>
    <row r="2990" ht="12.75" customHeight="1">
      <c r="A2990" s="4">
        <f t="shared" si="2"/>
        <v>2989</v>
      </c>
      <c r="B2990" s="4" t="s">
        <v>6429</v>
      </c>
      <c r="C2990" s="5" t="s">
        <v>6430</v>
      </c>
      <c r="D2990" s="4"/>
      <c r="E2990" s="4"/>
      <c r="F2990" s="4" t="s">
        <v>22</v>
      </c>
      <c r="G2990" s="6">
        <v>0.19</v>
      </c>
      <c r="H2990" s="7" t="s">
        <v>1606</v>
      </c>
      <c r="I2990" s="4" t="s">
        <v>1869</v>
      </c>
      <c r="J2990" s="4" t="s">
        <v>6330</v>
      </c>
      <c r="K2990" s="8"/>
      <c r="L2990" s="8" t="s">
        <v>33</v>
      </c>
      <c r="M2990" s="9">
        <f t="shared" si="1"/>
        <v>33</v>
      </c>
    </row>
    <row r="2991" ht="12.75" customHeight="1">
      <c r="A2991" s="4">
        <f t="shared" si="2"/>
        <v>2990</v>
      </c>
      <c r="B2991" s="4" t="s">
        <v>6431</v>
      </c>
      <c r="C2991" s="5" t="s">
        <v>6432</v>
      </c>
      <c r="D2991" s="4"/>
      <c r="E2991" s="4"/>
      <c r="F2991" s="4" t="s">
        <v>22</v>
      </c>
      <c r="G2991" s="6">
        <v>0.25</v>
      </c>
      <c r="H2991" s="7" t="s">
        <v>1606</v>
      </c>
      <c r="I2991" s="4" t="s">
        <v>1869</v>
      </c>
      <c r="J2991" s="4" t="s">
        <v>6330</v>
      </c>
      <c r="K2991" s="8"/>
      <c r="L2991" s="8" t="s">
        <v>33</v>
      </c>
      <c r="M2991" s="9">
        <f t="shared" si="1"/>
        <v>33</v>
      </c>
    </row>
    <row r="2992" ht="12.75" customHeight="1">
      <c r="A2992" s="4">
        <f t="shared" si="2"/>
        <v>2991</v>
      </c>
      <c r="B2992" s="4" t="s">
        <v>6433</v>
      </c>
      <c r="C2992" s="5" t="s">
        <v>6434</v>
      </c>
      <c r="D2992" s="4"/>
      <c r="E2992" s="4"/>
      <c r="F2992" s="4" t="s">
        <v>22</v>
      </c>
      <c r="G2992" s="6">
        <v>0.04</v>
      </c>
      <c r="H2992" s="7" t="s">
        <v>1606</v>
      </c>
      <c r="I2992" s="4" t="s">
        <v>1869</v>
      </c>
      <c r="J2992" s="4" t="s">
        <v>6330</v>
      </c>
      <c r="K2992" s="8"/>
      <c r="L2992" s="8" t="s">
        <v>33</v>
      </c>
      <c r="M2992" s="9">
        <f t="shared" si="1"/>
        <v>30</v>
      </c>
    </row>
    <row r="2993" ht="12.75" customHeight="1">
      <c r="A2993" s="4">
        <f t="shared" si="2"/>
        <v>2992</v>
      </c>
      <c r="B2993" s="4" t="s">
        <v>6435</v>
      </c>
      <c r="C2993" s="5" t="s">
        <v>6436</v>
      </c>
      <c r="D2993" s="4"/>
      <c r="E2993" s="4"/>
      <c r="F2993" s="4" t="s">
        <v>22</v>
      </c>
      <c r="G2993" s="21">
        <v>0.03</v>
      </c>
      <c r="H2993" s="7" t="s">
        <v>1606</v>
      </c>
      <c r="I2993" s="4" t="s">
        <v>1869</v>
      </c>
      <c r="J2993" s="4" t="s">
        <v>6330</v>
      </c>
      <c r="K2993" s="8"/>
      <c r="L2993" s="8" t="s">
        <v>33</v>
      </c>
      <c r="M2993" s="9">
        <f t="shared" si="1"/>
        <v>32</v>
      </c>
    </row>
    <row r="2994" ht="12.75" customHeight="1">
      <c r="A2994" s="4">
        <f t="shared" si="2"/>
        <v>2993</v>
      </c>
      <c r="B2994" s="4" t="s">
        <v>6437</v>
      </c>
      <c r="C2994" s="5" t="s">
        <v>6438</v>
      </c>
      <c r="D2994" s="4"/>
      <c r="E2994" s="4"/>
      <c r="F2994" s="4" t="s">
        <v>22</v>
      </c>
      <c r="G2994" s="6">
        <v>0.01</v>
      </c>
      <c r="H2994" s="7" t="s">
        <v>1606</v>
      </c>
      <c r="I2994" s="4" t="s">
        <v>1869</v>
      </c>
      <c r="J2994" s="4" t="s">
        <v>6330</v>
      </c>
      <c r="K2994" s="8"/>
      <c r="L2994" s="8" t="s">
        <v>33</v>
      </c>
      <c r="M2994" s="9">
        <f t="shared" si="1"/>
        <v>32</v>
      </c>
    </row>
    <row r="2995" ht="12.75" customHeight="1">
      <c r="A2995" s="4">
        <f t="shared" si="2"/>
        <v>2994</v>
      </c>
      <c r="B2995" s="4" t="s">
        <v>6439</v>
      </c>
      <c r="C2995" s="5" t="s">
        <v>6440</v>
      </c>
      <c r="D2995" s="4"/>
      <c r="E2995" s="4"/>
      <c r="F2995" s="4" t="s">
        <v>22</v>
      </c>
      <c r="G2995" s="21">
        <v>0.02</v>
      </c>
      <c r="H2995" s="7" t="s">
        <v>1606</v>
      </c>
      <c r="I2995" s="4" t="s">
        <v>1869</v>
      </c>
      <c r="J2995" s="4" t="s">
        <v>6330</v>
      </c>
      <c r="K2995" s="8"/>
      <c r="L2995" s="8" t="s">
        <v>33</v>
      </c>
      <c r="M2995" s="9">
        <f t="shared" si="1"/>
        <v>32</v>
      </c>
    </row>
    <row r="2996" ht="12.75" customHeight="1">
      <c r="A2996" s="4">
        <f t="shared" si="2"/>
        <v>2995</v>
      </c>
      <c r="B2996" s="4" t="s">
        <v>6441</v>
      </c>
      <c r="C2996" s="5" t="s">
        <v>6442</v>
      </c>
      <c r="D2996" s="4"/>
      <c r="E2996" s="4"/>
      <c r="F2996" s="4" t="s">
        <v>22</v>
      </c>
      <c r="G2996" s="6">
        <v>0.04</v>
      </c>
      <c r="H2996" s="7" t="s">
        <v>1606</v>
      </c>
      <c r="I2996" s="4" t="s">
        <v>1869</v>
      </c>
      <c r="J2996" s="4" t="s">
        <v>6330</v>
      </c>
      <c r="K2996" s="8"/>
      <c r="L2996" s="8" t="s">
        <v>33</v>
      </c>
      <c r="M2996" s="9">
        <f t="shared" si="1"/>
        <v>32</v>
      </c>
    </row>
    <row r="2997" ht="12.75" customHeight="1">
      <c r="A2997" s="4">
        <f t="shared" si="2"/>
        <v>2996</v>
      </c>
      <c r="B2997" s="4" t="s">
        <v>6443</v>
      </c>
      <c r="C2997" s="5" t="s">
        <v>6444</v>
      </c>
      <c r="D2997" s="4"/>
      <c r="E2997" s="4"/>
      <c r="F2997" s="4" t="s">
        <v>22</v>
      </c>
      <c r="G2997" s="6">
        <v>0.02</v>
      </c>
      <c r="H2997" s="7" t="s">
        <v>1606</v>
      </c>
      <c r="I2997" s="4" t="s">
        <v>1869</v>
      </c>
      <c r="J2997" s="4" t="s">
        <v>6330</v>
      </c>
      <c r="K2997" s="8"/>
      <c r="L2997" s="8" t="s">
        <v>33</v>
      </c>
      <c r="M2997" s="9">
        <f t="shared" si="1"/>
        <v>32</v>
      </c>
    </row>
    <row r="2998" ht="12.75" customHeight="1">
      <c r="A2998" s="4">
        <f t="shared" si="2"/>
        <v>2997</v>
      </c>
      <c r="B2998" s="4" t="s">
        <v>6445</v>
      </c>
      <c r="C2998" s="5" t="s">
        <v>6446</v>
      </c>
      <c r="D2998" s="4"/>
      <c r="E2998" s="4"/>
      <c r="F2998" s="4" t="s">
        <v>22</v>
      </c>
      <c r="G2998" s="6">
        <v>0.03</v>
      </c>
      <c r="H2998" s="7" t="s">
        <v>1606</v>
      </c>
      <c r="I2998" s="4" t="s">
        <v>1869</v>
      </c>
      <c r="J2998" s="4" t="s">
        <v>6330</v>
      </c>
      <c r="K2998" s="8"/>
      <c r="L2998" s="8" t="s">
        <v>33</v>
      </c>
      <c r="M2998" s="9">
        <f t="shared" si="1"/>
        <v>32</v>
      </c>
    </row>
    <row r="2999" ht="12.75" customHeight="1">
      <c r="A2999" s="4">
        <f t="shared" si="2"/>
        <v>2998</v>
      </c>
      <c r="B2999" s="4" t="s">
        <v>6447</v>
      </c>
      <c r="C2999" s="5" t="s">
        <v>6448</v>
      </c>
      <c r="D2999" s="4"/>
      <c r="E2999" s="4"/>
      <c r="F2999" s="4" t="s">
        <v>22</v>
      </c>
      <c r="G2999" s="6">
        <v>0.04</v>
      </c>
      <c r="H2999" s="7" t="s">
        <v>1606</v>
      </c>
      <c r="I2999" s="4" t="s">
        <v>1869</v>
      </c>
      <c r="J2999" s="4" t="s">
        <v>6330</v>
      </c>
      <c r="K2999" s="8"/>
      <c r="L2999" s="8" t="s">
        <v>33</v>
      </c>
      <c r="M2999" s="9">
        <f t="shared" si="1"/>
        <v>32</v>
      </c>
    </row>
    <row r="3000" ht="12.75" customHeight="1">
      <c r="A3000" s="4">
        <f t="shared" si="2"/>
        <v>2999</v>
      </c>
      <c r="B3000" s="4" t="s">
        <v>6449</v>
      </c>
      <c r="C3000" s="5" t="s">
        <v>6450</v>
      </c>
      <c r="D3000" s="4"/>
      <c r="E3000" s="4"/>
      <c r="F3000" s="4" t="s">
        <v>371</v>
      </c>
      <c r="G3000" s="6">
        <v>1.45</v>
      </c>
      <c r="H3000" s="7" t="s">
        <v>1606</v>
      </c>
      <c r="I3000" s="4" t="s">
        <v>1869</v>
      </c>
      <c r="J3000" s="4" t="s">
        <v>3477</v>
      </c>
      <c r="K3000" s="8"/>
      <c r="L3000" s="8" t="s">
        <v>33</v>
      </c>
      <c r="M3000" s="9">
        <f t="shared" si="1"/>
        <v>72</v>
      </c>
    </row>
    <row r="3001" ht="12.75" customHeight="1">
      <c r="A3001" s="4">
        <f t="shared" si="2"/>
        <v>3000</v>
      </c>
      <c r="B3001" s="4" t="s">
        <v>6451</v>
      </c>
      <c r="C3001" s="5" t="s">
        <v>6452</v>
      </c>
      <c r="D3001" s="4"/>
      <c r="E3001" s="4"/>
      <c r="F3001" s="4" t="s">
        <v>371</v>
      </c>
      <c r="G3001" s="6">
        <v>1.65</v>
      </c>
      <c r="H3001" s="7" t="s">
        <v>1606</v>
      </c>
      <c r="I3001" s="4" t="s">
        <v>1869</v>
      </c>
      <c r="J3001" s="4" t="s">
        <v>3477</v>
      </c>
      <c r="K3001" s="8"/>
      <c r="L3001" s="8" t="s">
        <v>33</v>
      </c>
      <c r="M3001" s="9">
        <f t="shared" si="1"/>
        <v>72</v>
      </c>
    </row>
    <row r="3002" ht="12.75" customHeight="1">
      <c r="A3002" s="4">
        <f t="shared" si="2"/>
        <v>3001</v>
      </c>
      <c r="B3002" s="4" t="s">
        <v>6453</v>
      </c>
      <c r="C3002" s="5" t="s">
        <v>6454</v>
      </c>
      <c r="D3002" s="4"/>
      <c r="E3002" s="4"/>
      <c r="F3002" s="4" t="s">
        <v>371</v>
      </c>
      <c r="G3002" s="6">
        <v>2.2</v>
      </c>
      <c r="H3002" s="7" t="s">
        <v>1606</v>
      </c>
      <c r="I3002" s="4" t="s">
        <v>1869</v>
      </c>
      <c r="J3002" s="4" t="s">
        <v>3477</v>
      </c>
      <c r="K3002" s="8"/>
      <c r="L3002" s="8" t="s">
        <v>33</v>
      </c>
      <c r="M3002" s="9">
        <f t="shared" si="1"/>
        <v>72</v>
      </c>
    </row>
    <row r="3003" ht="12.75" customHeight="1">
      <c r="A3003" s="4">
        <f t="shared" si="2"/>
        <v>3002</v>
      </c>
      <c r="B3003" s="4" t="s">
        <v>6455</v>
      </c>
      <c r="C3003" s="5" t="s">
        <v>6456</v>
      </c>
      <c r="D3003" s="4"/>
      <c r="E3003" s="4"/>
      <c r="F3003" s="4" t="s">
        <v>371</v>
      </c>
      <c r="G3003" s="6">
        <v>2.85</v>
      </c>
      <c r="H3003" s="7" t="s">
        <v>1606</v>
      </c>
      <c r="I3003" s="4" t="s">
        <v>1869</v>
      </c>
      <c r="J3003" s="4" t="s">
        <v>3477</v>
      </c>
      <c r="K3003" s="8"/>
      <c r="L3003" s="8" t="s">
        <v>33</v>
      </c>
      <c r="M3003" s="9">
        <f t="shared" si="1"/>
        <v>72</v>
      </c>
    </row>
    <row r="3004" ht="12.75" customHeight="1">
      <c r="A3004" s="4">
        <f t="shared" si="2"/>
        <v>3003</v>
      </c>
      <c r="B3004" s="4" t="s">
        <v>6457</v>
      </c>
      <c r="C3004" s="5" t="s">
        <v>6458</v>
      </c>
      <c r="D3004" s="4"/>
      <c r="E3004" s="4"/>
      <c r="F3004" s="4" t="s">
        <v>371</v>
      </c>
      <c r="G3004" s="6">
        <v>3.45</v>
      </c>
      <c r="H3004" s="7" t="s">
        <v>1606</v>
      </c>
      <c r="I3004" s="4" t="s">
        <v>1869</v>
      </c>
      <c r="J3004" s="4" t="s">
        <v>3477</v>
      </c>
      <c r="K3004" s="8"/>
      <c r="L3004" s="8" t="s">
        <v>33</v>
      </c>
      <c r="M3004" s="9">
        <f t="shared" si="1"/>
        <v>72</v>
      </c>
    </row>
    <row r="3005" ht="12.75" customHeight="1">
      <c r="A3005" s="4">
        <f t="shared" si="2"/>
        <v>3004</v>
      </c>
      <c r="B3005" s="4" t="s">
        <v>6459</v>
      </c>
      <c r="C3005" s="5" t="s">
        <v>6460</v>
      </c>
      <c r="D3005" s="4"/>
      <c r="E3005" s="4"/>
      <c r="F3005" s="4" t="s">
        <v>371</v>
      </c>
      <c r="G3005" s="6">
        <v>0.65</v>
      </c>
      <c r="H3005" s="7" t="s">
        <v>1606</v>
      </c>
      <c r="I3005" s="4" t="s">
        <v>1869</v>
      </c>
      <c r="J3005" s="4" t="s">
        <v>3477</v>
      </c>
      <c r="K3005" s="8"/>
      <c r="L3005" s="8" t="s">
        <v>33</v>
      </c>
      <c r="M3005" s="9">
        <f t="shared" si="1"/>
        <v>76</v>
      </c>
    </row>
    <row r="3006" ht="12.75" customHeight="1">
      <c r="A3006" s="4">
        <f t="shared" si="2"/>
        <v>3005</v>
      </c>
      <c r="B3006" s="4" t="s">
        <v>6461</v>
      </c>
      <c r="C3006" s="5" t="s">
        <v>6462</v>
      </c>
      <c r="D3006" s="4"/>
      <c r="E3006" s="4"/>
      <c r="F3006" s="4" t="s">
        <v>371</v>
      </c>
      <c r="G3006" s="6">
        <v>0.56</v>
      </c>
      <c r="H3006" s="7" t="s">
        <v>1606</v>
      </c>
      <c r="I3006" s="4" t="s">
        <v>1869</v>
      </c>
      <c r="J3006" s="4" t="s">
        <v>3477</v>
      </c>
      <c r="K3006" s="8"/>
      <c r="L3006" s="8" t="s">
        <v>33</v>
      </c>
      <c r="M3006" s="9">
        <f t="shared" si="1"/>
        <v>72</v>
      </c>
    </row>
    <row r="3007" ht="12.75" customHeight="1">
      <c r="A3007" s="4">
        <f t="shared" si="2"/>
        <v>3006</v>
      </c>
      <c r="B3007" s="4" t="s">
        <v>6463</v>
      </c>
      <c r="C3007" s="5" t="s">
        <v>6464</v>
      </c>
      <c r="D3007" s="4"/>
      <c r="E3007" s="4"/>
      <c r="F3007" s="4" t="s">
        <v>371</v>
      </c>
      <c r="G3007" s="6">
        <v>0.45</v>
      </c>
      <c r="H3007" s="7" t="s">
        <v>1606</v>
      </c>
      <c r="I3007" s="4" t="s">
        <v>1869</v>
      </c>
      <c r="J3007" s="4" t="s">
        <v>3477</v>
      </c>
      <c r="K3007" s="8"/>
      <c r="L3007" s="8" t="s">
        <v>33</v>
      </c>
      <c r="M3007" s="9">
        <f t="shared" si="1"/>
        <v>74</v>
      </c>
    </row>
    <row r="3008" ht="12.75" customHeight="1">
      <c r="A3008" s="4">
        <f t="shared" si="2"/>
        <v>3007</v>
      </c>
      <c r="B3008" s="4" t="s">
        <v>6465</v>
      </c>
      <c r="C3008" s="5" t="s">
        <v>6466</v>
      </c>
      <c r="D3008" s="4"/>
      <c r="E3008" s="4"/>
      <c r="F3008" s="4" t="s">
        <v>371</v>
      </c>
      <c r="G3008" s="6">
        <v>1.05</v>
      </c>
      <c r="H3008" s="7" t="s">
        <v>1606</v>
      </c>
      <c r="I3008" s="4" t="s">
        <v>1869</v>
      </c>
      <c r="J3008" s="4" t="s">
        <v>3477</v>
      </c>
      <c r="K3008" s="8"/>
      <c r="L3008" s="8" t="s">
        <v>33</v>
      </c>
      <c r="M3008" s="9">
        <f t="shared" si="1"/>
        <v>72</v>
      </c>
    </row>
    <row r="3009" ht="12.75" customHeight="1">
      <c r="A3009" s="4">
        <f t="shared" si="2"/>
        <v>3008</v>
      </c>
      <c r="B3009" s="4" t="s">
        <v>6467</v>
      </c>
      <c r="C3009" s="5" t="s">
        <v>6468</v>
      </c>
      <c r="D3009" s="4"/>
      <c r="E3009" s="4"/>
      <c r="F3009" s="4" t="s">
        <v>371</v>
      </c>
      <c r="G3009" s="21">
        <v>0.42</v>
      </c>
      <c r="H3009" s="7" t="s">
        <v>1606</v>
      </c>
      <c r="I3009" s="4" t="s">
        <v>1869</v>
      </c>
      <c r="J3009" s="4" t="s">
        <v>3477</v>
      </c>
      <c r="K3009" s="8"/>
      <c r="L3009" s="8" t="s">
        <v>33</v>
      </c>
      <c r="M3009" s="9">
        <f t="shared" si="1"/>
        <v>74</v>
      </c>
    </row>
    <row r="3010" ht="12.75" customHeight="1">
      <c r="A3010" s="4">
        <f t="shared" si="2"/>
        <v>3009</v>
      </c>
      <c r="B3010" s="4" t="s">
        <v>6469</v>
      </c>
      <c r="C3010" s="5" t="s">
        <v>6470</v>
      </c>
      <c r="D3010" s="4"/>
      <c r="E3010" s="4"/>
      <c r="F3010" s="4" t="s">
        <v>371</v>
      </c>
      <c r="G3010" s="6">
        <v>5.95</v>
      </c>
      <c r="H3010" s="7" t="s">
        <v>1606</v>
      </c>
      <c r="I3010" s="4" t="s">
        <v>1869</v>
      </c>
      <c r="J3010" s="4" t="s">
        <v>3477</v>
      </c>
      <c r="K3010" s="8"/>
      <c r="L3010" s="8" t="s">
        <v>33</v>
      </c>
      <c r="M3010" s="9">
        <f t="shared" si="1"/>
        <v>73</v>
      </c>
    </row>
    <row r="3011" ht="12.75" customHeight="1">
      <c r="A3011" s="4">
        <f t="shared" si="2"/>
        <v>3010</v>
      </c>
      <c r="B3011" s="4" t="s">
        <v>6471</v>
      </c>
      <c r="C3011" s="5" t="s">
        <v>6472</v>
      </c>
      <c r="D3011" s="4"/>
      <c r="E3011" s="4"/>
      <c r="F3011" s="4" t="s">
        <v>371</v>
      </c>
      <c r="G3011" s="6">
        <v>8.11</v>
      </c>
      <c r="H3011" s="7" t="s">
        <v>1606</v>
      </c>
      <c r="I3011" s="4" t="s">
        <v>1869</v>
      </c>
      <c r="J3011" s="4" t="s">
        <v>3477</v>
      </c>
      <c r="K3011" s="8"/>
      <c r="L3011" s="8" t="s">
        <v>33</v>
      </c>
      <c r="M3011" s="9">
        <f t="shared" si="1"/>
        <v>73</v>
      </c>
    </row>
    <row r="3012" ht="12.75" customHeight="1">
      <c r="A3012" s="4">
        <f t="shared" si="2"/>
        <v>3011</v>
      </c>
      <c r="B3012" s="4" t="s">
        <v>6473</v>
      </c>
      <c r="C3012" s="5" t="s">
        <v>6474</v>
      </c>
      <c r="D3012" s="4"/>
      <c r="E3012" s="4"/>
      <c r="F3012" s="4" t="s">
        <v>371</v>
      </c>
      <c r="G3012" s="6">
        <v>1.15</v>
      </c>
      <c r="H3012" s="7" t="s">
        <v>1606</v>
      </c>
      <c r="I3012" s="4" t="s">
        <v>1869</v>
      </c>
      <c r="J3012" s="4" t="s">
        <v>3477</v>
      </c>
      <c r="K3012" s="8"/>
      <c r="L3012" s="8" t="s">
        <v>33</v>
      </c>
      <c r="M3012" s="9">
        <f t="shared" si="1"/>
        <v>76</v>
      </c>
    </row>
    <row r="3013" ht="12.75" customHeight="1">
      <c r="A3013" s="4">
        <f t="shared" si="2"/>
        <v>3012</v>
      </c>
      <c r="B3013" s="4" t="s">
        <v>6475</v>
      </c>
      <c r="C3013" s="5" t="s">
        <v>6476</v>
      </c>
      <c r="D3013" s="4"/>
      <c r="E3013" s="4"/>
      <c r="F3013" s="4" t="s">
        <v>371</v>
      </c>
      <c r="G3013" s="6">
        <v>0.95</v>
      </c>
      <c r="H3013" s="7" t="s">
        <v>1606</v>
      </c>
      <c r="I3013" s="4" t="s">
        <v>1869</v>
      </c>
      <c r="J3013" s="4" t="s">
        <v>3477</v>
      </c>
      <c r="K3013" s="8"/>
      <c r="L3013" s="8" t="s">
        <v>33</v>
      </c>
      <c r="M3013" s="9">
        <f t="shared" si="1"/>
        <v>72</v>
      </c>
    </row>
    <row r="3014" ht="12.75" customHeight="1">
      <c r="A3014" s="4">
        <f t="shared" si="2"/>
        <v>3013</v>
      </c>
      <c r="B3014" s="4" t="s">
        <v>6477</v>
      </c>
      <c r="C3014" s="5" t="s">
        <v>6478</v>
      </c>
      <c r="D3014" s="4"/>
      <c r="E3014" s="4"/>
      <c r="F3014" s="4" t="s">
        <v>371</v>
      </c>
      <c r="G3014" s="6">
        <v>0.42</v>
      </c>
      <c r="H3014" s="7" t="s">
        <v>1606</v>
      </c>
      <c r="I3014" s="4" t="s">
        <v>1869</v>
      </c>
      <c r="J3014" s="4" t="s">
        <v>3477</v>
      </c>
      <c r="K3014" s="8"/>
      <c r="L3014" s="8" t="s">
        <v>33</v>
      </c>
      <c r="M3014" s="9">
        <f t="shared" si="1"/>
        <v>74</v>
      </c>
    </row>
    <row r="3015" ht="12.75" customHeight="1">
      <c r="A3015" s="4">
        <f t="shared" si="2"/>
        <v>3014</v>
      </c>
      <c r="B3015" s="4" t="s">
        <v>6479</v>
      </c>
      <c r="C3015" s="5" t="s">
        <v>6480</v>
      </c>
      <c r="D3015" s="4"/>
      <c r="E3015" s="4"/>
      <c r="F3015" s="4" t="s">
        <v>371</v>
      </c>
      <c r="G3015" s="6">
        <v>1.22</v>
      </c>
      <c r="H3015" s="7" t="s">
        <v>1606</v>
      </c>
      <c r="I3015" s="4" t="s">
        <v>1869</v>
      </c>
      <c r="J3015" s="4" t="s">
        <v>3477</v>
      </c>
      <c r="K3015" s="8"/>
      <c r="L3015" s="8" t="s">
        <v>33</v>
      </c>
      <c r="M3015" s="9">
        <f t="shared" si="1"/>
        <v>72</v>
      </c>
    </row>
    <row r="3016" ht="12.75" customHeight="1">
      <c r="A3016" s="4">
        <f t="shared" si="2"/>
        <v>3015</v>
      </c>
      <c r="B3016" s="4" t="s">
        <v>6481</v>
      </c>
      <c r="C3016" s="5" t="s">
        <v>6482</v>
      </c>
      <c r="D3016" s="4"/>
      <c r="E3016" s="4"/>
      <c r="F3016" s="4" t="s">
        <v>371</v>
      </c>
      <c r="G3016" s="6">
        <v>2.04</v>
      </c>
      <c r="H3016" s="7" t="s">
        <v>1606</v>
      </c>
      <c r="I3016" s="4" t="s">
        <v>1869</v>
      </c>
      <c r="J3016" s="4" t="s">
        <v>3477</v>
      </c>
      <c r="K3016" s="8"/>
      <c r="L3016" s="8" t="s">
        <v>33</v>
      </c>
      <c r="M3016" s="9">
        <f t="shared" si="1"/>
        <v>72</v>
      </c>
    </row>
    <row r="3017" ht="12.75" customHeight="1">
      <c r="A3017" s="4">
        <f t="shared" si="2"/>
        <v>3016</v>
      </c>
      <c r="B3017" s="4" t="s">
        <v>6483</v>
      </c>
      <c r="C3017" s="5" t="s">
        <v>6484</v>
      </c>
      <c r="D3017" s="4"/>
      <c r="E3017" s="4"/>
      <c r="F3017" s="4" t="s">
        <v>371</v>
      </c>
      <c r="G3017" s="6">
        <v>2.46</v>
      </c>
      <c r="H3017" s="7" t="s">
        <v>1606</v>
      </c>
      <c r="I3017" s="4" t="s">
        <v>1869</v>
      </c>
      <c r="J3017" s="4" t="s">
        <v>3477</v>
      </c>
      <c r="K3017" s="8"/>
      <c r="L3017" s="8" t="s">
        <v>33</v>
      </c>
      <c r="M3017" s="9">
        <f t="shared" si="1"/>
        <v>72</v>
      </c>
    </row>
    <row r="3018" ht="12.75" customHeight="1">
      <c r="A3018" s="4">
        <f t="shared" si="2"/>
        <v>3017</v>
      </c>
      <c r="B3018" s="4" t="s">
        <v>6485</v>
      </c>
      <c r="C3018" s="5" t="s">
        <v>6486</v>
      </c>
      <c r="D3018" s="4"/>
      <c r="E3018" s="4"/>
      <c r="F3018" s="4" t="s">
        <v>371</v>
      </c>
      <c r="G3018" s="6">
        <v>2.68</v>
      </c>
      <c r="H3018" s="7" t="s">
        <v>1606</v>
      </c>
      <c r="I3018" s="4" t="s">
        <v>1869</v>
      </c>
      <c r="J3018" s="4" t="s">
        <v>3477</v>
      </c>
      <c r="K3018" s="8"/>
      <c r="L3018" s="8" t="s">
        <v>33</v>
      </c>
      <c r="M3018" s="9">
        <f t="shared" si="1"/>
        <v>72</v>
      </c>
    </row>
    <row r="3019" ht="12.75" customHeight="1">
      <c r="A3019" s="4">
        <f t="shared" si="2"/>
        <v>3018</v>
      </c>
      <c r="B3019" s="4" t="s">
        <v>6487</v>
      </c>
      <c r="C3019" s="5" t="s">
        <v>6488</v>
      </c>
      <c r="D3019" s="4"/>
      <c r="E3019" s="4"/>
      <c r="F3019" s="4" t="s">
        <v>371</v>
      </c>
      <c r="G3019" s="6">
        <v>4.05</v>
      </c>
      <c r="H3019" s="7" t="s">
        <v>1606</v>
      </c>
      <c r="I3019" s="4" t="s">
        <v>1869</v>
      </c>
      <c r="J3019" s="4" t="s">
        <v>3477</v>
      </c>
      <c r="K3019" s="8"/>
      <c r="L3019" s="8" t="s">
        <v>33</v>
      </c>
      <c r="M3019" s="9">
        <f t="shared" si="1"/>
        <v>72</v>
      </c>
    </row>
    <row r="3020" ht="12.75" customHeight="1">
      <c r="A3020" s="4">
        <f t="shared" si="2"/>
        <v>3019</v>
      </c>
      <c r="B3020" s="4" t="s">
        <v>6489</v>
      </c>
      <c r="C3020" s="5" t="s">
        <v>6490</v>
      </c>
      <c r="D3020" s="4"/>
      <c r="E3020" s="4"/>
      <c r="F3020" s="4" t="s">
        <v>371</v>
      </c>
      <c r="G3020" s="6">
        <v>2.02</v>
      </c>
      <c r="H3020" s="7" t="s">
        <v>1606</v>
      </c>
      <c r="I3020" s="4" t="s">
        <v>1869</v>
      </c>
      <c r="J3020" s="4" t="s">
        <v>6491</v>
      </c>
      <c r="K3020" s="8"/>
      <c r="L3020" s="8" t="s">
        <v>33</v>
      </c>
      <c r="M3020" s="9">
        <f t="shared" si="1"/>
        <v>77</v>
      </c>
    </row>
    <row r="3021" ht="12.75" customHeight="1">
      <c r="A3021" s="4">
        <f t="shared" si="2"/>
        <v>3020</v>
      </c>
      <c r="B3021" s="4" t="s">
        <v>6492</v>
      </c>
      <c r="C3021" s="5" t="s">
        <v>6493</v>
      </c>
      <c r="D3021" s="4"/>
      <c r="E3021" s="4"/>
      <c r="F3021" s="4" t="s">
        <v>371</v>
      </c>
      <c r="G3021" s="6">
        <v>1.89</v>
      </c>
      <c r="H3021" s="7" t="s">
        <v>1606</v>
      </c>
      <c r="I3021" s="4" t="s">
        <v>1869</v>
      </c>
      <c r="J3021" s="4" t="s">
        <v>6491</v>
      </c>
      <c r="K3021" s="8"/>
      <c r="L3021" s="8" t="s">
        <v>33</v>
      </c>
      <c r="M3021" s="9">
        <f t="shared" si="1"/>
        <v>73</v>
      </c>
    </row>
    <row r="3022" ht="12.75" customHeight="1">
      <c r="A3022" s="4">
        <f t="shared" si="2"/>
        <v>3021</v>
      </c>
      <c r="B3022" s="4" t="s">
        <v>6494</v>
      </c>
      <c r="C3022" s="5" t="s">
        <v>6495</v>
      </c>
      <c r="D3022" s="4"/>
      <c r="E3022" s="4"/>
      <c r="F3022" s="4" t="s">
        <v>371</v>
      </c>
      <c r="G3022" s="6">
        <v>2.43</v>
      </c>
      <c r="H3022" s="7" t="s">
        <v>1606</v>
      </c>
      <c r="I3022" s="4" t="s">
        <v>1869</v>
      </c>
      <c r="J3022" s="4" t="s">
        <v>6491</v>
      </c>
      <c r="K3022" s="8"/>
      <c r="L3022" s="8" t="s">
        <v>33</v>
      </c>
      <c r="M3022" s="9">
        <f t="shared" si="1"/>
        <v>73</v>
      </c>
    </row>
    <row r="3023" ht="12.75" customHeight="1">
      <c r="A3023" s="4">
        <f t="shared" si="2"/>
        <v>3022</v>
      </c>
      <c r="B3023" s="4" t="s">
        <v>6496</v>
      </c>
      <c r="C3023" s="5" t="s">
        <v>6497</v>
      </c>
      <c r="D3023" s="4"/>
      <c r="E3023" s="4"/>
      <c r="F3023" s="4" t="s">
        <v>371</v>
      </c>
      <c r="G3023" s="21">
        <v>1.5</v>
      </c>
      <c r="H3023" s="7" t="s">
        <v>1606</v>
      </c>
      <c r="I3023" s="4" t="s">
        <v>1869</v>
      </c>
      <c r="J3023" s="4" t="s">
        <v>6491</v>
      </c>
      <c r="K3023" s="8"/>
      <c r="L3023" s="8" t="s">
        <v>33</v>
      </c>
      <c r="M3023" s="9">
        <f t="shared" si="1"/>
        <v>75</v>
      </c>
    </row>
    <row r="3024" ht="12.75" customHeight="1">
      <c r="A3024" s="4">
        <f t="shared" si="2"/>
        <v>3023</v>
      </c>
      <c r="B3024" s="4" t="s">
        <v>6498</v>
      </c>
      <c r="C3024" s="5" t="s">
        <v>6499</v>
      </c>
      <c r="D3024" s="4"/>
      <c r="E3024" s="4"/>
      <c r="F3024" s="4" t="s">
        <v>371</v>
      </c>
      <c r="G3024" s="6">
        <v>61.89</v>
      </c>
      <c r="H3024" s="7" t="s">
        <v>1606</v>
      </c>
      <c r="I3024" s="4" t="s">
        <v>2646</v>
      </c>
      <c r="J3024" s="4" t="s">
        <v>2729</v>
      </c>
      <c r="K3024" s="8"/>
      <c r="L3024" s="8" t="s">
        <v>33</v>
      </c>
      <c r="M3024" s="9">
        <f t="shared" si="1"/>
        <v>54</v>
      </c>
    </row>
    <row r="3025" ht="12.75" customHeight="1">
      <c r="A3025" s="4">
        <f t="shared" si="2"/>
        <v>3024</v>
      </c>
      <c r="B3025" s="4" t="s">
        <v>6500</v>
      </c>
      <c r="C3025" s="5" t="s">
        <v>6501</v>
      </c>
      <c r="D3025" s="4"/>
      <c r="E3025" s="4"/>
      <c r="F3025" s="4" t="s">
        <v>371</v>
      </c>
      <c r="G3025" s="6">
        <v>61.89</v>
      </c>
      <c r="H3025" s="7" t="s">
        <v>1606</v>
      </c>
      <c r="I3025" s="4" t="s">
        <v>2646</v>
      </c>
      <c r="J3025" s="4" t="s">
        <v>2729</v>
      </c>
      <c r="K3025" s="8"/>
      <c r="L3025" s="8" t="s">
        <v>33</v>
      </c>
      <c r="M3025" s="9">
        <f t="shared" si="1"/>
        <v>54</v>
      </c>
    </row>
    <row r="3026" ht="12.75" customHeight="1">
      <c r="A3026" s="4">
        <f t="shared" si="2"/>
        <v>3025</v>
      </c>
      <c r="B3026" s="4" t="s">
        <v>6502</v>
      </c>
      <c r="C3026" s="5" t="s">
        <v>6503</v>
      </c>
      <c r="D3026" s="4"/>
      <c r="E3026" s="4"/>
      <c r="F3026" s="4" t="s">
        <v>371</v>
      </c>
      <c r="G3026" s="6">
        <v>61.89</v>
      </c>
      <c r="H3026" s="7" t="s">
        <v>1606</v>
      </c>
      <c r="I3026" s="4" t="s">
        <v>2646</v>
      </c>
      <c r="J3026" s="4" t="s">
        <v>2729</v>
      </c>
      <c r="K3026" s="8"/>
      <c r="L3026" s="8" t="s">
        <v>33</v>
      </c>
      <c r="M3026" s="9">
        <f t="shared" si="1"/>
        <v>54</v>
      </c>
    </row>
    <row r="3027" ht="12.75" customHeight="1">
      <c r="A3027" s="4">
        <f t="shared" si="2"/>
        <v>3026</v>
      </c>
      <c r="B3027" s="4" t="s">
        <v>6504</v>
      </c>
      <c r="C3027" s="5" t="s">
        <v>6505</v>
      </c>
      <c r="D3027" s="4"/>
      <c r="E3027" s="4"/>
      <c r="F3027" s="4" t="s">
        <v>371</v>
      </c>
      <c r="G3027" s="6">
        <v>61.89</v>
      </c>
      <c r="H3027" s="7" t="s">
        <v>1606</v>
      </c>
      <c r="I3027" s="4" t="s">
        <v>2646</v>
      </c>
      <c r="J3027" s="4" t="s">
        <v>2729</v>
      </c>
      <c r="K3027" s="8"/>
      <c r="L3027" s="8" t="s">
        <v>33</v>
      </c>
      <c r="M3027" s="9">
        <f t="shared" si="1"/>
        <v>55</v>
      </c>
    </row>
    <row r="3028" ht="12.75" customHeight="1">
      <c r="A3028" s="4">
        <f t="shared" si="2"/>
        <v>3027</v>
      </c>
      <c r="B3028" s="4" t="s">
        <v>6506</v>
      </c>
      <c r="C3028" s="5" t="s">
        <v>6507</v>
      </c>
      <c r="D3028" s="4"/>
      <c r="E3028" s="4"/>
      <c r="F3028" s="4" t="s">
        <v>371</v>
      </c>
      <c r="G3028" s="6">
        <v>61.89</v>
      </c>
      <c r="H3028" s="7" t="s">
        <v>1606</v>
      </c>
      <c r="I3028" s="4" t="s">
        <v>2646</v>
      </c>
      <c r="J3028" s="4" t="s">
        <v>2729</v>
      </c>
      <c r="K3028" s="8"/>
      <c r="L3028" s="8" t="s">
        <v>33</v>
      </c>
      <c r="M3028" s="9">
        <f t="shared" si="1"/>
        <v>62</v>
      </c>
    </row>
    <row r="3029" ht="12.75" customHeight="1">
      <c r="A3029" s="4">
        <f t="shared" si="2"/>
        <v>3028</v>
      </c>
      <c r="B3029" s="4" t="s">
        <v>6508</v>
      </c>
      <c r="C3029" s="5" t="s">
        <v>6509</v>
      </c>
      <c r="D3029" s="4"/>
      <c r="E3029" s="4"/>
      <c r="F3029" s="4" t="s">
        <v>371</v>
      </c>
      <c r="G3029" s="6">
        <v>61.89</v>
      </c>
      <c r="H3029" s="7" t="s">
        <v>1606</v>
      </c>
      <c r="I3029" s="4" t="s">
        <v>2646</v>
      </c>
      <c r="J3029" s="4" t="s">
        <v>2729</v>
      </c>
      <c r="K3029" s="8"/>
      <c r="L3029" s="8" t="s">
        <v>33</v>
      </c>
      <c r="M3029" s="9">
        <f t="shared" si="1"/>
        <v>62</v>
      </c>
    </row>
    <row r="3030" ht="12.75" customHeight="1">
      <c r="A3030" s="4">
        <f t="shared" si="2"/>
        <v>3029</v>
      </c>
      <c r="B3030" s="4" t="s">
        <v>6510</v>
      </c>
      <c r="C3030" s="5" t="s">
        <v>6511</v>
      </c>
      <c r="D3030" s="4"/>
      <c r="E3030" s="4"/>
      <c r="F3030" s="4" t="s">
        <v>371</v>
      </c>
      <c r="G3030" s="6">
        <v>61.89</v>
      </c>
      <c r="H3030" s="7" t="s">
        <v>1606</v>
      </c>
      <c r="I3030" s="4" t="s">
        <v>2646</v>
      </c>
      <c r="J3030" s="4" t="s">
        <v>2729</v>
      </c>
      <c r="K3030" s="8"/>
      <c r="L3030" s="8" t="s">
        <v>33</v>
      </c>
      <c r="M3030" s="9">
        <f t="shared" si="1"/>
        <v>62</v>
      </c>
    </row>
    <row r="3031" ht="12.75" customHeight="1">
      <c r="A3031" s="4">
        <f t="shared" si="2"/>
        <v>3030</v>
      </c>
      <c r="B3031" s="4" t="s">
        <v>6512</v>
      </c>
      <c r="C3031" s="5" t="s">
        <v>6513</v>
      </c>
      <c r="D3031" s="4"/>
      <c r="E3031" s="4"/>
      <c r="F3031" s="4" t="s">
        <v>371</v>
      </c>
      <c r="G3031" s="6">
        <v>61.89</v>
      </c>
      <c r="H3031" s="7" t="s">
        <v>1606</v>
      </c>
      <c r="I3031" s="4" t="s">
        <v>2646</v>
      </c>
      <c r="J3031" s="4" t="s">
        <v>2729</v>
      </c>
      <c r="K3031" s="8"/>
      <c r="L3031" s="8" t="s">
        <v>33</v>
      </c>
      <c r="M3031" s="9">
        <f t="shared" si="1"/>
        <v>63</v>
      </c>
    </row>
    <row r="3032" ht="12.75" customHeight="1">
      <c r="A3032" s="4">
        <f t="shared" si="2"/>
        <v>3031</v>
      </c>
      <c r="B3032" s="4" t="s">
        <v>6514</v>
      </c>
      <c r="C3032" s="5" t="s">
        <v>6515</v>
      </c>
      <c r="D3032" s="4"/>
      <c r="E3032" s="4"/>
      <c r="F3032" s="4" t="s">
        <v>22</v>
      </c>
      <c r="G3032" s="6">
        <v>1.78</v>
      </c>
      <c r="H3032" s="7" t="s">
        <v>1606</v>
      </c>
      <c r="I3032" s="4" t="s">
        <v>1623</v>
      </c>
      <c r="J3032" s="4" t="s">
        <v>3029</v>
      </c>
      <c r="K3032" s="8"/>
      <c r="L3032" s="8" t="s">
        <v>2623</v>
      </c>
      <c r="M3032" s="9">
        <f t="shared" si="1"/>
        <v>48</v>
      </c>
    </row>
    <row r="3033" ht="12.75" customHeight="1">
      <c r="A3033" s="4">
        <f t="shared" si="2"/>
        <v>3032</v>
      </c>
      <c r="B3033" s="4" t="s">
        <v>6516</v>
      </c>
      <c r="C3033" s="5" t="s">
        <v>6517</v>
      </c>
      <c r="D3033" s="4"/>
      <c r="E3033" s="4"/>
      <c r="F3033" s="4" t="s">
        <v>22</v>
      </c>
      <c r="G3033" s="6">
        <v>0.88</v>
      </c>
      <c r="H3033" s="7" t="s">
        <v>1606</v>
      </c>
      <c r="I3033" s="4" t="s">
        <v>1623</v>
      </c>
      <c r="J3033" s="4" t="s">
        <v>3029</v>
      </c>
      <c r="K3033" s="8"/>
      <c r="L3033" s="8" t="s">
        <v>2623</v>
      </c>
      <c r="M3033" s="9">
        <f t="shared" si="1"/>
        <v>44</v>
      </c>
    </row>
    <row r="3034" ht="12.75" customHeight="1">
      <c r="A3034" s="4">
        <f t="shared" si="2"/>
        <v>3033</v>
      </c>
      <c r="B3034" s="4" t="s">
        <v>6518</v>
      </c>
      <c r="C3034" s="5" t="s">
        <v>6519</v>
      </c>
      <c r="D3034" s="4"/>
      <c r="E3034" s="4"/>
      <c r="F3034" s="4" t="s">
        <v>22</v>
      </c>
      <c r="G3034" s="6">
        <v>0.27</v>
      </c>
      <c r="H3034" s="7" t="s">
        <v>1606</v>
      </c>
      <c r="I3034" s="4" t="s">
        <v>1623</v>
      </c>
      <c r="J3034" s="4" t="s">
        <v>3029</v>
      </c>
      <c r="K3034" s="8"/>
      <c r="L3034" s="8" t="s">
        <v>2623</v>
      </c>
      <c r="M3034" s="9">
        <f t="shared" si="1"/>
        <v>46</v>
      </c>
    </row>
    <row r="3035" ht="12.75" customHeight="1">
      <c r="A3035" s="4">
        <f t="shared" si="2"/>
        <v>3034</v>
      </c>
      <c r="B3035" s="4" t="s">
        <v>6520</v>
      </c>
      <c r="C3035" s="5" t="s">
        <v>6521</v>
      </c>
      <c r="D3035" s="4"/>
      <c r="E3035" s="4"/>
      <c r="F3035" s="4" t="s">
        <v>22</v>
      </c>
      <c r="G3035" s="6">
        <v>2.95</v>
      </c>
      <c r="H3035" s="7" t="s">
        <v>1606</v>
      </c>
      <c r="I3035" s="4" t="s">
        <v>1623</v>
      </c>
      <c r="J3035" s="4" t="s">
        <v>3029</v>
      </c>
      <c r="K3035" s="8"/>
      <c r="L3035" s="8" t="s">
        <v>2623</v>
      </c>
      <c r="M3035" s="9">
        <f t="shared" si="1"/>
        <v>44</v>
      </c>
    </row>
    <row r="3036" ht="12.75" customHeight="1">
      <c r="A3036" s="4">
        <f t="shared" si="2"/>
        <v>3035</v>
      </c>
      <c r="B3036" s="4" t="s">
        <v>6522</v>
      </c>
      <c r="C3036" s="5" t="s">
        <v>6523</v>
      </c>
      <c r="D3036" s="4"/>
      <c r="E3036" s="4"/>
      <c r="F3036" s="4" t="s">
        <v>22</v>
      </c>
      <c r="G3036" s="6">
        <v>6.81</v>
      </c>
      <c r="H3036" s="7" t="s">
        <v>1606</v>
      </c>
      <c r="I3036" s="4" t="s">
        <v>1623</v>
      </c>
      <c r="J3036" s="4" t="s">
        <v>3029</v>
      </c>
      <c r="K3036" s="8"/>
      <c r="L3036" s="8" t="s">
        <v>2623</v>
      </c>
      <c r="M3036" s="9">
        <f t="shared" si="1"/>
        <v>44</v>
      </c>
    </row>
    <row r="3037" ht="12.75" customHeight="1">
      <c r="A3037" s="4">
        <f t="shared" si="2"/>
        <v>3036</v>
      </c>
      <c r="B3037" s="4" t="s">
        <v>6524</v>
      </c>
      <c r="C3037" s="5" t="s">
        <v>6525</v>
      </c>
      <c r="D3037" s="4"/>
      <c r="E3037" s="4"/>
      <c r="F3037" s="4" t="s">
        <v>22</v>
      </c>
      <c r="G3037" s="6">
        <v>0.81</v>
      </c>
      <c r="H3037" s="7" t="s">
        <v>1606</v>
      </c>
      <c r="I3037" s="4" t="s">
        <v>1623</v>
      </c>
      <c r="J3037" s="4" t="s">
        <v>3029</v>
      </c>
      <c r="K3037" s="8"/>
      <c r="L3037" s="8" t="s">
        <v>2623</v>
      </c>
      <c r="M3037" s="9">
        <f t="shared" si="1"/>
        <v>46</v>
      </c>
    </row>
    <row r="3038" ht="12.75" customHeight="1">
      <c r="A3038" s="4">
        <f t="shared" si="2"/>
        <v>3037</v>
      </c>
      <c r="B3038" s="4" t="s">
        <v>6526</v>
      </c>
      <c r="C3038" s="5" t="s">
        <v>6527</v>
      </c>
      <c r="D3038" s="4"/>
      <c r="E3038" s="4"/>
      <c r="F3038" s="4" t="s">
        <v>22</v>
      </c>
      <c r="G3038" s="6">
        <v>6.86</v>
      </c>
      <c r="H3038" s="7" t="s">
        <v>1606</v>
      </c>
      <c r="I3038" s="4" t="s">
        <v>1623</v>
      </c>
      <c r="J3038" s="4" t="s">
        <v>3029</v>
      </c>
      <c r="K3038" s="8"/>
      <c r="L3038" s="8" t="s">
        <v>2623</v>
      </c>
      <c r="M3038" s="9">
        <f t="shared" si="1"/>
        <v>44</v>
      </c>
    </row>
    <row r="3039" ht="12.75" customHeight="1">
      <c r="A3039" s="4">
        <f t="shared" si="2"/>
        <v>3038</v>
      </c>
      <c r="B3039" s="4" t="s">
        <v>6528</v>
      </c>
      <c r="C3039" s="5" t="s">
        <v>6529</v>
      </c>
      <c r="D3039" s="4"/>
      <c r="E3039" s="4"/>
      <c r="F3039" s="4" t="s">
        <v>22</v>
      </c>
      <c r="G3039" s="6">
        <v>2.32</v>
      </c>
      <c r="H3039" s="7" t="s">
        <v>1606</v>
      </c>
      <c r="I3039" s="4" t="s">
        <v>1623</v>
      </c>
      <c r="J3039" s="4" t="s">
        <v>3029</v>
      </c>
      <c r="K3039" s="8"/>
      <c r="L3039" s="8" t="s">
        <v>2623</v>
      </c>
      <c r="M3039" s="9">
        <f t="shared" si="1"/>
        <v>32</v>
      </c>
    </row>
    <row r="3040" ht="12.75" customHeight="1">
      <c r="A3040" s="4">
        <f t="shared" si="2"/>
        <v>3039</v>
      </c>
      <c r="B3040" s="4" t="s">
        <v>6530</v>
      </c>
      <c r="C3040" s="5" t="s">
        <v>6531</v>
      </c>
      <c r="D3040" s="4"/>
      <c r="E3040" s="4"/>
      <c r="F3040" s="4" t="s">
        <v>22</v>
      </c>
      <c r="G3040" s="6">
        <v>1.12</v>
      </c>
      <c r="H3040" s="7" t="s">
        <v>1606</v>
      </c>
      <c r="I3040" s="4" t="s">
        <v>1623</v>
      </c>
      <c r="J3040" s="4" t="s">
        <v>3029</v>
      </c>
      <c r="K3040" s="8"/>
      <c r="L3040" s="8" t="s">
        <v>2623</v>
      </c>
      <c r="M3040" s="9">
        <f t="shared" si="1"/>
        <v>28</v>
      </c>
    </row>
    <row r="3041" ht="12.75" customHeight="1">
      <c r="A3041" s="4">
        <f t="shared" si="2"/>
        <v>3040</v>
      </c>
      <c r="B3041" s="4" t="s">
        <v>6532</v>
      </c>
      <c r="C3041" s="5" t="s">
        <v>6533</v>
      </c>
      <c r="D3041" s="4"/>
      <c r="E3041" s="4"/>
      <c r="F3041" s="4" t="s">
        <v>22</v>
      </c>
      <c r="G3041" s="6">
        <v>0.27</v>
      </c>
      <c r="H3041" s="7" t="s">
        <v>1606</v>
      </c>
      <c r="I3041" s="4" t="s">
        <v>1623</v>
      </c>
      <c r="J3041" s="4" t="s">
        <v>3029</v>
      </c>
      <c r="K3041" s="8"/>
      <c r="L3041" s="8" t="s">
        <v>2623</v>
      </c>
      <c r="M3041" s="9">
        <f t="shared" si="1"/>
        <v>30</v>
      </c>
    </row>
    <row r="3042" ht="12.75" customHeight="1">
      <c r="A3042" s="4">
        <f t="shared" si="2"/>
        <v>3041</v>
      </c>
      <c r="B3042" s="4" t="s">
        <v>6534</v>
      </c>
      <c r="C3042" s="5" t="s">
        <v>6535</v>
      </c>
      <c r="D3042" s="4"/>
      <c r="E3042" s="4"/>
      <c r="F3042" s="4" t="s">
        <v>22</v>
      </c>
      <c r="G3042" s="6">
        <v>2.73</v>
      </c>
      <c r="H3042" s="7" t="s">
        <v>1606</v>
      </c>
      <c r="I3042" s="4" t="s">
        <v>1623</v>
      </c>
      <c r="J3042" s="4" t="s">
        <v>3029</v>
      </c>
      <c r="K3042" s="8"/>
      <c r="L3042" s="8" t="s">
        <v>2623</v>
      </c>
      <c r="M3042" s="9">
        <f t="shared" si="1"/>
        <v>28</v>
      </c>
    </row>
    <row r="3043" ht="12.75" customHeight="1">
      <c r="A3043" s="4">
        <f t="shared" si="2"/>
        <v>3042</v>
      </c>
      <c r="B3043" s="4" t="s">
        <v>6536</v>
      </c>
      <c r="C3043" s="5" t="s">
        <v>6537</v>
      </c>
      <c r="D3043" s="4"/>
      <c r="E3043" s="4"/>
      <c r="F3043" s="4" t="s">
        <v>22</v>
      </c>
      <c r="G3043" s="6">
        <v>0.61</v>
      </c>
      <c r="H3043" s="7" t="s">
        <v>1606</v>
      </c>
      <c r="I3043" s="4" t="s">
        <v>1623</v>
      </c>
      <c r="J3043" s="4" t="s">
        <v>3029</v>
      </c>
      <c r="K3043" s="8"/>
      <c r="L3043" s="8" t="s">
        <v>2623</v>
      </c>
      <c r="M3043" s="9">
        <f t="shared" si="1"/>
        <v>30</v>
      </c>
    </row>
    <row r="3044" ht="12.75" customHeight="1">
      <c r="A3044" s="4">
        <f t="shared" si="2"/>
        <v>3043</v>
      </c>
      <c r="B3044" s="4" t="s">
        <v>6538</v>
      </c>
      <c r="C3044" s="5" t="s">
        <v>6539</v>
      </c>
      <c r="D3044" s="4"/>
      <c r="E3044" s="4"/>
      <c r="F3044" s="4" t="s">
        <v>22</v>
      </c>
      <c r="G3044" s="6">
        <v>3.05</v>
      </c>
      <c r="H3044" s="7" t="s">
        <v>1606</v>
      </c>
      <c r="I3044" s="4" t="s">
        <v>1623</v>
      </c>
      <c r="J3044" s="4" t="s">
        <v>3029</v>
      </c>
      <c r="K3044" s="8"/>
      <c r="L3044" s="8" t="s">
        <v>2623</v>
      </c>
      <c r="M3044" s="9">
        <f t="shared" si="1"/>
        <v>28</v>
      </c>
    </row>
    <row r="3045" ht="12.75" customHeight="1">
      <c r="A3045" s="4">
        <f t="shared" si="2"/>
        <v>3044</v>
      </c>
      <c r="B3045" s="4" t="s">
        <v>6540</v>
      </c>
      <c r="C3045" s="5" t="s">
        <v>6541</v>
      </c>
      <c r="D3045" s="4"/>
      <c r="E3045" s="4"/>
      <c r="F3045" s="4" t="s">
        <v>22</v>
      </c>
      <c r="G3045" s="6">
        <v>1.2</v>
      </c>
      <c r="H3045" s="7" t="s">
        <v>1606</v>
      </c>
      <c r="I3045" s="4" t="s">
        <v>1574</v>
      </c>
      <c r="J3045" s="4" t="s">
        <v>1624</v>
      </c>
      <c r="K3045" s="8"/>
      <c r="L3045" s="8" t="s">
        <v>33</v>
      </c>
      <c r="M3045" s="9">
        <f t="shared" si="1"/>
        <v>35</v>
      </c>
    </row>
    <row r="3046" ht="12.75" customHeight="1">
      <c r="A3046" s="4">
        <f t="shared" si="2"/>
        <v>3045</v>
      </c>
      <c r="B3046" s="4" t="s">
        <v>6542</v>
      </c>
      <c r="C3046" s="5" t="s">
        <v>6543</v>
      </c>
      <c r="D3046" s="4"/>
      <c r="E3046" s="4"/>
      <c r="F3046" s="4" t="s">
        <v>22</v>
      </c>
      <c r="G3046" s="6">
        <v>6.76</v>
      </c>
      <c r="H3046" s="7" t="s">
        <v>1606</v>
      </c>
      <c r="I3046" s="4" t="s">
        <v>1574</v>
      </c>
      <c r="J3046" s="4" t="s">
        <v>1624</v>
      </c>
      <c r="K3046" s="8"/>
      <c r="L3046" s="8" t="s">
        <v>2623</v>
      </c>
      <c r="M3046" s="9">
        <f t="shared" si="1"/>
        <v>50</v>
      </c>
    </row>
    <row r="3047" ht="12.75" customHeight="1">
      <c r="A3047" s="4">
        <f t="shared" si="2"/>
        <v>3046</v>
      </c>
      <c r="B3047" s="4" t="s">
        <v>6544</v>
      </c>
      <c r="C3047" s="5" t="s">
        <v>6545</v>
      </c>
      <c r="D3047" s="4"/>
      <c r="E3047" s="4"/>
      <c r="F3047" s="4" t="s">
        <v>22</v>
      </c>
      <c r="G3047" s="6">
        <v>4.0</v>
      </c>
      <c r="H3047" s="7" t="s">
        <v>1606</v>
      </c>
      <c r="I3047" s="4" t="s">
        <v>1574</v>
      </c>
      <c r="J3047" s="4" t="s">
        <v>1624</v>
      </c>
      <c r="K3047" s="8"/>
      <c r="L3047" s="8" t="s">
        <v>33</v>
      </c>
      <c r="M3047" s="9">
        <f t="shared" si="1"/>
        <v>35</v>
      </c>
    </row>
    <row r="3048" ht="12.75" customHeight="1">
      <c r="A3048" s="4">
        <f t="shared" si="2"/>
        <v>3047</v>
      </c>
      <c r="B3048" s="4" t="s">
        <v>6546</v>
      </c>
      <c r="C3048" s="5" t="s">
        <v>6547</v>
      </c>
      <c r="D3048" s="4"/>
      <c r="E3048" s="4"/>
      <c r="F3048" s="4" t="s">
        <v>22</v>
      </c>
      <c r="G3048" s="6">
        <v>1.11</v>
      </c>
      <c r="H3048" s="7" t="s">
        <v>1606</v>
      </c>
      <c r="I3048" s="4" t="s">
        <v>1574</v>
      </c>
      <c r="J3048" s="4" t="s">
        <v>1624</v>
      </c>
      <c r="K3048" s="8"/>
      <c r="L3048" s="8" t="s">
        <v>33</v>
      </c>
      <c r="M3048" s="9">
        <f t="shared" si="1"/>
        <v>31</v>
      </c>
    </row>
    <row r="3049" ht="12.75" customHeight="1">
      <c r="A3049" s="4">
        <f t="shared" si="2"/>
        <v>3048</v>
      </c>
      <c r="B3049" s="4" t="s">
        <v>6548</v>
      </c>
      <c r="C3049" s="5" t="s">
        <v>6549</v>
      </c>
      <c r="D3049" s="4"/>
      <c r="E3049" s="4"/>
      <c r="F3049" s="4" t="s">
        <v>22</v>
      </c>
      <c r="G3049" s="6">
        <v>5.65</v>
      </c>
      <c r="H3049" s="7" t="s">
        <v>1606</v>
      </c>
      <c r="I3049" s="4" t="s">
        <v>1574</v>
      </c>
      <c r="J3049" s="4" t="s">
        <v>1624</v>
      </c>
      <c r="K3049" s="8"/>
      <c r="L3049" s="8" t="s">
        <v>2623</v>
      </c>
      <c r="M3049" s="9">
        <f t="shared" si="1"/>
        <v>46</v>
      </c>
    </row>
    <row r="3050" ht="12.75" customHeight="1">
      <c r="A3050" s="4">
        <f t="shared" si="2"/>
        <v>3049</v>
      </c>
      <c r="B3050" s="4" t="s">
        <v>6550</v>
      </c>
      <c r="C3050" s="5" t="s">
        <v>6551</v>
      </c>
      <c r="D3050" s="4"/>
      <c r="E3050" s="4"/>
      <c r="F3050" s="4" t="s">
        <v>22</v>
      </c>
      <c r="G3050" s="6">
        <v>0.46</v>
      </c>
      <c r="H3050" s="7" t="s">
        <v>1606</v>
      </c>
      <c r="I3050" s="4" t="s">
        <v>1574</v>
      </c>
      <c r="J3050" s="4" t="s">
        <v>1624</v>
      </c>
      <c r="K3050" s="8"/>
      <c r="L3050" s="8" t="s">
        <v>33</v>
      </c>
      <c r="M3050" s="9">
        <f t="shared" si="1"/>
        <v>33</v>
      </c>
    </row>
    <row r="3051" ht="12.75" customHeight="1">
      <c r="A3051" s="4">
        <f t="shared" si="2"/>
        <v>3050</v>
      </c>
      <c r="B3051" s="4" t="s">
        <v>6552</v>
      </c>
      <c r="C3051" s="5" t="s">
        <v>6553</v>
      </c>
      <c r="D3051" s="4"/>
      <c r="E3051" s="4"/>
      <c r="F3051" s="4" t="s">
        <v>22</v>
      </c>
      <c r="G3051" s="6">
        <v>3.02</v>
      </c>
      <c r="H3051" s="7" t="s">
        <v>1606</v>
      </c>
      <c r="I3051" s="4" t="s">
        <v>1574</v>
      </c>
      <c r="J3051" s="4" t="s">
        <v>1624</v>
      </c>
      <c r="K3051" s="8"/>
      <c r="L3051" s="8" t="s">
        <v>2623</v>
      </c>
      <c r="M3051" s="9">
        <f t="shared" si="1"/>
        <v>48</v>
      </c>
    </row>
    <row r="3052" ht="12.75" customHeight="1">
      <c r="A3052" s="4">
        <f t="shared" si="2"/>
        <v>3051</v>
      </c>
      <c r="B3052" s="4" t="s">
        <v>6554</v>
      </c>
      <c r="C3052" s="5" t="s">
        <v>6555</v>
      </c>
      <c r="D3052" s="4"/>
      <c r="E3052" s="4"/>
      <c r="F3052" s="4" t="s">
        <v>22</v>
      </c>
      <c r="G3052" s="6">
        <v>7.3</v>
      </c>
      <c r="H3052" s="7" t="s">
        <v>1606</v>
      </c>
      <c r="I3052" s="4" t="s">
        <v>1574</v>
      </c>
      <c r="J3052" s="4" t="s">
        <v>1624</v>
      </c>
      <c r="K3052" s="8"/>
      <c r="L3052" s="8" t="s">
        <v>33</v>
      </c>
      <c r="M3052" s="9">
        <f t="shared" si="1"/>
        <v>31</v>
      </c>
    </row>
    <row r="3053" ht="12.75" customHeight="1">
      <c r="A3053" s="4">
        <f t="shared" si="2"/>
        <v>3052</v>
      </c>
      <c r="B3053" s="4" t="s">
        <v>6556</v>
      </c>
      <c r="C3053" s="5" t="s">
        <v>6557</v>
      </c>
      <c r="D3053" s="4"/>
      <c r="E3053" s="4"/>
      <c r="F3053" s="4" t="s">
        <v>22</v>
      </c>
      <c r="G3053" s="6">
        <v>9.85</v>
      </c>
      <c r="H3053" s="7" t="s">
        <v>1606</v>
      </c>
      <c r="I3053" s="4" t="s">
        <v>1574</v>
      </c>
      <c r="J3053" s="4" t="s">
        <v>1624</v>
      </c>
      <c r="K3053" s="8"/>
      <c r="L3053" s="8" t="s">
        <v>2623</v>
      </c>
      <c r="M3053" s="9">
        <f t="shared" si="1"/>
        <v>46</v>
      </c>
    </row>
    <row r="3054" ht="12.75" customHeight="1">
      <c r="A3054" s="4">
        <f t="shared" si="2"/>
        <v>3053</v>
      </c>
      <c r="B3054" s="4" t="s">
        <v>6558</v>
      </c>
      <c r="C3054" s="5" t="s">
        <v>6559</v>
      </c>
      <c r="D3054" s="4"/>
      <c r="E3054" s="4"/>
      <c r="F3054" s="4" t="s">
        <v>22</v>
      </c>
      <c r="G3054" s="6">
        <v>7.26</v>
      </c>
      <c r="H3054" s="7" t="s">
        <v>1606</v>
      </c>
      <c r="I3054" s="4" t="s">
        <v>1574</v>
      </c>
      <c r="J3054" s="4" t="s">
        <v>1624</v>
      </c>
      <c r="K3054" s="8"/>
      <c r="L3054" s="8" t="s">
        <v>33</v>
      </c>
      <c r="M3054" s="9">
        <f t="shared" si="1"/>
        <v>31</v>
      </c>
    </row>
    <row r="3055" ht="12.75" customHeight="1">
      <c r="A3055" s="4">
        <f t="shared" si="2"/>
        <v>3054</v>
      </c>
      <c r="B3055" s="4" t="s">
        <v>6560</v>
      </c>
      <c r="C3055" s="5" t="s">
        <v>6561</v>
      </c>
      <c r="D3055" s="4"/>
      <c r="E3055" s="4"/>
      <c r="F3055" s="4" t="s">
        <v>22</v>
      </c>
      <c r="G3055" s="6">
        <v>0.49</v>
      </c>
      <c r="H3055" s="7" t="s">
        <v>1606</v>
      </c>
      <c r="I3055" s="4" t="s">
        <v>1574</v>
      </c>
      <c r="J3055" s="4" t="s">
        <v>1624</v>
      </c>
      <c r="K3055" s="8"/>
      <c r="L3055" s="8" t="s">
        <v>33</v>
      </c>
      <c r="M3055" s="9">
        <f t="shared" si="1"/>
        <v>33</v>
      </c>
    </row>
    <row r="3056" ht="12.75" customHeight="1">
      <c r="A3056" s="4">
        <f t="shared" si="2"/>
        <v>3055</v>
      </c>
      <c r="B3056" s="4" t="s">
        <v>6562</v>
      </c>
      <c r="C3056" s="5" t="s">
        <v>6563</v>
      </c>
      <c r="D3056" s="4"/>
      <c r="E3056" s="4"/>
      <c r="F3056" s="4" t="s">
        <v>22</v>
      </c>
      <c r="G3056" s="6">
        <v>3.55</v>
      </c>
      <c r="H3056" s="7" t="s">
        <v>1606</v>
      </c>
      <c r="I3056" s="4" t="s">
        <v>1574</v>
      </c>
      <c r="J3056" s="4" t="s">
        <v>1624</v>
      </c>
      <c r="K3056" s="8"/>
      <c r="L3056" s="8" t="s">
        <v>2623</v>
      </c>
      <c r="M3056" s="9">
        <f t="shared" si="1"/>
        <v>48</v>
      </c>
    </row>
    <row r="3057" ht="12.75" customHeight="1">
      <c r="A3057" s="4">
        <f t="shared" si="2"/>
        <v>3056</v>
      </c>
      <c r="B3057" s="4" t="s">
        <v>6564</v>
      </c>
      <c r="C3057" s="5" t="s">
        <v>6565</v>
      </c>
      <c r="D3057" s="4"/>
      <c r="E3057" s="4"/>
      <c r="F3057" s="4" t="s">
        <v>22</v>
      </c>
      <c r="G3057" s="6">
        <v>0.5</v>
      </c>
      <c r="H3057" s="7" t="s">
        <v>1606</v>
      </c>
      <c r="I3057" s="4" t="s">
        <v>1574</v>
      </c>
      <c r="J3057" s="4" t="s">
        <v>1624</v>
      </c>
      <c r="K3057" s="8"/>
      <c r="L3057" s="8" t="s">
        <v>33</v>
      </c>
      <c r="M3057" s="9">
        <f t="shared" si="1"/>
        <v>37</v>
      </c>
    </row>
    <row r="3058" ht="12.75" customHeight="1">
      <c r="A3058" s="4">
        <f t="shared" si="2"/>
        <v>3057</v>
      </c>
      <c r="B3058" s="4" t="s">
        <v>6566</v>
      </c>
      <c r="C3058" s="5" t="s">
        <v>6567</v>
      </c>
      <c r="D3058" s="4"/>
      <c r="E3058" s="4"/>
      <c r="F3058" s="4" t="s">
        <v>22</v>
      </c>
      <c r="G3058" s="6">
        <v>10.01</v>
      </c>
      <c r="H3058" s="7" t="s">
        <v>1606</v>
      </c>
      <c r="I3058" s="4" t="s">
        <v>1574</v>
      </c>
      <c r="J3058" s="4" t="s">
        <v>1624</v>
      </c>
      <c r="K3058" s="8"/>
      <c r="L3058" s="8" t="s">
        <v>33</v>
      </c>
      <c r="M3058" s="9">
        <f t="shared" si="1"/>
        <v>31</v>
      </c>
    </row>
    <row r="3059" ht="12.75" customHeight="1">
      <c r="A3059" s="4">
        <f t="shared" si="2"/>
        <v>3058</v>
      </c>
      <c r="B3059" s="4" t="s">
        <v>6568</v>
      </c>
      <c r="C3059" s="5" t="s">
        <v>6569</v>
      </c>
      <c r="D3059" s="4"/>
      <c r="E3059" s="4"/>
      <c r="F3059" s="4" t="s">
        <v>22</v>
      </c>
      <c r="G3059" s="6">
        <v>0.62</v>
      </c>
      <c r="H3059" s="7" t="s">
        <v>1606</v>
      </c>
      <c r="I3059" s="4" t="s">
        <v>1623</v>
      </c>
      <c r="J3059" s="4" t="s">
        <v>3029</v>
      </c>
      <c r="K3059" s="8"/>
      <c r="L3059" s="8" t="s">
        <v>2623</v>
      </c>
      <c r="M3059" s="9">
        <f t="shared" si="1"/>
        <v>41</v>
      </c>
    </row>
    <row r="3060" ht="12.75" customHeight="1">
      <c r="A3060" s="4">
        <f t="shared" si="2"/>
        <v>3059</v>
      </c>
      <c r="B3060" s="4" t="s">
        <v>6570</v>
      </c>
      <c r="C3060" s="5" t="s">
        <v>6571</v>
      </c>
      <c r="D3060" s="4"/>
      <c r="E3060" s="4"/>
      <c r="F3060" s="4" t="s">
        <v>22</v>
      </c>
      <c r="G3060" s="6">
        <v>0.35</v>
      </c>
      <c r="H3060" s="7" t="s">
        <v>1606</v>
      </c>
      <c r="I3060" s="4" t="s">
        <v>1623</v>
      </c>
      <c r="J3060" s="4" t="s">
        <v>3029</v>
      </c>
      <c r="K3060" s="8"/>
      <c r="L3060" s="8" t="s">
        <v>2623</v>
      </c>
      <c r="M3060" s="9">
        <f t="shared" si="1"/>
        <v>43</v>
      </c>
    </row>
    <row r="3061" ht="12.75" customHeight="1">
      <c r="A3061" s="4">
        <f t="shared" si="2"/>
        <v>3060</v>
      </c>
      <c r="B3061" s="4" t="s">
        <v>6572</v>
      </c>
      <c r="C3061" s="5" t="s">
        <v>6573</v>
      </c>
      <c r="D3061" s="4"/>
      <c r="E3061" s="4"/>
      <c r="F3061" s="4" t="s">
        <v>22</v>
      </c>
      <c r="G3061" s="6">
        <v>1.27</v>
      </c>
      <c r="H3061" s="7" t="s">
        <v>1606</v>
      </c>
      <c r="I3061" s="4" t="s">
        <v>1623</v>
      </c>
      <c r="J3061" s="4" t="s">
        <v>3029</v>
      </c>
      <c r="K3061" s="8"/>
      <c r="L3061" s="8" t="s">
        <v>2623</v>
      </c>
      <c r="M3061" s="9">
        <f t="shared" si="1"/>
        <v>45</v>
      </c>
    </row>
    <row r="3062" ht="12.75" customHeight="1">
      <c r="A3062" s="4">
        <f t="shared" si="2"/>
        <v>3061</v>
      </c>
      <c r="B3062" s="4" t="s">
        <v>6574</v>
      </c>
      <c r="C3062" s="5" t="s">
        <v>6575</v>
      </c>
      <c r="D3062" s="4"/>
      <c r="E3062" s="4"/>
      <c r="F3062" s="4" t="s">
        <v>22</v>
      </c>
      <c r="G3062" s="6">
        <v>1.43</v>
      </c>
      <c r="H3062" s="7" t="s">
        <v>1606</v>
      </c>
      <c r="I3062" s="4" t="s">
        <v>1623</v>
      </c>
      <c r="J3062" s="4" t="s">
        <v>3029</v>
      </c>
      <c r="K3062" s="8"/>
      <c r="L3062" s="8" t="s">
        <v>2623</v>
      </c>
      <c r="M3062" s="9">
        <f t="shared" si="1"/>
        <v>41</v>
      </c>
    </row>
    <row r="3063" ht="12.75" customHeight="1">
      <c r="A3063" s="4">
        <f t="shared" si="2"/>
        <v>3062</v>
      </c>
      <c r="B3063" s="4" t="s">
        <v>6576</v>
      </c>
      <c r="C3063" s="5" t="s">
        <v>6577</v>
      </c>
      <c r="D3063" s="4"/>
      <c r="E3063" s="4"/>
      <c r="F3063" s="4" t="s">
        <v>22</v>
      </c>
      <c r="G3063" s="6">
        <v>4.16</v>
      </c>
      <c r="H3063" s="7" t="s">
        <v>1606</v>
      </c>
      <c r="I3063" s="4" t="s">
        <v>1623</v>
      </c>
      <c r="J3063" s="4" t="s">
        <v>3029</v>
      </c>
      <c r="K3063" s="8"/>
      <c r="L3063" s="8" t="s">
        <v>2623</v>
      </c>
      <c r="M3063" s="9">
        <f t="shared" si="1"/>
        <v>41</v>
      </c>
    </row>
    <row r="3064" ht="12.75" customHeight="1">
      <c r="A3064" s="4">
        <f t="shared" si="2"/>
        <v>3063</v>
      </c>
      <c r="B3064" s="4" t="s">
        <v>6578</v>
      </c>
      <c r="C3064" s="5" t="s">
        <v>6579</v>
      </c>
      <c r="D3064" s="4"/>
      <c r="E3064" s="4"/>
      <c r="F3064" s="4" t="s">
        <v>22</v>
      </c>
      <c r="G3064" s="6">
        <v>0.43</v>
      </c>
      <c r="H3064" s="7" t="s">
        <v>1606</v>
      </c>
      <c r="I3064" s="4" t="s">
        <v>1623</v>
      </c>
      <c r="J3064" s="4" t="s">
        <v>3029</v>
      </c>
      <c r="K3064" s="8"/>
      <c r="L3064" s="8" t="s">
        <v>2623</v>
      </c>
      <c r="M3064" s="9">
        <f t="shared" si="1"/>
        <v>43</v>
      </c>
    </row>
    <row r="3065" ht="12.75" customHeight="1">
      <c r="A3065" s="4">
        <f t="shared" si="2"/>
        <v>3064</v>
      </c>
      <c r="B3065" s="4" t="s">
        <v>6580</v>
      </c>
      <c r="C3065" s="5" t="s">
        <v>6581</v>
      </c>
      <c r="D3065" s="4"/>
      <c r="E3065" s="4"/>
      <c r="F3065" s="4" t="s">
        <v>22</v>
      </c>
      <c r="G3065" s="6">
        <v>6.43</v>
      </c>
      <c r="H3065" s="7" t="s">
        <v>1606</v>
      </c>
      <c r="I3065" s="4" t="s">
        <v>1623</v>
      </c>
      <c r="J3065" s="4" t="s">
        <v>3029</v>
      </c>
      <c r="K3065" s="8"/>
      <c r="L3065" s="8" t="s">
        <v>2623</v>
      </c>
      <c r="M3065" s="9">
        <f t="shared" si="1"/>
        <v>41</v>
      </c>
    </row>
    <row r="3066" ht="12.75" customHeight="1">
      <c r="A3066" s="4">
        <f t="shared" si="2"/>
        <v>3065</v>
      </c>
      <c r="B3066" s="4" t="s">
        <v>6582</v>
      </c>
      <c r="C3066" s="5" t="s">
        <v>6583</v>
      </c>
      <c r="D3066" s="4"/>
      <c r="E3066" s="4"/>
      <c r="F3066" s="4" t="s">
        <v>22</v>
      </c>
      <c r="G3066" s="6">
        <v>20.43</v>
      </c>
      <c r="H3066" s="7" t="s">
        <v>1606</v>
      </c>
      <c r="I3066" s="4" t="s">
        <v>1623</v>
      </c>
      <c r="J3066" s="4" t="s">
        <v>3029</v>
      </c>
      <c r="K3066" s="8"/>
      <c r="L3066" s="8" t="s">
        <v>2623</v>
      </c>
      <c r="M3066" s="9">
        <f t="shared" si="1"/>
        <v>41</v>
      </c>
    </row>
    <row r="3067" ht="12.75" customHeight="1">
      <c r="A3067" s="4">
        <f t="shared" si="2"/>
        <v>3066</v>
      </c>
      <c r="B3067" s="4" t="s">
        <v>6584</v>
      </c>
      <c r="C3067" s="5" t="s">
        <v>6585</v>
      </c>
      <c r="D3067" s="4"/>
      <c r="E3067" s="4"/>
      <c r="F3067" s="4" t="s">
        <v>22</v>
      </c>
      <c r="G3067" s="6">
        <v>0.95</v>
      </c>
      <c r="H3067" s="7" t="s">
        <v>1606</v>
      </c>
      <c r="I3067" s="4" t="s">
        <v>1623</v>
      </c>
      <c r="J3067" s="4" t="s">
        <v>3029</v>
      </c>
      <c r="K3067" s="8"/>
      <c r="L3067" s="8" t="s">
        <v>2623</v>
      </c>
      <c r="M3067" s="9">
        <f t="shared" si="1"/>
        <v>39</v>
      </c>
    </row>
    <row r="3068" ht="12.75" customHeight="1">
      <c r="A3068" s="4">
        <f t="shared" si="2"/>
        <v>3067</v>
      </c>
      <c r="B3068" s="4" t="s">
        <v>6586</v>
      </c>
      <c r="C3068" s="5" t="s">
        <v>6587</v>
      </c>
      <c r="D3068" s="4"/>
      <c r="E3068" s="4"/>
      <c r="F3068" s="4" t="s">
        <v>22</v>
      </c>
      <c r="G3068" s="6">
        <v>0.43</v>
      </c>
      <c r="H3068" s="7" t="s">
        <v>1606</v>
      </c>
      <c r="I3068" s="4" t="s">
        <v>1623</v>
      </c>
      <c r="J3068" s="4" t="s">
        <v>3029</v>
      </c>
      <c r="K3068" s="8"/>
      <c r="L3068" s="8" t="s">
        <v>2623</v>
      </c>
      <c r="M3068" s="9">
        <f t="shared" si="1"/>
        <v>41</v>
      </c>
    </row>
    <row r="3069" ht="12.75" customHeight="1">
      <c r="A3069" s="4">
        <f t="shared" si="2"/>
        <v>3068</v>
      </c>
      <c r="B3069" s="4" t="s">
        <v>6588</v>
      </c>
      <c r="C3069" s="5" t="s">
        <v>6589</v>
      </c>
      <c r="D3069" s="4"/>
      <c r="E3069" s="4"/>
      <c r="F3069" s="4" t="s">
        <v>22</v>
      </c>
      <c r="G3069" s="6">
        <v>2.0</v>
      </c>
      <c r="H3069" s="7" t="s">
        <v>1606</v>
      </c>
      <c r="I3069" s="4" t="s">
        <v>1623</v>
      </c>
      <c r="J3069" s="4" t="s">
        <v>3029</v>
      </c>
      <c r="K3069" s="8"/>
      <c r="L3069" s="8" t="s">
        <v>2623</v>
      </c>
      <c r="M3069" s="9">
        <f t="shared" si="1"/>
        <v>39</v>
      </c>
    </row>
    <row r="3070" ht="12.75" customHeight="1">
      <c r="A3070" s="4">
        <f t="shared" si="2"/>
        <v>3069</v>
      </c>
      <c r="B3070" s="4" t="s">
        <v>6590</v>
      </c>
      <c r="C3070" s="5" t="s">
        <v>6591</v>
      </c>
      <c r="D3070" s="4"/>
      <c r="E3070" s="4"/>
      <c r="F3070" s="4" t="s">
        <v>22</v>
      </c>
      <c r="G3070" s="6">
        <v>4.15</v>
      </c>
      <c r="H3070" s="7" t="s">
        <v>1606</v>
      </c>
      <c r="I3070" s="4" t="s">
        <v>1623</v>
      </c>
      <c r="J3070" s="4" t="s">
        <v>3029</v>
      </c>
      <c r="K3070" s="8"/>
      <c r="L3070" s="8" t="s">
        <v>2623</v>
      </c>
      <c r="M3070" s="9">
        <f t="shared" si="1"/>
        <v>39</v>
      </c>
    </row>
    <row r="3071" ht="12.75" customHeight="1">
      <c r="A3071" s="4">
        <f t="shared" si="2"/>
        <v>3070</v>
      </c>
      <c r="B3071" s="4" t="s">
        <v>6592</v>
      </c>
      <c r="C3071" s="5" t="s">
        <v>6593</v>
      </c>
      <c r="D3071" s="4"/>
      <c r="E3071" s="4"/>
      <c r="F3071" s="4" t="s">
        <v>22</v>
      </c>
      <c r="G3071" s="6">
        <v>0.45</v>
      </c>
      <c r="H3071" s="7" t="s">
        <v>1606</v>
      </c>
      <c r="I3071" s="4" t="s">
        <v>1623</v>
      </c>
      <c r="J3071" s="4" t="s">
        <v>3029</v>
      </c>
      <c r="K3071" s="8"/>
      <c r="L3071" s="8" t="s">
        <v>2623</v>
      </c>
      <c r="M3071" s="9">
        <f t="shared" si="1"/>
        <v>41</v>
      </c>
    </row>
    <row r="3072" ht="12.75" customHeight="1">
      <c r="A3072" s="4">
        <f t="shared" si="2"/>
        <v>3071</v>
      </c>
      <c r="B3072" s="4" t="s">
        <v>6594</v>
      </c>
      <c r="C3072" s="5" t="s">
        <v>6595</v>
      </c>
      <c r="D3072" s="4"/>
      <c r="E3072" s="4"/>
      <c r="F3072" s="4" t="s">
        <v>22</v>
      </c>
      <c r="G3072" s="6">
        <v>7.7</v>
      </c>
      <c r="H3072" s="7" t="s">
        <v>1606</v>
      </c>
      <c r="I3072" s="4" t="s">
        <v>1623</v>
      </c>
      <c r="J3072" s="4" t="s">
        <v>3029</v>
      </c>
      <c r="K3072" s="8"/>
      <c r="L3072" s="8" t="s">
        <v>2623</v>
      </c>
      <c r="M3072" s="9">
        <f t="shared" si="1"/>
        <v>39</v>
      </c>
    </row>
    <row r="3073" ht="12.75" customHeight="1">
      <c r="A3073" s="4">
        <f t="shared" si="2"/>
        <v>3072</v>
      </c>
      <c r="B3073" s="4" t="s">
        <v>6596</v>
      </c>
      <c r="C3073" s="5" t="s">
        <v>6597</v>
      </c>
      <c r="D3073" s="4"/>
      <c r="E3073" s="4"/>
      <c r="F3073" s="4" t="s">
        <v>22</v>
      </c>
      <c r="G3073" s="6">
        <v>24.97</v>
      </c>
      <c r="H3073" s="7" t="s">
        <v>1606</v>
      </c>
      <c r="I3073" s="4" t="s">
        <v>1623</v>
      </c>
      <c r="J3073" s="4" t="s">
        <v>3029</v>
      </c>
      <c r="K3073" s="8"/>
      <c r="L3073" s="8" t="s">
        <v>2623</v>
      </c>
      <c r="M3073" s="9">
        <f t="shared" si="1"/>
        <v>39</v>
      </c>
    </row>
    <row r="3074" ht="12.75" customHeight="1">
      <c r="A3074" s="4">
        <f t="shared" si="2"/>
        <v>3073</v>
      </c>
      <c r="B3074" s="4" t="s">
        <v>6598</v>
      </c>
      <c r="C3074" s="5" t="s">
        <v>6599</v>
      </c>
      <c r="D3074" s="4"/>
      <c r="E3074" s="4"/>
      <c r="F3074" s="4" t="s">
        <v>22</v>
      </c>
      <c r="G3074" s="6">
        <v>1.62</v>
      </c>
      <c r="H3074" s="7" t="s">
        <v>1606</v>
      </c>
      <c r="I3074" s="4" t="s">
        <v>1623</v>
      </c>
      <c r="J3074" s="4" t="s">
        <v>2953</v>
      </c>
      <c r="K3074" s="8"/>
      <c r="L3074" s="8" t="s">
        <v>33</v>
      </c>
      <c r="M3074" s="9">
        <f t="shared" si="1"/>
        <v>44</v>
      </c>
    </row>
    <row r="3075" ht="12.75" customHeight="1">
      <c r="A3075" s="4">
        <f t="shared" si="2"/>
        <v>3074</v>
      </c>
      <c r="B3075" s="4" t="s">
        <v>6600</v>
      </c>
      <c r="C3075" s="5" t="s">
        <v>6601</v>
      </c>
      <c r="D3075" s="4"/>
      <c r="E3075" s="4"/>
      <c r="F3075" s="4" t="s">
        <v>22</v>
      </c>
      <c r="G3075" s="6">
        <v>1.62</v>
      </c>
      <c r="H3075" s="7" t="s">
        <v>1606</v>
      </c>
      <c r="I3075" s="4" t="s">
        <v>1623</v>
      </c>
      <c r="J3075" s="4" t="s">
        <v>2953</v>
      </c>
      <c r="K3075" s="8"/>
      <c r="L3075" s="8" t="s">
        <v>33</v>
      </c>
      <c r="M3075" s="9">
        <f t="shared" si="1"/>
        <v>44</v>
      </c>
    </row>
    <row r="3076" ht="12.75" customHeight="1">
      <c r="A3076" s="4">
        <f t="shared" si="2"/>
        <v>3075</v>
      </c>
      <c r="B3076" s="4" t="s">
        <v>6602</v>
      </c>
      <c r="C3076" s="5" t="s">
        <v>6603</v>
      </c>
      <c r="D3076" s="4"/>
      <c r="E3076" s="4"/>
      <c r="F3076" s="4" t="s">
        <v>22</v>
      </c>
      <c r="G3076" s="6">
        <v>13.51</v>
      </c>
      <c r="H3076" s="7" t="s">
        <v>1606</v>
      </c>
      <c r="I3076" s="4" t="s">
        <v>1623</v>
      </c>
      <c r="J3076" s="4" t="s">
        <v>2953</v>
      </c>
      <c r="K3076" s="8"/>
      <c r="L3076" s="8" t="s">
        <v>33</v>
      </c>
      <c r="M3076" s="9">
        <f t="shared" si="1"/>
        <v>46</v>
      </c>
    </row>
    <row r="3077" ht="12.75" customHeight="1">
      <c r="A3077" s="4">
        <f t="shared" si="2"/>
        <v>3076</v>
      </c>
      <c r="B3077" s="4" t="s">
        <v>6604</v>
      </c>
      <c r="C3077" s="5" t="s">
        <v>6605</v>
      </c>
      <c r="D3077" s="4"/>
      <c r="E3077" s="4"/>
      <c r="F3077" s="4" t="s">
        <v>22</v>
      </c>
      <c r="G3077" s="6">
        <v>12.16</v>
      </c>
      <c r="H3077" s="7" t="s">
        <v>1606</v>
      </c>
      <c r="I3077" s="4" t="s">
        <v>1623</v>
      </c>
      <c r="J3077" s="4" t="s">
        <v>2953</v>
      </c>
      <c r="K3077" s="8"/>
      <c r="L3077" s="8" t="s">
        <v>33</v>
      </c>
      <c r="M3077" s="9">
        <f t="shared" si="1"/>
        <v>42</v>
      </c>
    </row>
    <row r="3078" ht="12.75" customHeight="1">
      <c r="A3078" s="4">
        <f t="shared" si="2"/>
        <v>3077</v>
      </c>
      <c r="B3078" s="4" t="s">
        <v>6606</v>
      </c>
      <c r="C3078" s="5" t="s">
        <v>6607</v>
      </c>
      <c r="D3078" s="4"/>
      <c r="E3078" s="4"/>
      <c r="F3078" s="4" t="s">
        <v>22</v>
      </c>
      <c r="G3078" s="6">
        <v>2.3</v>
      </c>
      <c r="H3078" s="7" t="s">
        <v>1606</v>
      </c>
      <c r="I3078" s="4" t="s">
        <v>1623</v>
      </c>
      <c r="J3078" s="4" t="s">
        <v>2953</v>
      </c>
      <c r="K3078" s="8"/>
      <c r="L3078" s="8" t="s">
        <v>33</v>
      </c>
      <c r="M3078" s="9">
        <f t="shared" si="1"/>
        <v>44</v>
      </c>
    </row>
    <row r="3079" ht="12.75" customHeight="1">
      <c r="A3079" s="4">
        <f t="shared" si="2"/>
        <v>3078</v>
      </c>
      <c r="B3079" s="4" t="s">
        <v>6608</v>
      </c>
      <c r="C3079" s="5" t="s">
        <v>6609</v>
      </c>
      <c r="D3079" s="4"/>
      <c r="E3079" s="4"/>
      <c r="F3079" s="4" t="s">
        <v>22</v>
      </c>
      <c r="G3079" s="6">
        <v>25.69</v>
      </c>
      <c r="H3079" s="7" t="s">
        <v>1606</v>
      </c>
      <c r="I3079" s="4" t="s">
        <v>1623</v>
      </c>
      <c r="J3079" s="4" t="s">
        <v>2953</v>
      </c>
      <c r="K3079" s="8"/>
      <c r="L3079" s="8" t="s">
        <v>33</v>
      </c>
      <c r="M3079" s="9">
        <f t="shared" si="1"/>
        <v>42</v>
      </c>
    </row>
    <row r="3080" ht="12.75" customHeight="1">
      <c r="A3080" s="4">
        <f t="shared" si="2"/>
        <v>3079</v>
      </c>
      <c r="B3080" s="4" t="s">
        <v>6610</v>
      </c>
      <c r="C3080" s="5" t="s">
        <v>6611</v>
      </c>
      <c r="D3080" s="4"/>
      <c r="E3080" s="4"/>
      <c r="F3080" s="4" t="s">
        <v>22</v>
      </c>
      <c r="G3080" s="6">
        <v>2.43</v>
      </c>
      <c r="H3080" s="7" t="s">
        <v>1606</v>
      </c>
      <c r="I3080" s="4" t="s">
        <v>1623</v>
      </c>
      <c r="J3080" s="4" t="s">
        <v>2987</v>
      </c>
      <c r="K3080" s="8"/>
      <c r="L3080" s="8" t="s">
        <v>33</v>
      </c>
      <c r="M3080" s="9">
        <f t="shared" si="1"/>
        <v>54</v>
      </c>
    </row>
    <row r="3081" ht="12.75" customHeight="1">
      <c r="A3081" s="4">
        <f t="shared" si="2"/>
        <v>3080</v>
      </c>
      <c r="B3081" s="4" t="s">
        <v>6612</v>
      </c>
      <c r="C3081" s="5" t="s">
        <v>6613</v>
      </c>
      <c r="D3081" s="4"/>
      <c r="E3081" s="4"/>
      <c r="F3081" s="4" t="s">
        <v>22</v>
      </c>
      <c r="G3081" s="21">
        <v>1.32</v>
      </c>
      <c r="H3081" s="7" t="s">
        <v>1606</v>
      </c>
      <c r="I3081" s="4" t="s">
        <v>1623</v>
      </c>
      <c r="J3081" s="4" t="s">
        <v>2987</v>
      </c>
      <c r="K3081" s="8"/>
      <c r="L3081" s="8" t="s">
        <v>33</v>
      </c>
      <c r="M3081" s="9">
        <f t="shared" si="1"/>
        <v>50</v>
      </c>
    </row>
    <row r="3082" ht="12.75" customHeight="1">
      <c r="A3082" s="4">
        <f t="shared" si="2"/>
        <v>3081</v>
      </c>
      <c r="B3082" s="4" t="s">
        <v>6614</v>
      </c>
      <c r="C3082" s="5" t="s">
        <v>6615</v>
      </c>
      <c r="D3082" s="4"/>
      <c r="E3082" s="4"/>
      <c r="F3082" s="4" t="s">
        <v>22</v>
      </c>
      <c r="G3082" s="6">
        <v>0.68</v>
      </c>
      <c r="H3082" s="7" t="s">
        <v>1606</v>
      </c>
      <c r="I3082" s="4" t="s">
        <v>1623</v>
      </c>
      <c r="J3082" s="4" t="s">
        <v>2987</v>
      </c>
      <c r="K3082" s="8"/>
      <c r="L3082" s="8" t="s">
        <v>33</v>
      </c>
      <c r="M3082" s="9">
        <f t="shared" si="1"/>
        <v>52</v>
      </c>
    </row>
    <row r="3083" ht="12.75" customHeight="1">
      <c r="A3083" s="4">
        <f t="shared" si="2"/>
        <v>3082</v>
      </c>
      <c r="B3083" s="4" t="s">
        <v>6616</v>
      </c>
      <c r="C3083" s="5" t="s">
        <v>6617</v>
      </c>
      <c r="D3083" s="4"/>
      <c r="E3083" s="4"/>
      <c r="F3083" s="4" t="s">
        <v>22</v>
      </c>
      <c r="G3083" s="6">
        <v>0.81</v>
      </c>
      <c r="H3083" s="7" t="s">
        <v>1606</v>
      </c>
      <c r="I3083" s="4" t="s">
        <v>1623</v>
      </c>
      <c r="J3083" s="4" t="s">
        <v>2987</v>
      </c>
      <c r="K3083" s="8"/>
      <c r="L3083" s="8" t="s">
        <v>33</v>
      </c>
      <c r="M3083" s="9">
        <f t="shared" si="1"/>
        <v>52</v>
      </c>
    </row>
    <row r="3084" ht="12.75" customHeight="1">
      <c r="A3084" s="4">
        <f t="shared" si="2"/>
        <v>3083</v>
      </c>
      <c r="B3084" s="4" t="s">
        <v>6618</v>
      </c>
      <c r="C3084" s="5" t="s">
        <v>6619</v>
      </c>
      <c r="D3084" s="4"/>
      <c r="E3084" s="4"/>
      <c r="F3084" s="4" t="s">
        <v>22</v>
      </c>
      <c r="G3084" s="6">
        <v>5.68</v>
      </c>
      <c r="H3084" s="7" t="s">
        <v>1606</v>
      </c>
      <c r="I3084" s="4" t="s">
        <v>1623</v>
      </c>
      <c r="J3084" s="4" t="s">
        <v>2987</v>
      </c>
      <c r="K3084" s="8"/>
      <c r="L3084" s="8" t="s">
        <v>33</v>
      </c>
      <c r="M3084" s="9">
        <f t="shared" si="1"/>
        <v>54</v>
      </c>
    </row>
    <row r="3085" ht="12.75" customHeight="1">
      <c r="A3085" s="4">
        <f t="shared" si="2"/>
        <v>3084</v>
      </c>
      <c r="B3085" s="4" t="s">
        <v>6620</v>
      </c>
      <c r="C3085" s="5" t="s">
        <v>6621</v>
      </c>
      <c r="D3085" s="4"/>
      <c r="E3085" s="4"/>
      <c r="F3085" s="4" t="s">
        <v>22</v>
      </c>
      <c r="G3085" s="6">
        <v>2.7</v>
      </c>
      <c r="H3085" s="7" t="s">
        <v>1606</v>
      </c>
      <c r="I3085" s="4" t="s">
        <v>1623</v>
      </c>
      <c r="J3085" s="4" t="s">
        <v>2987</v>
      </c>
      <c r="K3085" s="8"/>
      <c r="L3085" s="8" t="s">
        <v>33</v>
      </c>
      <c r="M3085" s="9">
        <f t="shared" si="1"/>
        <v>50</v>
      </c>
    </row>
    <row r="3086" ht="12.75" customHeight="1">
      <c r="A3086" s="4">
        <f t="shared" si="2"/>
        <v>3085</v>
      </c>
      <c r="B3086" s="4" t="s">
        <v>6622</v>
      </c>
      <c r="C3086" s="5" t="s">
        <v>6623</v>
      </c>
      <c r="D3086" s="4"/>
      <c r="E3086" s="4"/>
      <c r="F3086" s="4" t="s">
        <v>22</v>
      </c>
      <c r="G3086" s="6">
        <v>6.76</v>
      </c>
      <c r="H3086" s="7" t="s">
        <v>1606</v>
      </c>
      <c r="I3086" s="4" t="s">
        <v>1623</v>
      </c>
      <c r="J3086" s="4" t="s">
        <v>2987</v>
      </c>
      <c r="K3086" s="8"/>
      <c r="L3086" s="8" t="s">
        <v>33</v>
      </c>
      <c r="M3086" s="9">
        <f t="shared" si="1"/>
        <v>50</v>
      </c>
    </row>
    <row r="3087" ht="12.75" customHeight="1">
      <c r="A3087" s="4">
        <f t="shared" si="2"/>
        <v>3086</v>
      </c>
      <c r="B3087" s="4" t="s">
        <v>6624</v>
      </c>
      <c r="C3087" s="5" t="s">
        <v>6625</v>
      </c>
      <c r="D3087" s="4"/>
      <c r="E3087" s="4"/>
      <c r="F3087" s="4" t="s">
        <v>22</v>
      </c>
      <c r="G3087" s="6">
        <v>1.08</v>
      </c>
      <c r="H3087" s="7" t="s">
        <v>1606</v>
      </c>
      <c r="I3087" s="4" t="s">
        <v>1623</v>
      </c>
      <c r="J3087" s="4" t="s">
        <v>2987</v>
      </c>
      <c r="K3087" s="8"/>
      <c r="L3087" s="8" t="s">
        <v>33</v>
      </c>
      <c r="M3087" s="9">
        <f t="shared" si="1"/>
        <v>52</v>
      </c>
    </row>
    <row r="3088" ht="12.75" customHeight="1">
      <c r="A3088" s="4">
        <f t="shared" si="2"/>
        <v>3087</v>
      </c>
      <c r="B3088" s="4" t="s">
        <v>6626</v>
      </c>
      <c r="C3088" s="5" t="s">
        <v>6627</v>
      </c>
      <c r="D3088" s="4"/>
      <c r="E3088" s="4"/>
      <c r="F3088" s="4" t="s">
        <v>22</v>
      </c>
      <c r="G3088" s="6">
        <v>12.16</v>
      </c>
      <c r="H3088" s="7" t="s">
        <v>1606</v>
      </c>
      <c r="I3088" s="4" t="s">
        <v>1623</v>
      </c>
      <c r="J3088" s="4" t="s">
        <v>2987</v>
      </c>
      <c r="K3088" s="8"/>
      <c r="L3088" s="8" t="s">
        <v>33</v>
      </c>
      <c r="M3088" s="9">
        <f t="shared" si="1"/>
        <v>50</v>
      </c>
    </row>
    <row r="3089" ht="12.75" customHeight="1">
      <c r="A3089" s="4">
        <f t="shared" si="2"/>
        <v>3088</v>
      </c>
      <c r="B3089" s="4" t="s">
        <v>6628</v>
      </c>
      <c r="C3089" s="5" t="s">
        <v>6629</v>
      </c>
      <c r="D3089" s="4"/>
      <c r="E3089" s="4"/>
      <c r="F3089" s="4" t="s">
        <v>22</v>
      </c>
      <c r="G3089" s="6">
        <v>41.89</v>
      </c>
      <c r="H3089" s="7" t="s">
        <v>1606</v>
      </c>
      <c r="I3089" s="27" t="s">
        <v>1623</v>
      </c>
      <c r="J3089" s="27" t="s">
        <v>2987</v>
      </c>
      <c r="K3089" s="8"/>
      <c r="L3089" s="8" t="s">
        <v>33</v>
      </c>
      <c r="M3089" s="9">
        <f t="shared" si="1"/>
        <v>50</v>
      </c>
    </row>
    <row r="3090" ht="12.75" customHeight="1">
      <c r="A3090" s="4">
        <f t="shared" si="2"/>
        <v>3089</v>
      </c>
      <c r="B3090" s="4" t="s">
        <v>6630</v>
      </c>
      <c r="C3090" s="5" t="s">
        <v>6631</v>
      </c>
      <c r="D3090" s="4"/>
      <c r="E3090" s="4"/>
      <c r="F3090" s="4" t="s">
        <v>22</v>
      </c>
      <c r="G3090" s="6">
        <v>1.89</v>
      </c>
      <c r="H3090" s="7" t="s">
        <v>1606</v>
      </c>
      <c r="I3090" s="4" t="s">
        <v>1623</v>
      </c>
      <c r="J3090" s="4" t="s">
        <v>2230</v>
      </c>
      <c r="K3090" s="8"/>
      <c r="L3090" s="8" t="s">
        <v>33</v>
      </c>
      <c r="M3090" s="9">
        <f t="shared" si="1"/>
        <v>48</v>
      </c>
    </row>
    <row r="3091" ht="12.75" customHeight="1">
      <c r="A3091" s="4">
        <f t="shared" si="2"/>
        <v>3090</v>
      </c>
      <c r="B3091" s="4" t="s">
        <v>6632</v>
      </c>
      <c r="C3091" s="5" t="s">
        <v>6633</v>
      </c>
      <c r="D3091" s="4"/>
      <c r="E3091" s="4"/>
      <c r="F3091" s="4" t="s">
        <v>22</v>
      </c>
      <c r="G3091" s="6">
        <v>1.22</v>
      </c>
      <c r="H3091" s="7" t="s">
        <v>1606</v>
      </c>
      <c r="I3091" s="4" t="s">
        <v>1623</v>
      </c>
      <c r="J3091" s="4" t="s">
        <v>2230</v>
      </c>
      <c r="K3091" s="8"/>
      <c r="L3091" s="8" t="s">
        <v>33</v>
      </c>
      <c r="M3091" s="9">
        <f t="shared" si="1"/>
        <v>48</v>
      </c>
    </row>
    <row r="3092" ht="12.75" customHeight="1">
      <c r="A3092" s="4">
        <f t="shared" si="2"/>
        <v>3091</v>
      </c>
      <c r="B3092" s="4" t="s">
        <v>6634</v>
      </c>
      <c r="C3092" s="5" t="s">
        <v>6635</v>
      </c>
      <c r="D3092" s="4"/>
      <c r="E3092" s="4"/>
      <c r="F3092" s="4" t="s">
        <v>22</v>
      </c>
      <c r="G3092" s="6">
        <v>1.08</v>
      </c>
      <c r="H3092" s="7" t="s">
        <v>1606</v>
      </c>
      <c r="I3092" s="4" t="s">
        <v>1623</v>
      </c>
      <c r="J3092" s="4" t="s">
        <v>2230</v>
      </c>
      <c r="K3092" s="8"/>
      <c r="L3092" s="8" t="s">
        <v>33</v>
      </c>
      <c r="M3092" s="9">
        <f t="shared" si="1"/>
        <v>44</v>
      </c>
    </row>
    <row r="3093" ht="12.75" customHeight="1">
      <c r="A3093" s="4">
        <f t="shared" si="2"/>
        <v>3092</v>
      </c>
      <c r="B3093" s="4" t="s">
        <v>6636</v>
      </c>
      <c r="C3093" s="5" t="s">
        <v>6637</v>
      </c>
      <c r="D3093" s="4"/>
      <c r="E3093" s="4"/>
      <c r="F3093" s="4" t="s">
        <v>22</v>
      </c>
      <c r="G3093" s="6">
        <v>0.95</v>
      </c>
      <c r="H3093" s="7" t="s">
        <v>1606</v>
      </c>
      <c r="I3093" s="4" t="s">
        <v>1623</v>
      </c>
      <c r="J3093" s="4" t="s">
        <v>2230</v>
      </c>
      <c r="K3093" s="8"/>
      <c r="L3093" s="8" t="s">
        <v>33</v>
      </c>
      <c r="M3093" s="9">
        <f t="shared" si="1"/>
        <v>46</v>
      </c>
    </row>
    <row r="3094" ht="12.75" customHeight="1">
      <c r="A3094" s="4">
        <f t="shared" si="2"/>
        <v>3093</v>
      </c>
      <c r="B3094" s="4" t="s">
        <v>6638</v>
      </c>
      <c r="C3094" s="5" t="s">
        <v>6639</v>
      </c>
      <c r="D3094" s="4"/>
      <c r="E3094" s="4"/>
      <c r="F3094" s="4" t="s">
        <v>22</v>
      </c>
      <c r="G3094" s="6">
        <v>0.58</v>
      </c>
      <c r="H3094" s="7" t="s">
        <v>1606</v>
      </c>
      <c r="I3094" s="4" t="s">
        <v>1623</v>
      </c>
      <c r="J3094" s="4" t="s">
        <v>2230</v>
      </c>
      <c r="K3094" s="8"/>
      <c r="L3094" s="8" t="s">
        <v>33</v>
      </c>
      <c r="M3094" s="9">
        <f t="shared" si="1"/>
        <v>46</v>
      </c>
    </row>
    <row r="3095" ht="12.75" customHeight="1">
      <c r="A3095" s="4">
        <f t="shared" si="2"/>
        <v>3094</v>
      </c>
      <c r="B3095" s="4" t="s">
        <v>6640</v>
      </c>
      <c r="C3095" s="5" t="s">
        <v>6641</v>
      </c>
      <c r="D3095" s="4"/>
      <c r="E3095" s="4"/>
      <c r="F3095" s="4" t="s">
        <v>22</v>
      </c>
      <c r="G3095" s="6">
        <v>2.7</v>
      </c>
      <c r="H3095" s="7" t="s">
        <v>1606</v>
      </c>
      <c r="I3095" s="4" t="s">
        <v>1623</v>
      </c>
      <c r="J3095" s="4" t="s">
        <v>2230</v>
      </c>
      <c r="K3095" s="8"/>
      <c r="L3095" s="8" t="s">
        <v>33</v>
      </c>
      <c r="M3095" s="9">
        <f t="shared" si="1"/>
        <v>48</v>
      </c>
    </row>
    <row r="3096" ht="12.75" customHeight="1">
      <c r="A3096" s="4">
        <f t="shared" si="2"/>
        <v>3095</v>
      </c>
      <c r="B3096" s="4" t="s">
        <v>6642</v>
      </c>
      <c r="C3096" s="5" t="s">
        <v>6643</v>
      </c>
      <c r="D3096" s="4"/>
      <c r="E3096" s="4"/>
      <c r="F3096" s="4" t="s">
        <v>22</v>
      </c>
      <c r="G3096" s="6">
        <v>2.78</v>
      </c>
      <c r="H3096" s="7" t="s">
        <v>1606</v>
      </c>
      <c r="I3096" s="4" t="s">
        <v>1623</v>
      </c>
      <c r="J3096" s="4" t="s">
        <v>2230</v>
      </c>
      <c r="K3096" s="8"/>
      <c r="L3096" s="8" t="s">
        <v>33</v>
      </c>
      <c r="M3096" s="9">
        <f t="shared" si="1"/>
        <v>44</v>
      </c>
    </row>
    <row r="3097" ht="12.75" customHeight="1">
      <c r="A3097" s="4">
        <f t="shared" si="2"/>
        <v>3096</v>
      </c>
      <c r="B3097" s="4" t="s">
        <v>6644</v>
      </c>
      <c r="C3097" s="5" t="s">
        <v>6645</v>
      </c>
      <c r="D3097" s="4"/>
      <c r="E3097" s="4"/>
      <c r="F3097" s="4" t="s">
        <v>22</v>
      </c>
      <c r="G3097" s="6">
        <v>8.11</v>
      </c>
      <c r="H3097" s="7" t="s">
        <v>1606</v>
      </c>
      <c r="I3097" s="4" t="s">
        <v>1623</v>
      </c>
      <c r="J3097" s="4" t="s">
        <v>2230</v>
      </c>
      <c r="K3097" s="8"/>
      <c r="L3097" s="8" t="s">
        <v>33</v>
      </c>
      <c r="M3097" s="9">
        <f t="shared" si="1"/>
        <v>44</v>
      </c>
    </row>
    <row r="3098" ht="12.75" customHeight="1">
      <c r="A3098" s="4">
        <f t="shared" si="2"/>
        <v>3097</v>
      </c>
      <c r="B3098" s="4" t="s">
        <v>6646</v>
      </c>
      <c r="C3098" s="5" t="s">
        <v>6647</v>
      </c>
      <c r="D3098" s="4"/>
      <c r="E3098" s="4"/>
      <c r="F3098" s="4" t="s">
        <v>22</v>
      </c>
      <c r="G3098" s="21">
        <v>0.81</v>
      </c>
      <c r="H3098" s="7" t="s">
        <v>1606</v>
      </c>
      <c r="I3098" s="4" t="s">
        <v>1623</v>
      </c>
      <c r="J3098" s="4" t="s">
        <v>2230</v>
      </c>
      <c r="K3098" s="8"/>
      <c r="L3098" s="8" t="s">
        <v>33</v>
      </c>
      <c r="M3098" s="9">
        <f t="shared" si="1"/>
        <v>46</v>
      </c>
    </row>
    <row r="3099" ht="12.75" customHeight="1">
      <c r="A3099" s="4">
        <f t="shared" si="2"/>
        <v>3098</v>
      </c>
      <c r="B3099" s="4" t="s">
        <v>6648</v>
      </c>
      <c r="C3099" s="5" t="s">
        <v>6649</v>
      </c>
      <c r="D3099" s="4"/>
      <c r="E3099" s="4"/>
      <c r="F3099" s="4" t="s">
        <v>22</v>
      </c>
      <c r="G3099" s="6">
        <v>5.68</v>
      </c>
      <c r="H3099" s="7" t="s">
        <v>1606</v>
      </c>
      <c r="I3099" s="4" t="s">
        <v>1623</v>
      </c>
      <c r="J3099" s="4" t="s">
        <v>2230</v>
      </c>
      <c r="K3099" s="8"/>
      <c r="L3099" s="8" t="s">
        <v>33</v>
      </c>
      <c r="M3099" s="9">
        <f t="shared" si="1"/>
        <v>44</v>
      </c>
    </row>
    <row r="3100" ht="12.75" customHeight="1">
      <c r="A3100" s="4">
        <f t="shared" si="2"/>
        <v>3099</v>
      </c>
      <c r="B3100" s="4" t="s">
        <v>6650</v>
      </c>
      <c r="C3100" s="5" t="s">
        <v>6651</v>
      </c>
      <c r="D3100" s="4"/>
      <c r="E3100" s="4"/>
      <c r="F3100" s="4" t="s">
        <v>22</v>
      </c>
      <c r="G3100" s="6">
        <v>23.51</v>
      </c>
      <c r="H3100" s="7" t="s">
        <v>1606</v>
      </c>
      <c r="I3100" s="4" t="s">
        <v>1623</v>
      </c>
      <c r="J3100" s="4" t="s">
        <v>2230</v>
      </c>
      <c r="K3100" s="8"/>
      <c r="L3100" s="8" t="s">
        <v>33</v>
      </c>
      <c r="M3100" s="9">
        <f t="shared" si="1"/>
        <v>44</v>
      </c>
    </row>
    <row r="3101" ht="12.75" customHeight="1">
      <c r="A3101" s="4">
        <f t="shared" si="2"/>
        <v>3100</v>
      </c>
      <c r="B3101" s="4" t="s">
        <v>6652</v>
      </c>
      <c r="C3101" s="5" t="s">
        <v>6653</v>
      </c>
      <c r="D3101" s="4"/>
      <c r="E3101" s="4"/>
      <c r="F3101" s="4" t="s">
        <v>22</v>
      </c>
      <c r="G3101" s="6">
        <v>9.57</v>
      </c>
      <c r="H3101" s="7" t="s">
        <v>1606</v>
      </c>
      <c r="I3101" s="4" t="s">
        <v>1623</v>
      </c>
      <c r="J3101" s="4" t="s">
        <v>2953</v>
      </c>
      <c r="K3101" s="8"/>
      <c r="L3101" s="8" t="s">
        <v>33</v>
      </c>
      <c r="M3101" s="9">
        <f t="shared" si="1"/>
        <v>74</v>
      </c>
    </row>
    <row r="3102" ht="12.75" customHeight="1">
      <c r="A3102" s="4">
        <f t="shared" si="2"/>
        <v>3101</v>
      </c>
      <c r="B3102" s="4" t="s">
        <v>6654</v>
      </c>
      <c r="C3102" s="5" t="s">
        <v>6655</v>
      </c>
      <c r="D3102" s="4"/>
      <c r="E3102" s="4"/>
      <c r="F3102" s="4" t="s">
        <v>22</v>
      </c>
      <c r="G3102" s="6">
        <v>3.51</v>
      </c>
      <c r="H3102" s="7" t="s">
        <v>1606</v>
      </c>
      <c r="I3102" s="4" t="s">
        <v>1623</v>
      </c>
      <c r="J3102" s="4" t="s">
        <v>2953</v>
      </c>
      <c r="K3102" s="8"/>
      <c r="L3102" s="8" t="s">
        <v>33</v>
      </c>
      <c r="M3102" s="9">
        <f t="shared" si="1"/>
        <v>72</v>
      </c>
    </row>
    <row r="3103" ht="12.75" customHeight="1">
      <c r="A3103" s="4">
        <f t="shared" si="2"/>
        <v>3102</v>
      </c>
      <c r="B3103" s="4" t="s">
        <v>6656</v>
      </c>
      <c r="C3103" s="5" t="s">
        <v>6657</v>
      </c>
      <c r="D3103" s="4"/>
      <c r="E3103" s="4"/>
      <c r="F3103" s="4" t="s">
        <v>22</v>
      </c>
      <c r="G3103" s="6">
        <v>40.54</v>
      </c>
      <c r="H3103" s="7" t="s">
        <v>1606</v>
      </c>
      <c r="I3103" s="4" t="s">
        <v>1623</v>
      </c>
      <c r="J3103" s="4" t="s">
        <v>2953</v>
      </c>
      <c r="K3103" s="8"/>
      <c r="L3103" s="8" t="s">
        <v>33</v>
      </c>
      <c r="M3103" s="9">
        <f t="shared" si="1"/>
        <v>74</v>
      </c>
    </row>
    <row r="3104" ht="12.75" customHeight="1">
      <c r="A3104" s="4">
        <f t="shared" si="2"/>
        <v>3103</v>
      </c>
      <c r="B3104" s="4" t="s">
        <v>6658</v>
      </c>
      <c r="C3104" s="5" t="s">
        <v>6659</v>
      </c>
      <c r="D3104" s="4"/>
      <c r="E3104" s="4"/>
      <c r="F3104" s="4" t="s">
        <v>22</v>
      </c>
      <c r="G3104" s="6">
        <v>29.73</v>
      </c>
      <c r="H3104" s="7" t="s">
        <v>1606</v>
      </c>
      <c r="I3104" s="4" t="s">
        <v>1623</v>
      </c>
      <c r="J3104" s="4" t="s">
        <v>2953</v>
      </c>
      <c r="K3104" s="8"/>
      <c r="L3104" s="8" t="s">
        <v>33</v>
      </c>
      <c r="M3104" s="9">
        <f t="shared" si="1"/>
        <v>70</v>
      </c>
    </row>
    <row r="3105" ht="12.75" customHeight="1">
      <c r="A3105" s="4">
        <f t="shared" si="2"/>
        <v>3104</v>
      </c>
      <c r="B3105" s="4" t="s">
        <v>6660</v>
      </c>
      <c r="C3105" s="5" t="s">
        <v>6661</v>
      </c>
      <c r="D3105" s="4"/>
      <c r="E3105" s="4"/>
      <c r="F3105" s="4" t="s">
        <v>22</v>
      </c>
      <c r="G3105" s="6">
        <v>7.3</v>
      </c>
      <c r="H3105" s="7" t="s">
        <v>1606</v>
      </c>
      <c r="I3105" s="4" t="s">
        <v>1623</v>
      </c>
      <c r="J3105" s="4" t="s">
        <v>2953</v>
      </c>
      <c r="K3105" s="8"/>
      <c r="L3105" s="8" t="s">
        <v>33</v>
      </c>
      <c r="M3105" s="9">
        <f t="shared" si="1"/>
        <v>72</v>
      </c>
    </row>
    <row r="3106" ht="12.75" customHeight="1">
      <c r="A3106" s="4">
        <f t="shared" si="2"/>
        <v>3105</v>
      </c>
      <c r="B3106" s="4" t="s">
        <v>6662</v>
      </c>
      <c r="C3106" s="5" t="s">
        <v>6663</v>
      </c>
      <c r="D3106" s="4"/>
      <c r="E3106" s="4"/>
      <c r="F3106" s="4" t="s">
        <v>22</v>
      </c>
      <c r="G3106" s="6">
        <v>6.89</v>
      </c>
      <c r="H3106" s="7" t="s">
        <v>1606</v>
      </c>
      <c r="I3106" s="4" t="s">
        <v>1623</v>
      </c>
      <c r="J3106" s="4" t="s">
        <v>2987</v>
      </c>
      <c r="K3106" s="8"/>
      <c r="L3106" s="8" t="s">
        <v>33</v>
      </c>
      <c r="M3106" s="9">
        <f t="shared" si="1"/>
        <v>72</v>
      </c>
    </row>
    <row r="3107" ht="12.75" customHeight="1">
      <c r="A3107" s="4">
        <f t="shared" si="2"/>
        <v>3106</v>
      </c>
      <c r="B3107" s="4" t="s">
        <v>6664</v>
      </c>
      <c r="C3107" s="5" t="s">
        <v>6665</v>
      </c>
      <c r="D3107" s="4"/>
      <c r="E3107" s="4"/>
      <c r="F3107" s="4" t="s">
        <v>22</v>
      </c>
      <c r="G3107" s="6">
        <v>6.76</v>
      </c>
      <c r="H3107" s="7" t="s">
        <v>1606</v>
      </c>
      <c r="I3107" s="4" t="s">
        <v>1623</v>
      </c>
      <c r="J3107" s="4" t="s">
        <v>2987</v>
      </c>
      <c r="K3107" s="8"/>
      <c r="L3107" s="8" t="s">
        <v>33</v>
      </c>
      <c r="M3107" s="9">
        <f t="shared" si="1"/>
        <v>72</v>
      </c>
    </row>
    <row r="3108" ht="12.75" customHeight="1">
      <c r="A3108" s="4">
        <f t="shared" si="2"/>
        <v>3107</v>
      </c>
      <c r="B3108" s="4" t="s">
        <v>6666</v>
      </c>
      <c r="C3108" s="5" t="s">
        <v>6667</v>
      </c>
      <c r="D3108" s="4"/>
      <c r="E3108" s="4"/>
      <c r="F3108" s="4" t="s">
        <v>22</v>
      </c>
      <c r="G3108" s="6">
        <v>3.65</v>
      </c>
      <c r="H3108" s="7" t="s">
        <v>1606</v>
      </c>
      <c r="I3108" s="4" t="s">
        <v>1623</v>
      </c>
      <c r="J3108" s="4" t="s">
        <v>2987</v>
      </c>
      <c r="K3108" s="8"/>
      <c r="L3108" s="8" t="s">
        <v>33</v>
      </c>
      <c r="M3108" s="9">
        <f t="shared" si="1"/>
        <v>69</v>
      </c>
    </row>
    <row r="3109" ht="12.75" customHeight="1">
      <c r="A3109" s="4">
        <f t="shared" si="2"/>
        <v>3108</v>
      </c>
      <c r="B3109" s="4" t="s">
        <v>6668</v>
      </c>
      <c r="C3109" s="5" t="s">
        <v>6669</v>
      </c>
      <c r="D3109" s="4"/>
      <c r="E3109" s="4"/>
      <c r="F3109" s="4" t="s">
        <v>22</v>
      </c>
      <c r="G3109" s="6">
        <v>2.49</v>
      </c>
      <c r="H3109" s="7" t="s">
        <v>1606</v>
      </c>
      <c r="I3109" s="4" t="s">
        <v>1623</v>
      </c>
      <c r="J3109" s="4" t="s">
        <v>2987</v>
      </c>
      <c r="K3109" s="8"/>
      <c r="L3109" s="8" t="s">
        <v>33</v>
      </c>
      <c r="M3109" s="9">
        <f t="shared" si="1"/>
        <v>71</v>
      </c>
    </row>
    <row r="3110" ht="12.75" customHeight="1">
      <c r="A3110" s="4">
        <f t="shared" si="2"/>
        <v>3109</v>
      </c>
      <c r="B3110" s="4" t="s">
        <v>6670</v>
      </c>
      <c r="C3110" s="5" t="s">
        <v>6671</v>
      </c>
      <c r="D3110" s="4"/>
      <c r="E3110" s="4"/>
      <c r="F3110" s="4" t="s">
        <v>22</v>
      </c>
      <c r="G3110" s="6">
        <v>15.0</v>
      </c>
      <c r="H3110" s="7" t="s">
        <v>1606</v>
      </c>
      <c r="I3110" s="4" t="s">
        <v>1623</v>
      </c>
      <c r="J3110" s="4" t="s">
        <v>2987</v>
      </c>
      <c r="K3110" s="8"/>
      <c r="L3110" s="8" t="s">
        <v>33</v>
      </c>
      <c r="M3110" s="9">
        <f t="shared" si="1"/>
        <v>72</v>
      </c>
    </row>
    <row r="3111" ht="12.75" customHeight="1">
      <c r="A3111" s="4">
        <f t="shared" si="2"/>
        <v>3110</v>
      </c>
      <c r="B3111" s="4" t="s">
        <v>6672</v>
      </c>
      <c r="C3111" s="5" t="s">
        <v>6673</v>
      </c>
      <c r="D3111" s="4"/>
      <c r="E3111" s="4"/>
      <c r="F3111" s="4" t="s">
        <v>22</v>
      </c>
      <c r="G3111" s="6">
        <v>10.27</v>
      </c>
      <c r="H3111" s="7" t="s">
        <v>1606</v>
      </c>
      <c r="I3111" s="4" t="s">
        <v>1623</v>
      </c>
      <c r="J3111" s="4" t="s">
        <v>2987</v>
      </c>
      <c r="K3111" s="8"/>
      <c r="L3111" s="8" t="s">
        <v>33</v>
      </c>
      <c r="M3111" s="9">
        <f t="shared" si="1"/>
        <v>69</v>
      </c>
    </row>
    <row r="3112" ht="12.75" customHeight="1">
      <c r="A3112" s="4">
        <f t="shared" si="2"/>
        <v>3111</v>
      </c>
      <c r="B3112" s="4" t="s">
        <v>6674</v>
      </c>
      <c r="C3112" s="5" t="s">
        <v>6675</v>
      </c>
      <c r="D3112" s="4"/>
      <c r="E3112" s="4"/>
      <c r="F3112" s="4" t="s">
        <v>22</v>
      </c>
      <c r="G3112" s="6">
        <v>4.05</v>
      </c>
      <c r="H3112" s="7" t="s">
        <v>1606</v>
      </c>
      <c r="I3112" s="4" t="s">
        <v>1623</v>
      </c>
      <c r="J3112" s="4" t="s">
        <v>2987</v>
      </c>
      <c r="K3112" s="8"/>
      <c r="L3112" s="8" t="s">
        <v>33</v>
      </c>
      <c r="M3112" s="9">
        <f t="shared" si="1"/>
        <v>70</v>
      </c>
    </row>
    <row r="3113" ht="12.75" customHeight="1">
      <c r="A3113" s="4">
        <f t="shared" si="2"/>
        <v>3112</v>
      </c>
      <c r="B3113" s="4" t="s">
        <v>6676</v>
      </c>
      <c r="C3113" s="5" t="s">
        <v>6677</v>
      </c>
      <c r="D3113" s="4"/>
      <c r="E3113" s="4"/>
      <c r="F3113" s="4" t="s">
        <v>22</v>
      </c>
      <c r="G3113" s="6">
        <v>4.32</v>
      </c>
      <c r="H3113" s="7" t="s">
        <v>1606</v>
      </c>
      <c r="I3113" s="4" t="s">
        <v>1623</v>
      </c>
      <c r="J3113" s="4" t="s">
        <v>2230</v>
      </c>
      <c r="K3113" s="8"/>
      <c r="L3113" s="8" t="s">
        <v>33</v>
      </c>
      <c r="M3113" s="9">
        <f t="shared" si="1"/>
        <v>60</v>
      </c>
    </row>
    <row r="3114" ht="12.75" customHeight="1">
      <c r="A3114" s="4">
        <f t="shared" si="2"/>
        <v>3113</v>
      </c>
      <c r="B3114" s="4" t="s">
        <v>6678</v>
      </c>
      <c r="C3114" s="5" t="s">
        <v>6679</v>
      </c>
      <c r="D3114" s="4"/>
      <c r="E3114" s="4"/>
      <c r="F3114" s="4" t="s">
        <v>22</v>
      </c>
      <c r="G3114" s="6">
        <v>4.05</v>
      </c>
      <c r="H3114" s="7" t="s">
        <v>1606</v>
      </c>
      <c r="I3114" s="4" t="s">
        <v>1623</v>
      </c>
      <c r="J3114" s="4" t="s">
        <v>2230</v>
      </c>
      <c r="K3114" s="8"/>
      <c r="L3114" s="8" t="s">
        <v>33</v>
      </c>
      <c r="M3114" s="9">
        <f t="shared" si="1"/>
        <v>60</v>
      </c>
    </row>
    <row r="3115" ht="12.75" customHeight="1">
      <c r="A3115" s="4">
        <f t="shared" si="2"/>
        <v>3114</v>
      </c>
      <c r="B3115" s="4" t="s">
        <v>6680</v>
      </c>
      <c r="C3115" s="5" t="s">
        <v>6681</v>
      </c>
      <c r="D3115" s="4"/>
      <c r="E3115" s="4"/>
      <c r="F3115" s="4" t="s">
        <v>22</v>
      </c>
      <c r="G3115" s="6">
        <v>2.7</v>
      </c>
      <c r="H3115" s="7" t="s">
        <v>1606</v>
      </c>
      <c r="I3115" s="4" t="s">
        <v>1623</v>
      </c>
      <c r="J3115" s="4" t="s">
        <v>2230</v>
      </c>
      <c r="K3115" s="8"/>
      <c r="L3115" s="8" t="s">
        <v>33</v>
      </c>
      <c r="M3115" s="9">
        <f t="shared" si="1"/>
        <v>56</v>
      </c>
    </row>
    <row r="3116" ht="12.75" customHeight="1">
      <c r="A3116" s="4">
        <f t="shared" si="2"/>
        <v>3115</v>
      </c>
      <c r="B3116" s="4" t="s">
        <v>6682</v>
      </c>
      <c r="C3116" s="5" t="s">
        <v>6683</v>
      </c>
      <c r="D3116" s="4"/>
      <c r="E3116" s="4"/>
      <c r="F3116" s="4" t="s">
        <v>22</v>
      </c>
      <c r="G3116" s="6">
        <v>2.3</v>
      </c>
      <c r="H3116" s="7" t="s">
        <v>1606</v>
      </c>
      <c r="I3116" s="4" t="s">
        <v>1623</v>
      </c>
      <c r="J3116" s="4" t="s">
        <v>2987</v>
      </c>
      <c r="K3116" s="8"/>
      <c r="L3116" s="8" t="s">
        <v>33</v>
      </c>
      <c r="M3116" s="9">
        <f t="shared" si="1"/>
        <v>58</v>
      </c>
    </row>
    <row r="3117" ht="12.75" customHeight="1">
      <c r="A3117" s="4">
        <f t="shared" si="2"/>
        <v>3116</v>
      </c>
      <c r="B3117" s="4" t="s">
        <v>6684</v>
      </c>
      <c r="C3117" s="5" t="s">
        <v>6685</v>
      </c>
      <c r="D3117" s="4"/>
      <c r="E3117" s="4"/>
      <c r="F3117" s="4" t="s">
        <v>22</v>
      </c>
      <c r="G3117" s="21">
        <v>9.14</v>
      </c>
      <c r="H3117" s="7" t="s">
        <v>1606</v>
      </c>
      <c r="I3117" s="4" t="s">
        <v>1623</v>
      </c>
      <c r="J3117" s="4" t="s">
        <v>2230</v>
      </c>
      <c r="K3117" s="8"/>
      <c r="L3117" s="8" t="s">
        <v>33</v>
      </c>
      <c r="M3117" s="9">
        <f t="shared" si="1"/>
        <v>60</v>
      </c>
    </row>
    <row r="3118" ht="12.75" customHeight="1">
      <c r="A3118" s="4">
        <f t="shared" si="2"/>
        <v>3117</v>
      </c>
      <c r="B3118" s="4" t="s">
        <v>6686</v>
      </c>
      <c r="C3118" s="5" t="s">
        <v>6687</v>
      </c>
      <c r="D3118" s="4"/>
      <c r="E3118" s="4"/>
      <c r="F3118" s="4" t="s">
        <v>22</v>
      </c>
      <c r="G3118" s="6">
        <v>7.84</v>
      </c>
      <c r="H3118" s="7" t="s">
        <v>1606</v>
      </c>
      <c r="I3118" s="4" t="s">
        <v>1623</v>
      </c>
      <c r="J3118" s="4" t="s">
        <v>2230</v>
      </c>
      <c r="K3118" s="8"/>
      <c r="L3118" s="8" t="s">
        <v>33</v>
      </c>
      <c r="M3118" s="9">
        <f t="shared" si="1"/>
        <v>56</v>
      </c>
    </row>
    <row r="3119" ht="12.75" customHeight="1">
      <c r="A3119" s="4">
        <f t="shared" si="2"/>
        <v>3118</v>
      </c>
      <c r="B3119" s="4" t="s">
        <v>6688</v>
      </c>
      <c r="C3119" s="5" t="s">
        <v>6689</v>
      </c>
      <c r="D3119" s="4"/>
      <c r="E3119" s="4"/>
      <c r="F3119" s="4" t="s">
        <v>22</v>
      </c>
      <c r="G3119" s="21">
        <v>4.42</v>
      </c>
      <c r="H3119" s="7" t="s">
        <v>1606</v>
      </c>
      <c r="I3119" s="4" t="s">
        <v>1623</v>
      </c>
      <c r="J3119" s="4" t="s">
        <v>2230</v>
      </c>
      <c r="K3119" s="8"/>
      <c r="L3119" s="8" t="s">
        <v>33</v>
      </c>
      <c r="M3119" s="9">
        <f t="shared" si="1"/>
        <v>58</v>
      </c>
    </row>
    <row r="3120" ht="12.75" customHeight="1">
      <c r="A3120" s="4">
        <f t="shared" si="2"/>
        <v>3119</v>
      </c>
      <c r="B3120" s="4" t="s">
        <v>6690</v>
      </c>
      <c r="C3120" s="5" t="s">
        <v>6691</v>
      </c>
      <c r="D3120" s="4"/>
      <c r="E3120" s="4"/>
      <c r="F3120" s="4" t="s">
        <v>22</v>
      </c>
      <c r="G3120" s="6">
        <v>109.42</v>
      </c>
      <c r="H3120" s="7" t="s">
        <v>1606</v>
      </c>
      <c r="I3120" s="4" t="s">
        <v>1574</v>
      </c>
      <c r="J3120" s="4" t="s">
        <v>1624</v>
      </c>
      <c r="K3120" s="8"/>
      <c r="L3120" s="8" t="s">
        <v>1659</v>
      </c>
      <c r="M3120" s="9">
        <f t="shared" si="1"/>
        <v>68</v>
      </c>
    </row>
    <row r="3121" ht="12.75" customHeight="1">
      <c r="A3121" s="4">
        <f t="shared" si="2"/>
        <v>3120</v>
      </c>
      <c r="B3121" s="4" t="s">
        <v>6692</v>
      </c>
      <c r="C3121" s="5" t="s">
        <v>6693</v>
      </c>
      <c r="D3121" s="4"/>
      <c r="E3121" s="4"/>
      <c r="F3121" s="4" t="s">
        <v>22</v>
      </c>
      <c r="G3121" s="6">
        <v>61.32</v>
      </c>
      <c r="H3121" s="7" t="s">
        <v>1606</v>
      </c>
      <c r="I3121" s="4" t="s">
        <v>1574</v>
      </c>
      <c r="J3121" s="4" t="s">
        <v>1624</v>
      </c>
      <c r="K3121" s="8"/>
      <c r="L3121" s="8" t="s">
        <v>1659</v>
      </c>
      <c r="M3121" s="9">
        <f t="shared" si="1"/>
        <v>64</v>
      </c>
    </row>
    <row r="3122" ht="12.75" customHeight="1">
      <c r="A3122" s="4">
        <f t="shared" si="2"/>
        <v>3121</v>
      </c>
      <c r="B3122" s="4" t="s">
        <v>6694</v>
      </c>
      <c r="C3122" s="5" t="s">
        <v>6695</v>
      </c>
      <c r="D3122" s="4"/>
      <c r="E3122" s="4"/>
      <c r="F3122" s="4" t="s">
        <v>22</v>
      </c>
      <c r="G3122" s="6">
        <v>43.5</v>
      </c>
      <c r="H3122" s="7" t="s">
        <v>1606</v>
      </c>
      <c r="I3122" s="4" t="s">
        <v>1574</v>
      </c>
      <c r="J3122" s="4" t="s">
        <v>1624</v>
      </c>
      <c r="K3122" s="8"/>
      <c r="L3122" s="8" t="s">
        <v>1659</v>
      </c>
      <c r="M3122" s="9">
        <f t="shared" si="1"/>
        <v>66</v>
      </c>
    </row>
    <row r="3123" ht="12.75" customHeight="1">
      <c r="A3123" s="4">
        <f t="shared" si="2"/>
        <v>3122</v>
      </c>
      <c r="B3123" s="4" t="s">
        <v>6696</v>
      </c>
      <c r="C3123" s="5" t="s">
        <v>6697</v>
      </c>
      <c r="D3123" s="4"/>
      <c r="E3123" s="4"/>
      <c r="F3123" s="4" t="s">
        <v>22</v>
      </c>
      <c r="G3123" s="6">
        <v>120.22</v>
      </c>
      <c r="H3123" s="7" t="s">
        <v>1606</v>
      </c>
      <c r="I3123" s="4" t="s">
        <v>1574</v>
      </c>
      <c r="J3123" s="4" t="s">
        <v>1624</v>
      </c>
      <c r="K3123" s="8"/>
      <c r="L3123" s="8" t="s">
        <v>1659</v>
      </c>
      <c r="M3123" s="9">
        <f t="shared" si="1"/>
        <v>64</v>
      </c>
    </row>
    <row r="3124" ht="12.75" customHeight="1">
      <c r="A3124" s="4">
        <f t="shared" si="2"/>
        <v>3123</v>
      </c>
      <c r="B3124" s="4" t="s">
        <v>6698</v>
      </c>
      <c r="C3124" s="5" t="s">
        <v>6699</v>
      </c>
      <c r="D3124" s="4"/>
      <c r="E3124" s="4"/>
      <c r="F3124" s="4" t="s">
        <v>22</v>
      </c>
      <c r="G3124" s="6">
        <v>34.63</v>
      </c>
      <c r="H3124" s="7" t="s">
        <v>1606</v>
      </c>
      <c r="I3124" s="4" t="s">
        <v>1574</v>
      </c>
      <c r="J3124" s="4" t="s">
        <v>1624</v>
      </c>
      <c r="K3124" s="8"/>
      <c r="L3124" s="8" t="s">
        <v>1659</v>
      </c>
      <c r="M3124" s="9">
        <f t="shared" si="1"/>
        <v>66</v>
      </c>
    </row>
    <row r="3125" ht="12.75" customHeight="1">
      <c r="A3125" s="4">
        <f t="shared" si="2"/>
        <v>3124</v>
      </c>
      <c r="B3125" s="4" t="s">
        <v>6700</v>
      </c>
      <c r="C3125" s="5" t="s">
        <v>6701</v>
      </c>
      <c r="D3125" s="4"/>
      <c r="E3125" s="4"/>
      <c r="F3125" s="4" t="s">
        <v>22</v>
      </c>
      <c r="G3125" s="6">
        <v>6.81</v>
      </c>
      <c r="H3125" s="7" t="s">
        <v>1606</v>
      </c>
      <c r="I3125" s="4" t="s">
        <v>1574</v>
      </c>
      <c r="J3125" s="4" t="s">
        <v>1624</v>
      </c>
      <c r="K3125" s="8"/>
      <c r="L3125" s="8" t="s">
        <v>33</v>
      </c>
      <c r="M3125" s="9">
        <f t="shared" si="1"/>
        <v>59</v>
      </c>
    </row>
    <row r="3126" ht="12.75" customHeight="1">
      <c r="A3126" s="4">
        <f t="shared" si="2"/>
        <v>3125</v>
      </c>
      <c r="B3126" s="4" t="s">
        <v>6702</v>
      </c>
      <c r="C3126" s="5" t="s">
        <v>6703</v>
      </c>
      <c r="D3126" s="4"/>
      <c r="E3126" s="4"/>
      <c r="F3126" s="4" t="s">
        <v>22</v>
      </c>
      <c r="G3126" s="6">
        <v>6.81</v>
      </c>
      <c r="H3126" s="7" t="s">
        <v>1606</v>
      </c>
      <c r="I3126" s="4" t="s">
        <v>1574</v>
      </c>
      <c r="J3126" s="4" t="s">
        <v>1624</v>
      </c>
      <c r="K3126" s="8"/>
      <c r="L3126" s="8" t="s">
        <v>33</v>
      </c>
      <c r="M3126" s="9">
        <f t="shared" si="1"/>
        <v>56</v>
      </c>
    </row>
    <row r="3127" ht="12.75" customHeight="1">
      <c r="A3127" s="4">
        <f t="shared" si="2"/>
        <v>3126</v>
      </c>
      <c r="B3127" s="4" t="s">
        <v>6704</v>
      </c>
      <c r="C3127" s="5" t="s">
        <v>6705</v>
      </c>
      <c r="D3127" s="4"/>
      <c r="E3127" s="4"/>
      <c r="F3127" s="4" t="s">
        <v>22</v>
      </c>
      <c r="G3127" s="6">
        <v>3.89</v>
      </c>
      <c r="H3127" s="7" t="s">
        <v>1606</v>
      </c>
      <c r="I3127" s="4" t="s">
        <v>1574</v>
      </c>
      <c r="J3127" s="4" t="s">
        <v>1624</v>
      </c>
      <c r="K3127" s="8"/>
      <c r="L3127" s="8" t="s">
        <v>33</v>
      </c>
      <c r="M3127" s="9">
        <f t="shared" si="1"/>
        <v>55</v>
      </c>
    </row>
    <row r="3128" ht="12.75" customHeight="1">
      <c r="A3128" s="4">
        <f t="shared" si="2"/>
        <v>3127</v>
      </c>
      <c r="B3128" s="4" t="s">
        <v>6706</v>
      </c>
      <c r="C3128" s="5" t="s">
        <v>6707</v>
      </c>
      <c r="D3128" s="4"/>
      <c r="E3128" s="4"/>
      <c r="F3128" s="4" t="s">
        <v>22</v>
      </c>
      <c r="G3128" s="6">
        <v>3.89</v>
      </c>
      <c r="H3128" s="7" t="s">
        <v>1606</v>
      </c>
      <c r="I3128" s="4" t="s">
        <v>1574</v>
      </c>
      <c r="J3128" s="4" t="s">
        <v>1624</v>
      </c>
      <c r="K3128" s="8"/>
      <c r="L3128" s="8" t="s">
        <v>33</v>
      </c>
      <c r="M3128" s="9">
        <f t="shared" si="1"/>
        <v>52</v>
      </c>
    </row>
    <row r="3129" ht="12.75" customHeight="1">
      <c r="A3129" s="4">
        <f t="shared" si="2"/>
        <v>3128</v>
      </c>
      <c r="B3129" s="4" t="s">
        <v>6708</v>
      </c>
      <c r="C3129" s="5" t="s">
        <v>6709</v>
      </c>
      <c r="D3129" s="4"/>
      <c r="E3129" s="4"/>
      <c r="F3129" s="4" t="s">
        <v>22</v>
      </c>
      <c r="G3129" s="6">
        <v>2.05</v>
      </c>
      <c r="H3129" s="7" t="s">
        <v>1606</v>
      </c>
      <c r="I3129" s="4" t="s">
        <v>1574</v>
      </c>
      <c r="J3129" s="4" t="s">
        <v>1624</v>
      </c>
      <c r="K3129" s="8"/>
      <c r="L3129" s="8" t="s">
        <v>33</v>
      </c>
      <c r="M3129" s="9">
        <f t="shared" si="1"/>
        <v>57</v>
      </c>
    </row>
    <row r="3130" ht="12.75" customHeight="1">
      <c r="A3130" s="4">
        <f t="shared" si="2"/>
        <v>3129</v>
      </c>
      <c r="B3130" s="4" t="s">
        <v>6710</v>
      </c>
      <c r="C3130" s="5" t="s">
        <v>6711</v>
      </c>
      <c r="D3130" s="4"/>
      <c r="E3130" s="4"/>
      <c r="F3130" s="4" t="s">
        <v>22</v>
      </c>
      <c r="G3130" s="6">
        <v>2.05</v>
      </c>
      <c r="H3130" s="7" t="s">
        <v>1606</v>
      </c>
      <c r="I3130" s="4" t="s">
        <v>1574</v>
      </c>
      <c r="J3130" s="4" t="s">
        <v>1624</v>
      </c>
      <c r="K3130" s="8"/>
      <c r="L3130" s="8" t="s">
        <v>33</v>
      </c>
      <c r="M3130" s="9">
        <f t="shared" si="1"/>
        <v>54</v>
      </c>
    </row>
    <row r="3131" ht="12.75" customHeight="1">
      <c r="A3131" s="4">
        <f t="shared" si="2"/>
        <v>3130</v>
      </c>
      <c r="B3131" s="4" t="s">
        <v>6712</v>
      </c>
      <c r="C3131" s="5" t="s">
        <v>6713</v>
      </c>
      <c r="D3131" s="4"/>
      <c r="E3131" s="4"/>
      <c r="F3131" s="4" t="s">
        <v>22</v>
      </c>
      <c r="G3131" s="6">
        <v>19.05</v>
      </c>
      <c r="H3131" s="7" t="s">
        <v>1606</v>
      </c>
      <c r="I3131" s="4" t="s">
        <v>1574</v>
      </c>
      <c r="J3131" s="4" t="s">
        <v>1624</v>
      </c>
      <c r="K3131" s="8"/>
      <c r="L3131" s="8" t="s">
        <v>33</v>
      </c>
      <c r="M3131" s="9">
        <f t="shared" si="1"/>
        <v>59</v>
      </c>
    </row>
    <row r="3132" ht="12.75" customHeight="1">
      <c r="A3132" s="4">
        <f t="shared" si="2"/>
        <v>3131</v>
      </c>
      <c r="B3132" s="4" t="s">
        <v>6714</v>
      </c>
      <c r="C3132" s="5" t="s">
        <v>6715</v>
      </c>
      <c r="D3132" s="4"/>
      <c r="E3132" s="4"/>
      <c r="F3132" s="4" t="s">
        <v>22</v>
      </c>
      <c r="G3132" s="6">
        <v>10.89</v>
      </c>
      <c r="H3132" s="7" t="s">
        <v>1606</v>
      </c>
      <c r="I3132" s="4" t="s">
        <v>1574</v>
      </c>
      <c r="J3132" s="4" t="s">
        <v>1624</v>
      </c>
      <c r="K3132" s="8"/>
      <c r="L3132" s="8" t="s">
        <v>33</v>
      </c>
      <c r="M3132" s="9">
        <f t="shared" si="1"/>
        <v>55</v>
      </c>
    </row>
    <row r="3133" ht="12.75" customHeight="1">
      <c r="A3133" s="4">
        <f t="shared" si="2"/>
        <v>3132</v>
      </c>
      <c r="B3133" s="4" t="s">
        <v>6716</v>
      </c>
      <c r="C3133" s="5" t="s">
        <v>6717</v>
      </c>
      <c r="D3133" s="4"/>
      <c r="E3133" s="4"/>
      <c r="F3133" s="4" t="s">
        <v>22</v>
      </c>
      <c r="G3133" s="6">
        <v>10.89</v>
      </c>
      <c r="H3133" s="7" t="s">
        <v>1606</v>
      </c>
      <c r="I3133" s="4" t="s">
        <v>1574</v>
      </c>
      <c r="J3133" s="4" t="s">
        <v>1624</v>
      </c>
      <c r="K3133" s="8"/>
      <c r="L3133" s="8" t="s">
        <v>33</v>
      </c>
      <c r="M3133" s="9">
        <f t="shared" si="1"/>
        <v>52</v>
      </c>
    </row>
    <row r="3134" ht="12.75" customHeight="1">
      <c r="A3134" s="4">
        <f t="shared" si="2"/>
        <v>3133</v>
      </c>
      <c r="B3134" s="4" t="s">
        <v>6718</v>
      </c>
      <c r="C3134" s="5" t="s">
        <v>6719</v>
      </c>
      <c r="D3134" s="4"/>
      <c r="E3134" s="4"/>
      <c r="F3134" s="4" t="s">
        <v>22</v>
      </c>
      <c r="G3134" s="6">
        <v>2.27</v>
      </c>
      <c r="H3134" s="7" t="s">
        <v>1606</v>
      </c>
      <c r="I3134" s="4" t="s">
        <v>1574</v>
      </c>
      <c r="J3134" s="4" t="s">
        <v>1624</v>
      </c>
      <c r="K3134" s="8"/>
      <c r="L3134" s="8" t="s">
        <v>33</v>
      </c>
      <c r="M3134" s="9">
        <f t="shared" si="1"/>
        <v>57</v>
      </c>
    </row>
    <row r="3135" ht="12.75" customHeight="1">
      <c r="A3135" s="4">
        <f t="shared" si="2"/>
        <v>3134</v>
      </c>
      <c r="B3135" s="4" t="s">
        <v>6720</v>
      </c>
      <c r="C3135" s="5" t="s">
        <v>6721</v>
      </c>
      <c r="D3135" s="4"/>
      <c r="E3135" s="4"/>
      <c r="F3135" s="4" t="s">
        <v>22</v>
      </c>
      <c r="G3135" s="6">
        <v>2.27</v>
      </c>
      <c r="H3135" s="7" t="s">
        <v>1606</v>
      </c>
      <c r="I3135" s="4" t="s">
        <v>1574</v>
      </c>
      <c r="J3135" s="4" t="s">
        <v>1624</v>
      </c>
      <c r="K3135" s="8"/>
      <c r="L3135" s="8" t="s">
        <v>33</v>
      </c>
      <c r="M3135" s="9">
        <f t="shared" si="1"/>
        <v>54</v>
      </c>
    </row>
    <row r="3136" ht="12.75" customHeight="1">
      <c r="A3136" s="4">
        <f t="shared" si="2"/>
        <v>3135</v>
      </c>
      <c r="B3136" s="4" t="s">
        <v>6722</v>
      </c>
      <c r="C3136" s="5" t="s">
        <v>6723</v>
      </c>
      <c r="D3136" s="4"/>
      <c r="E3136" s="4"/>
      <c r="F3136" s="4" t="s">
        <v>22</v>
      </c>
      <c r="G3136" s="6">
        <v>5.92</v>
      </c>
      <c r="H3136" s="7" t="s">
        <v>1606</v>
      </c>
      <c r="I3136" s="4" t="s">
        <v>1623</v>
      </c>
      <c r="J3136" s="4" t="s">
        <v>3029</v>
      </c>
      <c r="K3136" s="8"/>
      <c r="L3136" s="8" t="s">
        <v>2623</v>
      </c>
      <c r="M3136" s="9">
        <f t="shared" si="1"/>
        <v>35</v>
      </c>
    </row>
    <row r="3137" ht="12.75" customHeight="1">
      <c r="A3137" s="4">
        <f t="shared" si="2"/>
        <v>3136</v>
      </c>
      <c r="B3137" s="4" t="s">
        <v>6724</v>
      </c>
      <c r="C3137" s="5" t="s">
        <v>6725</v>
      </c>
      <c r="D3137" s="4"/>
      <c r="E3137" s="4"/>
      <c r="F3137" s="4" t="s">
        <v>22</v>
      </c>
      <c r="G3137" s="6">
        <v>1.76</v>
      </c>
      <c r="H3137" s="7" t="s">
        <v>1606</v>
      </c>
      <c r="I3137" s="4" t="s">
        <v>1623</v>
      </c>
      <c r="J3137" s="4" t="s">
        <v>3029</v>
      </c>
      <c r="K3137" s="8"/>
      <c r="L3137" s="8" t="s">
        <v>2623</v>
      </c>
      <c r="M3137" s="9">
        <f t="shared" si="1"/>
        <v>33</v>
      </c>
    </row>
    <row r="3138" ht="12.75" customHeight="1">
      <c r="A3138" s="4">
        <f t="shared" si="2"/>
        <v>3137</v>
      </c>
      <c r="B3138" s="4" t="s">
        <v>6726</v>
      </c>
      <c r="C3138" s="5" t="s">
        <v>6727</v>
      </c>
      <c r="D3138" s="4"/>
      <c r="E3138" s="4"/>
      <c r="F3138" s="4" t="s">
        <v>22</v>
      </c>
      <c r="G3138" s="6">
        <v>8.35</v>
      </c>
      <c r="H3138" s="7" t="s">
        <v>1606</v>
      </c>
      <c r="I3138" s="4" t="s">
        <v>1623</v>
      </c>
      <c r="J3138" s="4" t="s">
        <v>3029</v>
      </c>
      <c r="K3138" s="8"/>
      <c r="L3138" s="8" t="s">
        <v>2623</v>
      </c>
      <c r="M3138" s="9">
        <f t="shared" si="1"/>
        <v>31</v>
      </c>
    </row>
    <row r="3139" ht="12.75" customHeight="1">
      <c r="A3139" s="4">
        <f t="shared" si="2"/>
        <v>3138</v>
      </c>
      <c r="B3139" s="4" t="s">
        <v>6728</v>
      </c>
      <c r="C3139" s="5" t="s">
        <v>6729</v>
      </c>
      <c r="D3139" s="4"/>
      <c r="E3139" s="4"/>
      <c r="F3139" s="4" t="s">
        <v>22</v>
      </c>
      <c r="G3139" s="6">
        <v>10.81</v>
      </c>
      <c r="H3139" s="7" t="s">
        <v>1606</v>
      </c>
      <c r="I3139" s="4" t="s">
        <v>1623</v>
      </c>
      <c r="J3139" s="4" t="s">
        <v>3029</v>
      </c>
      <c r="K3139" s="8"/>
      <c r="L3139" s="8" t="s">
        <v>2623</v>
      </c>
      <c r="M3139" s="9">
        <f t="shared" si="1"/>
        <v>31</v>
      </c>
    </row>
    <row r="3140" ht="12.75" customHeight="1">
      <c r="A3140" s="4">
        <f t="shared" si="2"/>
        <v>3139</v>
      </c>
      <c r="B3140" s="4" t="s">
        <v>6730</v>
      </c>
      <c r="C3140" s="5" t="s">
        <v>6731</v>
      </c>
      <c r="D3140" s="4"/>
      <c r="E3140" s="4"/>
      <c r="F3140" s="4" t="s">
        <v>22</v>
      </c>
      <c r="G3140" s="6">
        <v>2.41</v>
      </c>
      <c r="H3140" s="7" t="s">
        <v>1606</v>
      </c>
      <c r="I3140" s="4" t="s">
        <v>1623</v>
      </c>
      <c r="J3140" s="4" t="s">
        <v>3029</v>
      </c>
      <c r="K3140" s="8"/>
      <c r="L3140" s="8" t="s">
        <v>2623</v>
      </c>
      <c r="M3140" s="9">
        <f t="shared" si="1"/>
        <v>33</v>
      </c>
    </row>
    <row r="3141" ht="12.75" customHeight="1">
      <c r="A3141" s="4">
        <f t="shared" si="2"/>
        <v>3140</v>
      </c>
      <c r="B3141" s="4" t="s">
        <v>6732</v>
      </c>
      <c r="C3141" s="5" t="s">
        <v>6733</v>
      </c>
      <c r="D3141" s="4"/>
      <c r="E3141" s="4"/>
      <c r="F3141" s="4" t="s">
        <v>22</v>
      </c>
      <c r="G3141" s="6">
        <v>17.57</v>
      </c>
      <c r="H3141" s="7" t="s">
        <v>1606</v>
      </c>
      <c r="I3141" s="4" t="s">
        <v>1623</v>
      </c>
      <c r="J3141" s="4" t="s">
        <v>3029</v>
      </c>
      <c r="K3141" s="8"/>
      <c r="L3141" s="8" t="s">
        <v>2623</v>
      </c>
      <c r="M3141" s="9">
        <f t="shared" si="1"/>
        <v>31</v>
      </c>
    </row>
    <row r="3142" ht="12.75" customHeight="1">
      <c r="A3142" s="4">
        <f t="shared" si="2"/>
        <v>3141</v>
      </c>
      <c r="B3142" s="4" t="s">
        <v>6734</v>
      </c>
      <c r="C3142" s="5" t="s">
        <v>6735</v>
      </c>
      <c r="D3142" s="4"/>
      <c r="E3142" s="4"/>
      <c r="F3142" s="4" t="s">
        <v>22</v>
      </c>
      <c r="G3142" s="6">
        <v>6.76</v>
      </c>
      <c r="H3142" s="7" t="s">
        <v>1606</v>
      </c>
      <c r="I3142" s="4" t="s">
        <v>1773</v>
      </c>
      <c r="J3142" s="4" t="s">
        <v>2427</v>
      </c>
      <c r="K3142" s="8"/>
      <c r="L3142" s="8" t="s">
        <v>6736</v>
      </c>
      <c r="M3142" s="9">
        <f t="shared" si="1"/>
        <v>12</v>
      </c>
    </row>
    <row r="3143" ht="12.75" customHeight="1">
      <c r="A3143" s="4">
        <f t="shared" si="2"/>
        <v>3142</v>
      </c>
      <c r="B3143" s="4" t="s">
        <v>6737</v>
      </c>
      <c r="C3143" s="5" t="s">
        <v>6738</v>
      </c>
      <c r="D3143" s="4"/>
      <c r="E3143" s="4"/>
      <c r="F3143" s="4" t="s">
        <v>22</v>
      </c>
      <c r="G3143" s="6">
        <v>4.05</v>
      </c>
      <c r="H3143" s="7" t="s">
        <v>1606</v>
      </c>
      <c r="I3143" s="4" t="s">
        <v>1773</v>
      </c>
      <c r="J3143" s="4" t="s">
        <v>2427</v>
      </c>
      <c r="K3143" s="8"/>
      <c r="L3143" s="8" t="s">
        <v>6736</v>
      </c>
      <c r="M3143" s="9">
        <f t="shared" si="1"/>
        <v>11</v>
      </c>
    </row>
    <row r="3144" ht="12.75" customHeight="1">
      <c r="A3144" s="4">
        <f t="shared" si="2"/>
        <v>3143</v>
      </c>
      <c r="B3144" s="4" t="s">
        <v>6739</v>
      </c>
      <c r="C3144" s="5" t="s">
        <v>6740</v>
      </c>
      <c r="D3144" s="4"/>
      <c r="E3144" s="4"/>
      <c r="F3144" s="4" t="s">
        <v>22</v>
      </c>
      <c r="G3144" s="6">
        <v>16.19</v>
      </c>
      <c r="H3144" s="7" t="s">
        <v>1606</v>
      </c>
      <c r="I3144" s="4" t="s">
        <v>1773</v>
      </c>
      <c r="J3144" s="4" t="s">
        <v>2427</v>
      </c>
      <c r="K3144" s="8"/>
      <c r="L3144" s="8" t="s">
        <v>6736</v>
      </c>
      <c r="M3144" s="9">
        <f t="shared" si="1"/>
        <v>12</v>
      </c>
    </row>
    <row r="3145" ht="12.75" customHeight="1">
      <c r="A3145" s="4">
        <f t="shared" si="2"/>
        <v>3144</v>
      </c>
      <c r="B3145" s="4" t="s">
        <v>6741</v>
      </c>
      <c r="C3145" s="5" t="s">
        <v>6742</v>
      </c>
      <c r="D3145" s="4"/>
      <c r="E3145" s="4"/>
      <c r="F3145" s="4" t="s">
        <v>22</v>
      </c>
      <c r="G3145" s="6">
        <v>4.03</v>
      </c>
      <c r="H3145" s="7" t="s">
        <v>1606</v>
      </c>
      <c r="I3145" s="4" t="s">
        <v>1773</v>
      </c>
      <c r="J3145" s="4" t="s">
        <v>2427</v>
      </c>
      <c r="K3145" s="8"/>
      <c r="L3145" s="8" t="s">
        <v>6736</v>
      </c>
      <c r="M3145" s="9">
        <f t="shared" si="1"/>
        <v>11</v>
      </c>
    </row>
    <row r="3146" ht="12.75" customHeight="1">
      <c r="A3146" s="4">
        <f t="shared" si="2"/>
        <v>3145</v>
      </c>
      <c r="B3146" s="4" t="s">
        <v>6743</v>
      </c>
      <c r="C3146" s="5" t="s">
        <v>6744</v>
      </c>
      <c r="D3146" s="4"/>
      <c r="E3146" s="4"/>
      <c r="F3146" s="4" t="s">
        <v>22</v>
      </c>
      <c r="G3146" s="6">
        <v>17.54</v>
      </c>
      <c r="H3146" s="7" t="s">
        <v>1606</v>
      </c>
      <c r="I3146" s="4" t="s">
        <v>1773</v>
      </c>
      <c r="J3146" s="4" t="s">
        <v>2427</v>
      </c>
      <c r="K3146" s="8"/>
      <c r="L3146" s="8" t="s">
        <v>6736</v>
      </c>
      <c r="M3146" s="9">
        <f t="shared" si="1"/>
        <v>12</v>
      </c>
    </row>
    <row r="3147" ht="12.75" customHeight="1">
      <c r="A3147" s="4">
        <f t="shared" si="2"/>
        <v>3146</v>
      </c>
      <c r="B3147" s="4" t="s">
        <v>6745</v>
      </c>
      <c r="C3147" s="5" t="s">
        <v>6746</v>
      </c>
      <c r="D3147" s="4"/>
      <c r="E3147" s="4"/>
      <c r="F3147" s="4" t="s">
        <v>22</v>
      </c>
      <c r="G3147" s="6">
        <v>4.86</v>
      </c>
      <c r="H3147" s="7" t="s">
        <v>1606</v>
      </c>
      <c r="I3147" s="4" t="s">
        <v>1773</v>
      </c>
      <c r="J3147" s="4" t="s">
        <v>2427</v>
      </c>
      <c r="K3147" s="8"/>
      <c r="L3147" s="8" t="s">
        <v>6736</v>
      </c>
      <c r="M3147" s="9">
        <f t="shared" si="1"/>
        <v>11</v>
      </c>
    </row>
    <row r="3148" ht="12.75" customHeight="1">
      <c r="A3148" s="4">
        <f t="shared" si="2"/>
        <v>3147</v>
      </c>
      <c r="B3148" s="4" t="s">
        <v>6747</v>
      </c>
      <c r="C3148" s="5" t="s">
        <v>6748</v>
      </c>
      <c r="D3148" s="4"/>
      <c r="E3148" s="4"/>
      <c r="F3148" s="4" t="s">
        <v>22</v>
      </c>
      <c r="G3148" s="6">
        <v>66.22</v>
      </c>
      <c r="H3148" s="7" t="s">
        <v>1606</v>
      </c>
      <c r="I3148" s="4" t="s">
        <v>1794</v>
      </c>
      <c r="J3148" s="4" t="s">
        <v>165</v>
      </c>
      <c r="K3148" s="8"/>
      <c r="L3148" s="8" t="s">
        <v>33</v>
      </c>
      <c r="M3148" s="9">
        <f t="shared" si="1"/>
        <v>46</v>
      </c>
    </row>
    <row r="3149" ht="12.75" customHeight="1">
      <c r="A3149" s="4">
        <f t="shared" si="2"/>
        <v>3148</v>
      </c>
      <c r="B3149" s="4" t="s">
        <v>6749</v>
      </c>
      <c r="C3149" s="5" t="s">
        <v>6750</v>
      </c>
      <c r="D3149" s="4"/>
      <c r="E3149" s="4"/>
      <c r="F3149" s="4" t="s">
        <v>22</v>
      </c>
      <c r="G3149" s="6">
        <v>66.22</v>
      </c>
      <c r="H3149" s="7" t="s">
        <v>1606</v>
      </c>
      <c r="I3149" s="4" t="s">
        <v>1794</v>
      </c>
      <c r="J3149" s="4" t="s">
        <v>165</v>
      </c>
      <c r="K3149" s="8"/>
      <c r="L3149" s="8" t="s">
        <v>33</v>
      </c>
      <c r="M3149" s="9">
        <f t="shared" si="1"/>
        <v>44</v>
      </c>
    </row>
    <row r="3150" ht="12.75" customHeight="1">
      <c r="A3150" s="4">
        <f t="shared" si="2"/>
        <v>3149</v>
      </c>
      <c r="B3150" s="4" t="s">
        <v>6751</v>
      </c>
      <c r="C3150" s="5" t="s">
        <v>6752</v>
      </c>
      <c r="D3150" s="4"/>
      <c r="E3150" s="4"/>
      <c r="F3150" s="4" t="s">
        <v>22</v>
      </c>
      <c r="G3150" s="6">
        <v>40.27</v>
      </c>
      <c r="H3150" s="7" t="s">
        <v>1606</v>
      </c>
      <c r="I3150" s="4" t="s">
        <v>6753</v>
      </c>
      <c r="J3150" s="4" t="s">
        <v>6754</v>
      </c>
      <c r="K3150" s="8"/>
      <c r="L3150" s="8" t="s">
        <v>33</v>
      </c>
      <c r="M3150" s="9">
        <f t="shared" si="1"/>
        <v>30</v>
      </c>
    </row>
    <row r="3151" ht="12.75" customHeight="1">
      <c r="A3151" s="4">
        <f t="shared" si="2"/>
        <v>3150</v>
      </c>
      <c r="B3151" s="4" t="s">
        <v>6755</v>
      </c>
      <c r="C3151" s="5" t="s">
        <v>6756</v>
      </c>
      <c r="D3151" s="4"/>
      <c r="E3151" s="4"/>
      <c r="F3151" s="4" t="s">
        <v>22</v>
      </c>
      <c r="G3151" s="6">
        <v>29.7</v>
      </c>
      <c r="H3151" s="7" t="s">
        <v>1606</v>
      </c>
      <c r="I3151" s="4" t="s">
        <v>6753</v>
      </c>
      <c r="J3151" s="4" t="s">
        <v>6754</v>
      </c>
      <c r="K3151" s="8"/>
      <c r="L3151" s="8" t="s">
        <v>33</v>
      </c>
      <c r="M3151" s="9">
        <f t="shared" si="1"/>
        <v>26</v>
      </c>
    </row>
    <row r="3152" ht="12.75" customHeight="1">
      <c r="A3152" s="4">
        <f t="shared" si="2"/>
        <v>3151</v>
      </c>
      <c r="B3152" s="4" t="s">
        <v>6757</v>
      </c>
      <c r="C3152" s="5" t="s">
        <v>6758</v>
      </c>
      <c r="D3152" s="4"/>
      <c r="E3152" s="4"/>
      <c r="F3152" s="4" t="s">
        <v>22</v>
      </c>
      <c r="G3152" s="6">
        <v>18.89</v>
      </c>
      <c r="H3152" s="7" t="s">
        <v>1606</v>
      </c>
      <c r="I3152" s="4" t="s">
        <v>6753</v>
      </c>
      <c r="J3152" s="4" t="s">
        <v>6754</v>
      </c>
      <c r="K3152" s="8"/>
      <c r="L3152" s="8" t="s">
        <v>33</v>
      </c>
      <c r="M3152" s="9">
        <f t="shared" si="1"/>
        <v>28</v>
      </c>
    </row>
    <row r="3153" ht="12.75" customHeight="1">
      <c r="A3153" s="4">
        <f t="shared" si="2"/>
        <v>3152</v>
      </c>
      <c r="B3153" s="4" t="s">
        <v>6759</v>
      </c>
      <c r="C3153" s="5" t="s">
        <v>6760</v>
      </c>
      <c r="D3153" s="4"/>
      <c r="E3153" s="4"/>
      <c r="F3153" s="4" t="s">
        <v>22</v>
      </c>
      <c r="G3153" s="6">
        <v>99.97</v>
      </c>
      <c r="H3153" s="7" t="s">
        <v>1606</v>
      </c>
      <c r="I3153" s="4" t="s">
        <v>1623</v>
      </c>
      <c r="J3153" s="4" t="s">
        <v>6761</v>
      </c>
      <c r="K3153" s="8"/>
      <c r="L3153" s="8" t="s">
        <v>33</v>
      </c>
      <c r="M3153" s="9">
        <f t="shared" si="1"/>
        <v>26</v>
      </c>
    </row>
    <row r="3154" ht="12.75" customHeight="1">
      <c r="A3154" s="4">
        <f t="shared" si="2"/>
        <v>3153</v>
      </c>
      <c r="B3154" s="4" t="s">
        <v>6762</v>
      </c>
      <c r="C3154" s="5" t="s">
        <v>6763</v>
      </c>
      <c r="D3154" s="4"/>
      <c r="E3154" s="4"/>
      <c r="F3154" s="4" t="s">
        <v>22</v>
      </c>
      <c r="G3154" s="6">
        <v>27.0</v>
      </c>
      <c r="H3154" s="7" t="s">
        <v>1606</v>
      </c>
      <c r="I3154" s="4" t="s">
        <v>6753</v>
      </c>
      <c r="J3154" s="4" t="s">
        <v>6754</v>
      </c>
      <c r="K3154" s="8"/>
      <c r="L3154" s="8" t="s">
        <v>33</v>
      </c>
      <c r="M3154" s="9">
        <f t="shared" si="1"/>
        <v>28</v>
      </c>
    </row>
    <row r="3155" ht="12.75" customHeight="1">
      <c r="A3155" s="4">
        <f t="shared" si="2"/>
        <v>3154</v>
      </c>
      <c r="B3155" s="4" t="s">
        <v>6764</v>
      </c>
      <c r="C3155" s="5" t="s">
        <v>6765</v>
      </c>
      <c r="D3155" s="4"/>
      <c r="E3155" s="4"/>
      <c r="F3155" s="4" t="s">
        <v>22</v>
      </c>
      <c r="G3155" s="6">
        <v>59.9</v>
      </c>
      <c r="H3155" s="7" t="s">
        <v>1606</v>
      </c>
      <c r="I3155" s="4" t="s">
        <v>6753</v>
      </c>
      <c r="J3155" s="4" t="s">
        <v>6754</v>
      </c>
      <c r="K3155" s="8"/>
      <c r="L3155" s="8" t="s">
        <v>33</v>
      </c>
      <c r="M3155" s="9">
        <f t="shared" si="1"/>
        <v>32</v>
      </c>
    </row>
    <row r="3156" ht="12.75" customHeight="1">
      <c r="A3156" s="4">
        <f t="shared" si="2"/>
        <v>3155</v>
      </c>
      <c r="B3156" s="4" t="s">
        <v>6766</v>
      </c>
      <c r="C3156" s="5" t="s">
        <v>6767</v>
      </c>
      <c r="D3156" s="4"/>
      <c r="E3156" s="4"/>
      <c r="F3156" s="4" t="s">
        <v>22</v>
      </c>
      <c r="G3156" s="6">
        <v>61.89</v>
      </c>
      <c r="H3156" s="7" t="s">
        <v>1606</v>
      </c>
      <c r="I3156" s="4" t="s">
        <v>6753</v>
      </c>
      <c r="J3156" s="4" t="s">
        <v>6754</v>
      </c>
      <c r="K3156" s="8"/>
      <c r="L3156" s="8" t="s">
        <v>33</v>
      </c>
      <c r="M3156" s="9">
        <f t="shared" si="1"/>
        <v>30</v>
      </c>
    </row>
    <row r="3157" ht="12.75" customHeight="1">
      <c r="A3157" s="4">
        <f t="shared" si="2"/>
        <v>3156</v>
      </c>
      <c r="B3157" s="4" t="s">
        <v>6768</v>
      </c>
      <c r="C3157" s="5" t="s">
        <v>6769</v>
      </c>
      <c r="D3157" s="4"/>
      <c r="E3157" s="4"/>
      <c r="F3157" s="4" t="s">
        <v>22</v>
      </c>
      <c r="G3157" s="6">
        <v>19.43</v>
      </c>
      <c r="H3157" s="7" t="s">
        <v>1606</v>
      </c>
      <c r="I3157" s="4" t="s">
        <v>6753</v>
      </c>
      <c r="J3157" s="4" t="s">
        <v>6754</v>
      </c>
      <c r="K3157" s="8"/>
      <c r="L3157" s="8" t="s">
        <v>33</v>
      </c>
      <c r="M3157" s="9">
        <f t="shared" si="1"/>
        <v>32</v>
      </c>
    </row>
    <row r="3158" ht="12.75" customHeight="1">
      <c r="A3158" s="4">
        <f t="shared" si="2"/>
        <v>3157</v>
      </c>
      <c r="B3158" s="4" t="s">
        <v>6770</v>
      </c>
      <c r="C3158" s="5" t="s">
        <v>6771</v>
      </c>
      <c r="D3158" s="4"/>
      <c r="E3158" s="4"/>
      <c r="F3158" s="4" t="s">
        <v>22</v>
      </c>
      <c r="G3158" s="6">
        <v>10.25</v>
      </c>
      <c r="H3158" s="7" t="s">
        <v>1606</v>
      </c>
      <c r="I3158" s="4" t="s">
        <v>6753</v>
      </c>
      <c r="J3158" s="4" t="s">
        <v>6772</v>
      </c>
      <c r="K3158" s="8"/>
      <c r="L3158" s="8" t="s">
        <v>33</v>
      </c>
      <c r="M3158" s="9">
        <f t="shared" si="1"/>
        <v>72</v>
      </c>
    </row>
    <row r="3159" ht="12.75" customHeight="1">
      <c r="A3159" s="4">
        <f t="shared" si="2"/>
        <v>3158</v>
      </c>
      <c r="B3159" s="4" t="s">
        <v>6773</v>
      </c>
      <c r="C3159" s="5" t="s">
        <v>6774</v>
      </c>
      <c r="D3159" s="4"/>
      <c r="E3159" s="4"/>
      <c r="F3159" s="4" t="s">
        <v>22</v>
      </c>
      <c r="G3159" s="6">
        <v>9.26</v>
      </c>
      <c r="H3159" s="7" t="s">
        <v>1606</v>
      </c>
      <c r="I3159" s="4" t="s">
        <v>6753</v>
      </c>
      <c r="J3159" s="4" t="s">
        <v>6772</v>
      </c>
      <c r="K3159" s="8"/>
      <c r="L3159" s="8" t="s">
        <v>33</v>
      </c>
      <c r="M3159" s="9">
        <f t="shared" si="1"/>
        <v>72</v>
      </c>
    </row>
    <row r="3160" ht="12.75" customHeight="1">
      <c r="A3160" s="4">
        <f t="shared" si="2"/>
        <v>3159</v>
      </c>
      <c r="B3160" s="4" t="s">
        <v>6775</v>
      </c>
      <c r="C3160" s="5" t="s">
        <v>6776</v>
      </c>
      <c r="D3160" s="4"/>
      <c r="E3160" s="4"/>
      <c r="F3160" s="4" t="s">
        <v>22</v>
      </c>
      <c r="G3160" s="6">
        <v>8.5</v>
      </c>
      <c r="H3160" s="7" t="s">
        <v>1606</v>
      </c>
      <c r="I3160" s="4" t="s">
        <v>6753</v>
      </c>
      <c r="J3160" s="4" t="s">
        <v>6772</v>
      </c>
      <c r="K3160" s="8"/>
      <c r="L3160" s="8" t="s">
        <v>33</v>
      </c>
      <c r="M3160" s="9">
        <f t="shared" si="1"/>
        <v>77</v>
      </c>
    </row>
    <row r="3161" ht="12.75" customHeight="1">
      <c r="A3161" s="4">
        <f t="shared" si="2"/>
        <v>3160</v>
      </c>
      <c r="B3161" s="4" t="s">
        <v>6777</v>
      </c>
      <c r="C3161" s="5" t="s">
        <v>6778</v>
      </c>
      <c r="D3161" s="4"/>
      <c r="E3161" s="4"/>
      <c r="F3161" s="4" t="s">
        <v>22</v>
      </c>
      <c r="G3161" s="6">
        <v>26.5</v>
      </c>
      <c r="H3161" s="7" t="s">
        <v>1606</v>
      </c>
      <c r="I3161" s="4" t="s">
        <v>6753</v>
      </c>
      <c r="J3161" s="4" t="s">
        <v>6772</v>
      </c>
      <c r="K3161" s="8"/>
      <c r="L3161" s="8" t="s">
        <v>33</v>
      </c>
      <c r="M3161" s="9">
        <f t="shared" si="1"/>
        <v>71</v>
      </c>
    </row>
    <row r="3162" ht="12.75" customHeight="1">
      <c r="A3162" s="4">
        <f t="shared" si="2"/>
        <v>3161</v>
      </c>
      <c r="B3162" s="4" t="s">
        <v>6779</v>
      </c>
      <c r="C3162" s="5" t="s">
        <v>6780</v>
      </c>
      <c r="D3162" s="4"/>
      <c r="E3162" s="4"/>
      <c r="F3162" s="4" t="s">
        <v>22</v>
      </c>
      <c r="G3162" s="6">
        <v>35.11</v>
      </c>
      <c r="H3162" s="7" t="s">
        <v>1606</v>
      </c>
      <c r="I3162" s="4" t="s">
        <v>6753</v>
      </c>
      <c r="J3162" s="4" t="s">
        <v>6754</v>
      </c>
      <c r="K3162" s="8"/>
      <c r="L3162" s="8" t="s">
        <v>33</v>
      </c>
      <c r="M3162" s="9">
        <f t="shared" si="1"/>
        <v>32</v>
      </c>
    </row>
    <row r="3163" ht="12.75" customHeight="1">
      <c r="A3163" s="4">
        <f t="shared" si="2"/>
        <v>3162</v>
      </c>
      <c r="B3163" s="4" t="s">
        <v>6781</v>
      </c>
      <c r="C3163" s="5" t="s">
        <v>6782</v>
      </c>
      <c r="D3163" s="4"/>
      <c r="E3163" s="4"/>
      <c r="F3163" s="4" t="s">
        <v>22</v>
      </c>
      <c r="G3163" s="6">
        <v>5.25</v>
      </c>
      <c r="H3163" s="7" t="s">
        <v>1606</v>
      </c>
      <c r="I3163" s="4" t="s">
        <v>6753</v>
      </c>
      <c r="J3163" s="4" t="s">
        <v>6772</v>
      </c>
      <c r="K3163" s="8"/>
      <c r="L3163" s="8" t="s">
        <v>33</v>
      </c>
      <c r="M3163" s="9">
        <f t="shared" si="1"/>
        <v>73</v>
      </c>
    </row>
    <row r="3164" ht="12.75" customHeight="1">
      <c r="A3164" s="4">
        <f t="shared" si="2"/>
        <v>3163</v>
      </c>
      <c r="B3164" s="4" t="s">
        <v>6783</v>
      </c>
      <c r="C3164" s="5" t="s">
        <v>6784</v>
      </c>
      <c r="D3164" s="4"/>
      <c r="E3164" s="4"/>
      <c r="F3164" s="4" t="s">
        <v>22</v>
      </c>
      <c r="G3164" s="6">
        <v>17.33</v>
      </c>
      <c r="H3164" s="7" t="s">
        <v>1606</v>
      </c>
      <c r="I3164" s="4" t="s">
        <v>6753</v>
      </c>
      <c r="J3164" s="4" t="s">
        <v>6772</v>
      </c>
      <c r="K3164" s="8"/>
      <c r="L3164" s="8" t="s">
        <v>33</v>
      </c>
      <c r="M3164" s="9">
        <f t="shared" si="1"/>
        <v>67</v>
      </c>
    </row>
    <row r="3165" ht="12.75" customHeight="1">
      <c r="A3165" s="4">
        <f t="shared" si="2"/>
        <v>3164</v>
      </c>
      <c r="B3165" s="4" t="s">
        <v>6785</v>
      </c>
      <c r="C3165" s="5" t="s">
        <v>6786</v>
      </c>
      <c r="D3165" s="4"/>
      <c r="E3165" s="4"/>
      <c r="F3165" s="4" t="s">
        <v>22</v>
      </c>
      <c r="G3165" s="21">
        <v>21.35</v>
      </c>
      <c r="H3165" s="7" t="s">
        <v>1606</v>
      </c>
      <c r="I3165" s="4" t="s">
        <v>6753</v>
      </c>
      <c r="J3165" s="4" t="s">
        <v>6754</v>
      </c>
      <c r="K3165" s="8"/>
      <c r="L3165" s="8" t="s">
        <v>33</v>
      </c>
      <c r="M3165" s="9">
        <f t="shared" si="1"/>
        <v>28</v>
      </c>
    </row>
    <row r="3166" ht="12.75" customHeight="1">
      <c r="A3166" s="4">
        <f t="shared" si="2"/>
        <v>3165</v>
      </c>
      <c r="B3166" s="4" t="s">
        <v>6787</v>
      </c>
      <c r="C3166" s="5" t="s">
        <v>6788</v>
      </c>
      <c r="D3166" s="4"/>
      <c r="E3166" s="4"/>
      <c r="F3166" s="4" t="s">
        <v>22</v>
      </c>
      <c r="G3166" s="6">
        <v>3.8</v>
      </c>
      <c r="H3166" s="7" t="s">
        <v>1606</v>
      </c>
      <c r="I3166" s="4" t="s">
        <v>6753</v>
      </c>
      <c r="J3166" s="4" t="s">
        <v>6772</v>
      </c>
      <c r="K3166" s="8"/>
      <c r="L3166" s="8" t="s">
        <v>33</v>
      </c>
      <c r="M3166" s="9">
        <f t="shared" si="1"/>
        <v>75</v>
      </c>
    </row>
    <row r="3167" ht="12.75" customHeight="1">
      <c r="A3167" s="4">
        <f t="shared" si="2"/>
        <v>3166</v>
      </c>
      <c r="B3167" s="4" t="s">
        <v>6789</v>
      </c>
      <c r="C3167" s="5" t="s">
        <v>6790</v>
      </c>
      <c r="D3167" s="4"/>
      <c r="E3167" s="4"/>
      <c r="F3167" s="4" t="s">
        <v>22</v>
      </c>
      <c r="G3167" s="6">
        <v>9.85</v>
      </c>
      <c r="H3167" s="7" t="s">
        <v>1606</v>
      </c>
      <c r="I3167" s="4" t="s">
        <v>6753</v>
      </c>
      <c r="J3167" s="4" t="s">
        <v>6772</v>
      </c>
      <c r="K3167" s="8"/>
      <c r="L3167" s="8" t="s">
        <v>33</v>
      </c>
      <c r="M3167" s="9">
        <f t="shared" si="1"/>
        <v>69</v>
      </c>
    </row>
    <row r="3168" ht="12.75" customHeight="1">
      <c r="A3168" s="4">
        <f t="shared" si="2"/>
        <v>3167</v>
      </c>
      <c r="B3168" s="4" t="s">
        <v>6791</v>
      </c>
      <c r="C3168" s="5" t="s">
        <v>6792</v>
      </c>
      <c r="D3168" s="4"/>
      <c r="E3168" s="4"/>
      <c r="F3168" s="4" t="s">
        <v>22</v>
      </c>
      <c r="G3168" s="21">
        <v>6.5</v>
      </c>
      <c r="H3168" s="7" t="s">
        <v>1606</v>
      </c>
      <c r="I3168" s="4" t="s">
        <v>6753</v>
      </c>
      <c r="J3168" s="4" t="s">
        <v>6772</v>
      </c>
      <c r="K3168" s="8"/>
      <c r="L3168" s="8" t="s">
        <v>33</v>
      </c>
      <c r="M3168" s="9">
        <f t="shared" si="1"/>
        <v>30</v>
      </c>
    </row>
    <row r="3169" ht="12.75" customHeight="1">
      <c r="A3169" s="4">
        <f t="shared" si="2"/>
        <v>3168</v>
      </c>
      <c r="B3169" s="4" t="s">
        <v>6793</v>
      </c>
      <c r="C3169" s="5" t="s">
        <v>6794</v>
      </c>
      <c r="D3169" s="4"/>
      <c r="E3169" s="4"/>
      <c r="F3169" s="4" t="s">
        <v>22</v>
      </c>
      <c r="G3169" s="6">
        <v>10.36</v>
      </c>
      <c r="H3169" s="7" t="s">
        <v>1606</v>
      </c>
      <c r="I3169" s="4" t="s">
        <v>6753</v>
      </c>
      <c r="J3169" s="4" t="s">
        <v>6772</v>
      </c>
      <c r="K3169" s="8"/>
      <c r="L3169" s="8" t="s">
        <v>33</v>
      </c>
      <c r="M3169" s="9">
        <f t="shared" si="1"/>
        <v>77</v>
      </c>
    </row>
    <row r="3170" ht="12.75" customHeight="1">
      <c r="A3170" s="4">
        <f t="shared" si="2"/>
        <v>3169</v>
      </c>
      <c r="B3170" s="4" t="s">
        <v>6795</v>
      </c>
      <c r="C3170" s="5" t="s">
        <v>6796</v>
      </c>
      <c r="D3170" s="4"/>
      <c r="E3170" s="4"/>
      <c r="F3170" s="4" t="s">
        <v>22</v>
      </c>
      <c r="G3170" s="6">
        <v>9.98</v>
      </c>
      <c r="H3170" s="7" t="s">
        <v>1606</v>
      </c>
      <c r="I3170" s="4" t="s">
        <v>6753</v>
      </c>
      <c r="J3170" s="4" t="s">
        <v>6772</v>
      </c>
      <c r="K3170" s="8"/>
      <c r="L3170" s="8" t="s">
        <v>33</v>
      </c>
      <c r="M3170" s="9">
        <f t="shared" si="1"/>
        <v>73</v>
      </c>
    </row>
    <row r="3171" ht="12.75" customHeight="1">
      <c r="A3171" s="4">
        <f t="shared" si="2"/>
        <v>3170</v>
      </c>
      <c r="B3171" s="4" t="s">
        <v>6797</v>
      </c>
      <c r="C3171" s="5" t="s">
        <v>6798</v>
      </c>
      <c r="D3171" s="4"/>
      <c r="E3171" s="4"/>
      <c r="F3171" s="4" t="s">
        <v>22</v>
      </c>
      <c r="G3171" s="6">
        <v>32.5</v>
      </c>
      <c r="H3171" s="7" t="s">
        <v>1606</v>
      </c>
      <c r="I3171" s="4" t="s">
        <v>6753</v>
      </c>
      <c r="J3171" s="4" t="s">
        <v>6772</v>
      </c>
      <c r="K3171" s="8"/>
      <c r="L3171" s="8" t="s">
        <v>33</v>
      </c>
      <c r="M3171" s="9">
        <f t="shared" si="1"/>
        <v>67</v>
      </c>
    </row>
    <row r="3172" ht="12.75" customHeight="1">
      <c r="A3172" s="4">
        <f t="shared" si="2"/>
        <v>3171</v>
      </c>
      <c r="B3172" s="4" t="s">
        <v>6799</v>
      </c>
      <c r="C3172" s="5" t="s">
        <v>6800</v>
      </c>
      <c r="D3172" s="4"/>
      <c r="E3172" s="4"/>
      <c r="F3172" s="4" t="s">
        <v>22</v>
      </c>
      <c r="G3172" s="6">
        <v>11.98</v>
      </c>
      <c r="H3172" s="7" t="s">
        <v>1606</v>
      </c>
      <c r="I3172" s="4" t="s">
        <v>6753</v>
      </c>
      <c r="J3172" s="4" t="s">
        <v>6772</v>
      </c>
      <c r="K3172" s="8"/>
      <c r="L3172" s="8" t="s">
        <v>33</v>
      </c>
      <c r="M3172" s="9">
        <f t="shared" si="1"/>
        <v>73</v>
      </c>
    </row>
    <row r="3173" ht="12.75" customHeight="1">
      <c r="A3173" s="4">
        <f t="shared" si="2"/>
        <v>3172</v>
      </c>
      <c r="B3173" s="4" t="s">
        <v>6801</v>
      </c>
      <c r="C3173" s="5" t="s">
        <v>6802</v>
      </c>
      <c r="D3173" s="4"/>
      <c r="E3173" s="4"/>
      <c r="F3173" s="4" t="s">
        <v>22</v>
      </c>
      <c r="G3173" s="6">
        <v>6.4</v>
      </c>
      <c r="H3173" s="7" t="s">
        <v>1606</v>
      </c>
      <c r="I3173" s="4" t="s">
        <v>6753</v>
      </c>
      <c r="J3173" s="4" t="s">
        <v>6772</v>
      </c>
      <c r="K3173" s="8"/>
      <c r="L3173" s="8" t="s">
        <v>33</v>
      </c>
      <c r="M3173" s="9">
        <f t="shared" si="1"/>
        <v>75</v>
      </c>
    </row>
    <row r="3174" ht="12.75" customHeight="1">
      <c r="A3174" s="4">
        <f t="shared" si="2"/>
        <v>3173</v>
      </c>
      <c r="B3174" s="4" t="s">
        <v>6803</v>
      </c>
      <c r="C3174" s="5" t="s">
        <v>6804</v>
      </c>
      <c r="D3174" s="4"/>
      <c r="E3174" s="4"/>
      <c r="F3174" s="4" t="s">
        <v>22</v>
      </c>
      <c r="G3174" s="6">
        <v>9.97</v>
      </c>
      <c r="H3174" s="7" t="s">
        <v>1606</v>
      </c>
      <c r="I3174" s="4" t="s">
        <v>6753</v>
      </c>
      <c r="J3174" s="4" t="s">
        <v>6754</v>
      </c>
      <c r="K3174" s="8"/>
      <c r="L3174" s="8" t="s">
        <v>33</v>
      </c>
      <c r="M3174" s="9">
        <f t="shared" si="1"/>
        <v>30</v>
      </c>
    </row>
    <row r="3175" ht="12.75" customHeight="1">
      <c r="A3175" s="4">
        <f t="shared" si="2"/>
        <v>3174</v>
      </c>
      <c r="B3175" s="4" t="s">
        <v>6805</v>
      </c>
      <c r="C3175" s="5" t="s">
        <v>6806</v>
      </c>
      <c r="D3175" s="4"/>
      <c r="E3175" s="4"/>
      <c r="F3175" s="4" t="s">
        <v>22</v>
      </c>
      <c r="G3175" s="6">
        <v>13.56</v>
      </c>
      <c r="H3175" s="7" t="s">
        <v>1606</v>
      </c>
      <c r="I3175" s="4" t="s">
        <v>6753</v>
      </c>
      <c r="J3175" s="4" t="s">
        <v>6772</v>
      </c>
      <c r="K3175" s="8"/>
      <c r="L3175" s="8" t="s">
        <v>33</v>
      </c>
      <c r="M3175" s="9">
        <f t="shared" si="1"/>
        <v>48</v>
      </c>
    </row>
    <row r="3176" ht="12.75" customHeight="1">
      <c r="A3176" s="4">
        <f t="shared" si="2"/>
        <v>3175</v>
      </c>
      <c r="B3176" s="4" t="s">
        <v>6807</v>
      </c>
      <c r="C3176" s="5" t="s">
        <v>6808</v>
      </c>
      <c r="D3176" s="4"/>
      <c r="E3176" s="4"/>
      <c r="F3176" s="4" t="s">
        <v>22</v>
      </c>
      <c r="G3176" s="6">
        <v>9.43</v>
      </c>
      <c r="H3176" s="7" t="s">
        <v>1606</v>
      </c>
      <c r="I3176" s="4" t="s">
        <v>6753</v>
      </c>
      <c r="J3176" s="4" t="s">
        <v>6809</v>
      </c>
      <c r="K3176" s="8"/>
      <c r="L3176" s="8" t="s">
        <v>2623</v>
      </c>
      <c r="M3176" s="9">
        <f t="shared" si="1"/>
        <v>41</v>
      </c>
    </row>
    <row r="3177" ht="12.75" customHeight="1">
      <c r="A3177" s="4">
        <f t="shared" si="2"/>
        <v>3176</v>
      </c>
      <c r="B3177" s="4" t="s">
        <v>6810</v>
      </c>
      <c r="C3177" s="5" t="s">
        <v>6811</v>
      </c>
      <c r="D3177" s="4"/>
      <c r="E3177" s="4"/>
      <c r="F3177" s="4" t="s">
        <v>22</v>
      </c>
      <c r="G3177" s="6">
        <v>6.62</v>
      </c>
      <c r="H3177" s="7" t="s">
        <v>1606</v>
      </c>
      <c r="I3177" s="4" t="s">
        <v>6753</v>
      </c>
      <c r="J3177" s="4" t="s">
        <v>6809</v>
      </c>
      <c r="K3177" s="8"/>
      <c r="L3177" s="8" t="s">
        <v>2623</v>
      </c>
      <c r="M3177" s="9">
        <f t="shared" si="1"/>
        <v>37</v>
      </c>
    </row>
    <row r="3178" ht="12.75" customHeight="1">
      <c r="A3178" s="4">
        <f t="shared" si="2"/>
        <v>3177</v>
      </c>
      <c r="B3178" s="4" t="s">
        <v>6812</v>
      </c>
      <c r="C3178" s="5" t="s">
        <v>6813</v>
      </c>
      <c r="D3178" s="4"/>
      <c r="E3178" s="4"/>
      <c r="F3178" s="4" t="s">
        <v>22</v>
      </c>
      <c r="G3178" s="6">
        <v>11.59</v>
      </c>
      <c r="H3178" s="7" t="s">
        <v>1606</v>
      </c>
      <c r="I3178" s="4" t="s">
        <v>6753</v>
      </c>
      <c r="J3178" s="4" t="s">
        <v>6809</v>
      </c>
      <c r="K3178" s="8"/>
      <c r="L3178" s="8" t="s">
        <v>2623</v>
      </c>
      <c r="M3178" s="9">
        <f t="shared" si="1"/>
        <v>37</v>
      </c>
    </row>
    <row r="3179" ht="12.75" customHeight="1">
      <c r="A3179" s="4">
        <f t="shared" si="2"/>
        <v>3178</v>
      </c>
      <c r="B3179" s="4" t="s">
        <v>6814</v>
      </c>
      <c r="C3179" s="5" t="s">
        <v>6815</v>
      </c>
      <c r="D3179" s="4"/>
      <c r="E3179" s="4"/>
      <c r="F3179" s="4" t="s">
        <v>22</v>
      </c>
      <c r="G3179" s="6">
        <v>2.95</v>
      </c>
      <c r="H3179" s="7" t="s">
        <v>1606</v>
      </c>
      <c r="I3179" s="4" t="s">
        <v>6753</v>
      </c>
      <c r="J3179" s="4" t="s">
        <v>6809</v>
      </c>
      <c r="K3179" s="8"/>
      <c r="L3179" s="8" t="s">
        <v>2623</v>
      </c>
      <c r="M3179" s="9">
        <f t="shared" si="1"/>
        <v>39</v>
      </c>
    </row>
    <row r="3180" ht="12.75" customHeight="1">
      <c r="A3180" s="4">
        <f t="shared" si="2"/>
        <v>3179</v>
      </c>
      <c r="B3180" s="4" t="s">
        <v>6816</v>
      </c>
      <c r="C3180" s="5" t="s">
        <v>6817</v>
      </c>
      <c r="D3180" s="4"/>
      <c r="E3180" s="4"/>
      <c r="F3180" s="4" t="s">
        <v>22</v>
      </c>
      <c r="G3180" s="6">
        <v>37.84</v>
      </c>
      <c r="H3180" s="7" t="s">
        <v>1606</v>
      </c>
      <c r="I3180" s="4" t="s">
        <v>1574</v>
      </c>
      <c r="J3180" s="4" t="s">
        <v>2082</v>
      </c>
      <c r="K3180" s="8"/>
      <c r="L3180" s="8" t="s">
        <v>33</v>
      </c>
      <c r="M3180" s="9">
        <f t="shared" si="1"/>
        <v>38</v>
      </c>
    </row>
    <row r="3181" ht="12.75" customHeight="1">
      <c r="A3181" s="4">
        <f t="shared" si="2"/>
        <v>3180</v>
      </c>
      <c r="B3181" s="4" t="s">
        <v>6818</v>
      </c>
      <c r="C3181" s="5" t="s">
        <v>6819</v>
      </c>
      <c r="D3181" s="4"/>
      <c r="E3181" s="4"/>
      <c r="F3181" s="4" t="s">
        <v>22</v>
      </c>
      <c r="G3181" s="6">
        <v>28.22</v>
      </c>
      <c r="H3181" s="7" t="s">
        <v>1606</v>
      </c>
      <c r="I3181" s="4" t="s">
        <v>1574</v>
      </c>
      <c r="J3181" s="4" t="s">
        <v>2082</v>
      </c>
      <c r="K3181" s="8"/>
      <c r="L3181" s="8" t="s">
        <v>33</v>
      </c>
      <c r="M3181" s="9">
        <f t="shared" si="1"/>
        <v>38</v>
      </c>
    </row>
    <row r="3182" ht="12.75" customHeight="1">
      <c r="A3182" s="4">
        <f t="shared" si="2"/>
        <v>3181</v>
      </c>
      <c r="B3182" s="4" t="s">
        <v>6820</v>
      </c>
      <c r="C3182" s="5" t="s">
        <v>6821</v>
      </c>
      <c r="D3182" s="4"/>
      <c r="E3182" s="4"/>
      <c r="F3182" s="4" t="s">
        <v>22</v>
      </c>
      <c r="G3182" s="6">
        <v>34.2</v>
      </c>
      <c r="H3182" s="7" t="s">
        <v>1606</v>
      </c>
      <c r="I3182" s="4" t="s">
        <v>1574</v>
      </c>
      <c r="J3182" s="4" t="s">
        <v>2082</v>
      </c>
      <c r="K3182" s="8"/>
      <c r="L3182" s="8" t="s">
        <v>33</v>
      </c>
      <c r="M3182" s="9">
        <f t="shared" si="1"/>
        <v>35</v>
      </c>
    </row>
    <row r="3183" ht="12.75" customHeight="1">
      <c r="A3183" s="4">
        <f t="shared" si="2"/>
        <v>3182</v>
      </c>
      <c r="B3183" s="4" t="s">
        <v>6822</v>
      </c>
      <c r="C3183" s="5" t="s">
        <v>6823</v>
      </c>
      <c r="D3183" s="4"/>
      <c r="E3183" s="4"/>
      <c r="F3183" s="4" t="s">
        <v>22</v>
      </c>
      <c r="G3183" s="6">
        <v>96.79</v>
      </c>
      <c r="H3183" s="7" t="s">
        <v>1606</v>
      </c>
      <c r="I3183" s="4" t="s">
        <v>1574</v>
      </c>
      <c r="J3183" s="4" t="s">
        <v>2082</v>
      </c>
      <c r="K3183" s="8"/>
      <c r="L3183" s="8" t="s">
        <v>33</v>
      </c>
      <c r="M3183" s="9">
        <f t="shared" si="1"/>
        <v>44</v>
      </c>
    </row>
    <row r="3184" ht="12.75" customHeight="1">
      <c r="A3184" s="4">
        <f t="shared" si="2"/>
        <v>3183</v>
      </c>
      <c r="B3184" s="4" t="s">
        <v>6824</v>
      </c>
      <c r="C3184" s="5" t="s">
        <v>6825</v>
      </c>
      <c r="D3184" s="4"/>
      <c r="E3184" s="4"/>
      <c r="F3184" s="4" t="s">
        <v>22</v>
      </c>
      <c r="G3184" s="6">
        <v>121.08</v>
      </c>
      <c r="H3184" s="7" t="s">
        <v>1606</v>
      </c>
      <c r="I3184" s="4" t="s">
        <v>1574</v>
      </c>
      <c r="J3184" s="4" t="s">
        <v>2082</v>
      </c>
      <c r="K3184" s="8"/>
      <c r="L3184" s="8" t="s">
        <v>33</v>
      </c>
      <c r="M3184" s="9">
        <f t="shared" si="1"/>
        <v>41</v>
      </c>
    </row>
    <row r="3185" ht="12.75" customHeight="1">
      <c r="A3185" s="4">
        <f t="shared" si="2"/>
        <v>3184</v>
      </c>
      <c r="B3185" s="4" t="s">
        <v>6826</v>
      </c>
      <c r="C3185" s="5" t="s">
        <v>6827</v>
      </c>
      <c r="D3185" s="4"/>
      <c r="E3185" s="4"/>
      <c r="F3185" s="4" t="s">
        <v>3661</v>
      </c>
      <c r="G3185" s="6">
        <v>1.52</v>
      </c>
      <c r="H3185" s="7" t="s">
        <v>1606</v>
      </c>
      <c r="I3185" s="4" t="s">
        <v>2646</v>
      </c>
      <c r="J3185" s="4" t="s">
        <v>3904</v>
      </c>
      <c r="K3185" s="8"/>
      <c r="L3185" s="8" t="s">
        <v>33</v>
      </c>
      <c r="M3185" s="9">
        <f t="shared" si="1"/>
        <v>44</v>
      </c>
    </row>
    <row r="3186" ht="12.75" customHeight="1">
      <c r="A3186" s="4">
        <f t="shared" si="2"/>
        <v>3185</v>
      </c>
      <c r="B3186" s="4" t="s">
        <v>6828</v>
      </c>
      <c r="C3186" s="5" t="s">
        <v>6829</v>
      </c>
      <c r="D3186" s="4"/>
      <c r="E3186" s="4"/>
      <c r="F3186" s="4" t="s">
        <v>3661</v>
      </c>
      <c r="G3186" s="6">
        <v>0.84</v>
      </c>
      <c r="H3186" s="7" t="s">
        <v>1606</v>
      </c>
      <c r="I3186" s="4" t="s">
        <v>2646</v>
      </c>
      <c r="J3186" s="4" t="s">
        <v>3904</v>
      </c>
      <c r="K3186" s="8"/>
      <c r="L3186" s="8" t="s">
        <v>33</v>
      </c>
      <c r="M3186" s="9">
        <f t="shared" si="1"/>
        <v>34</v>
      </c>
    </row>
    <row r="3187" ht="12.75" customHeight="1">
      <c r="A3187" s="4">
        <f t="shared" si="2"/>
        <v>3186</v>
      </c>
      <c r="B3187" s="4" t="s">
        <v>6830</v>
      </c>
      <c r="C3187" s="5" t="s">
        <v>6831</v>
      </c>
      <c r="D3187" s="4"/>
      <c r="E3187" s="4"/>
      <c r="F3187" s="4" t="s">
        <v>22</v>
      </c>
      <c r="G3187" s="6">
        <v>0.54</v>
      </c>
      <c r="H3187" s="7" t="s">
        <v>1606</v>
      </c>
      <c r="I3187" s="4" t="s">
        <v>1800</v>
      </c>
      <c r="J3187" s="4" t="s">
        <v>1801</v>
      </c>
      <c r="K3187" s="8"/>
      <c r="L3187" s="8" t="s">
        <v>33</v>
      </c>
      <c r="M3187" s="9">
        <f t="shared" si="1"/>
        <v>26</v>
      </c>
    </row>
    <row r="3188" ht="12.75" customHeight="1">
      <c r="A3188" s="4">
        <f t="shared" si="2"/>
        <v>3187</v>
      </c>
      <c r="B3188" s="4" t="s">
        <v>6832</v>
      </c>
      <c r="C3188" s="5" t="s">
        <v>6833</v>
      </c>
      <c r="D3188" s="4"/>
      <c r="E3188" s="4"/>
      <c r="F3188" s="4" t="s">
        <v>22</v>
      </c>
      <c r="G3188" s="6">
        <v>10.81</v>
      </c>
      <c r="H3188" s="7" t="s">
        <v>1606</v>
      </c>
      <c r="I3188" s="4" t="s">
        <v>1800</v>
      </c>
      <c r="J3188" s="4" t="s">
        <v>1801</v>
      </c>
      <c r="K3188" s="8"/>
      <c r="L3188" s="8" t="s">
        <v>33</v>
      </c>
      <c r="M3188" s="9">
        <f t="shared" si="1"/>
        <v>33</v>
      </c>
    </row>
    <row r="3189" ht="12.75" customHeight="1">
      <c r="A3189" s="4">
        <f t="shared" si="2"/>
        <v>3188</v>
      </c>
      <c r="B3189" s="4" t="s">
        <v>6834</v>
      </c>
      <c r="C3189" s="5" t="s">
        <v>6835</v>
      </c>
      <c r="D3189" s="4"/>
      <c r="E3189" s="4"/>
      <c r="F3189" s="4" t="s">
        <v>22</v>
      </c>
      <c r="G3189" s="6">
        <v>2.16</v>
      </c>
      <c r="H3189" s="7" t="s">
        <v>1606</v>
      </c>
      <c r="I3189" s="4" t="s">
        <v>1800</v>
      </c>
      <c r="J3189" s="4" t="s">
        <v>1801</v>
      </c>
      <c r="K3189" s="8"/>
      <c r="L3189" s="8" t="s">
        <v>33</v>
      </c>
      <c r="M3189" s="9">
        <f t="shared" si="1"/>
        <v>24</v>
      </c>
    </row>
    <row r="3190" ht="12.75" customHeight="1">
      <c r="A3190" s="4">
        <f t="shared" si="2"/>
        <v>3189</v>
      </c>
      <c r="B3190" s="4" t="s">
        <v>6836</v>
      </c>
      <c r="C3190" s="5" t="s">
        <v>6837</v>
      </c>
      <c r="D3190" s="4"/>
      <c r="E3190" s="4"/>
      <c r="F3190" s="4" t="s">
        <v>22</v>
      </c>
      <c r="G3190" s="6">
        <v>814.08</v>
      </c>
      <c r="H3190" s="7" t="s">
        <v>1606</v>
      </c>
      <c r="I3190" s="4" t="s">
        <v>1816</v>
      </c>
      <c r="J3190" s="4" t="s">
        <v>6838</v>
      </c>
      <c r="K3190" s="8"/>
      <c r="L3190" s="8" t="s">
        <v>33</v>
      </c>
      <c r="M3190" s="9">
        <f t="shared" si="1"/>
        <v>67</v>
      </c>
    </row>
    <row r="3191" ht="12.75" customHeight="1">
      <c r="A3191" s="4">
        <f t="shared" si="2"/>
        <v>3190</v>
      </c>
      <c r="B3191" s="4" t="s">
        <v>6839</v>
      </c>
      <c r="C3191" s="5" t="s">
        <v>6840</v>
      </c>
      <c r="D3191" s="4"/>
      <c r="E3191" s="4"/>
      <c r="F3191" s="4" t="s">
        <v>22</v>
      </c>
      <c r="G3191" s="6">
        <v>3.56</v>
      </c>
      <c r="H3191" s="7" t="s">
        <v>1606</v>
      </c>
      <c r="I3191" s="4" t="s">
        <v>1697</v>
      </c>
      <c r="J3191" s="4" t="s">
        <v>1811</v>
      </c>
      <c r="K3191" s="8"/>
      <c r="L3191" s="8" t="s">
        <v>2632</v>
      </c>
      <c r="M3191" s="9">
        <f t="shared" si="1"/>
        <v>25</v>
      </c>
    </row>
    <row r="3192" ht="12.75" customHeight="1">
      <c r="A3192" s="4">
        <f t="shared" si="2"/>
        <v>3191</v>
      </c>
      <c r="B3192" s="4" t="s">
        <v>6841</v>
      </c>
      <c r="C3192" s="5" t="s">
        <v>6842</v>
      </c>
      <c r="D3192" s="4"/>
      <c r="E3192" s="4"/>
      <c r="F3192" s="4" t="s">
        <v>1764</v>
      </c>
      <c r="G3192" s="6">
        <v>4.75</v>
      </c>
      <c r="H3192" s="7" t="s">
        <v>1606</v>
      </c>
      <c r="I3192" s="4" t="s">
        <v>1697</v>
      </c>
      <c r="J3192" s="4" t="s">
        <v>1811</v>
      </c>
      <c r="K3192" s="8"/>
      <c r="L3192" s="8" t="s">
        <v>2632</v>
      </c>
      <c r="M3192" s="9">
        <f t="shared" si="1"/>
        <v>26</v>
      </c>
    </row>
    <row r="3193" ht="12.75" customHeight="1">
      <c r="A3193" s="4">
        <f t="shared" si="2"/>
        <v>3192</v>
      </c>
      <c r="B3193" s="4" t="s">
        <v>6843</v>
      </c>
      <c r="C3193" s="5" t="s">
        <v>6844</v>
      </c>
      <c r="D3193" s="4"/>
      <c r="E3193" s="4"/>
      <c r="F3193" s="4" t="s">
        <v>1791</v>
      </c>
      <c r="G3193" s="6">
        <v>104.35</v>
      </c>
      <c r="H3193" s="7" t="s">
        <v>1606</v>
      </c>
      <c r="I3193" s="4" t="s">
        <v>2819</v>
      </c>
      <c r="J3193" s="4" t="s">
        <v>1544</v>
      </c>
      <c r="K3193" s="8"/>
      <c r="L3193" s="8" t="s">
        <v>33</v>
      </c>
      <c r="M3193" s="9">
        <f t="shared" si="1"/>
        <v>31</v>
      </c>
    </row>
    <row r="3194" ht="12.75" customHeight="1">
      <c r="A3194" s="4">
        <f t="shared" si="2"/>
        <v>3193</v>
      </c>
      <c r="B3194" s="4" t="s">
        <v>6845</v>
      </c>
      <c r="C3194" s="5" t="s">
        <v>6846</v>
      </c>
      <c r="D3194" s="4"/>
      <c r="E3194" s="4"/>
      <c r="F3194" s="4" t="s">
        <v>1791</v>
      </c>
      <c r="G3194" s="6">
        <v>56.0</v>
      </c>
      <c r="H3194" s="7" t="s">
        <v>1606</v>
      </c>
      <c r="I3194" s="4" t="s">
        <v>2819</v>
      </c>
      <c r="J3194" s="4" t="s">
        <v>1544</v>
      </c>
      <c r="K3194" s="8"/>
      <c r="L3194" s="8" t="s">
        <v>33</v>
      </c>
      <c r="M3194" s="9">
        <f t="shared" si="1"/>
        <v>31</v>
      </c>
    </row>
  </sheetData>
  <autoFilter ref="$A$1:$M$3194">
    <filterColumn colId="2">
      <filters>
        <filter val="INTERRUPTOR TERMOMAGNÉTICO 3X20A 20/6KA 230/400V TIPO C DIN"/>
        <filter val="PERNO CAB. HEXAGONAL A°G° 3/8&quot; X 3&quot; C/ TUERCA Y ARANDELA PLANA Y PRESION"/>
        <filter val="PLANCHA ESTRIADA 3.0 X 1200 X 2400 MM (1/8&quot;)"/>
        <filter val="ALAMBRE DE ACERO GALVANIZADO N° 12"/>
        <filter val="TORNILLO AUTOPERFORANTE PUNTA BROCA #6 X 1&quot; CON ARANDELA DE NEOPRENO"/>
        <filter val="DADO DE IMPACTO TUBULAR HEXAGONAL ENCASTRE 3/4&quot; DE 34 MM"/>
        <filter val="FUSIBLE 30 A 600 V BM60325Q"/>
        <filter val="BALDE DE PLASTICO DE 1 GLN"/>
        <filter val="MANTA PARA BIOMBO DE 2 M X 2 M"/>
        <filter val="TUBO ACERO INOX. S/C SCH-40 C-304L X 6 MT. 2&quot; SOLDABLE"/>
        <filter val="BROCHA DE 4&quot; MANGO MADERA Y CERDA"/>
        <filter val="CADENA DE ACERO GALVANIZADO 3/4&quot;"/>
        <filter val="UNION UNIVERSAL O TUERCA UNION FIERRO GALVANIZADO 3/4&quot; CLASE 150 UL/FM"/>
        <filter val="MOLDE PARA SOLDADURA EXOTERMICA TIPO X DE 1/0-1/0 AWG"/>
        <filter val="PLATINA DE COBRE DURO DESNUDO 10X50MM 6MTS"/>
        <filter val="VALVULA DE BOLA DE 3/4&quot; ACERO AL CARBONO ROSCA NPT CON SISTEMA PARA BLOQUEO"/>
        <filter val="PERNO CAB. HEXAGONAL INOX 304 1/2&quot; X 2&quot; C/ TUERCA Y ARANDELA PLANA Y PRESION"/>
        <filter val="ALAMBRE DE ACERO GALVANIZADO N° 16"/>
        <filter val="BROCHA DE 1 1/2&quot; MANGO MADERA Y CERDA"/>
        <filter val="ARANDELA DE PRESION ZINCADO DE 5/8&quot;"/>
        <filter val="DISCO DE CORTE DE 9&quot; DIAMANTADO PARA CONCRETO"/>
        <filter val="CURVA CONDUIT DE 1&quot; X 90°"/>
        <filter val="JUEGO 9 PZS LLAVES ALLEN PULG TIPO NAVAJA 5/64,3/32,7/64,1/8,9/64,5/32,3/16,1/4"/>
        <filter val="TERMINAL DE COMPRESION CAÑON LARGO 1 HUECO  DE 1/0 AWG OJAL DE 10.5 MM"/>
        <filter val="GLOBO DE LATEX N° 18"/>
        <filter val="DADO DE IMPACTO CORTO HEXAGONAL ENCASTRE 1/2&quot; DE 30 MM"/>
        <filter val="ADAPTADOR DE IMPACTO 1&quot; MACHO X 3/4&quot; HEMBRA"/>
        <filter val="DADO DE IMPACTO CORTO HEXAGONAL ENCASTRE 3/4&quot; DE 55 MM"/>
        <filter val="PERNO CAB. HEXAGONAL F°N° 1/2&quot; X 2 1/2&quot; C/ TUERCA Y ARANDELA PLANA Y PRESION"/>
        <filter val="MASILLA PARA MADERA"/>
        <filter val="VALVULA DE BOLA DE 3/4&quot; BRONCE"/>
        <filter val="UNIFORME DEPORTIVO ARQUERO (CAMISETA, SHORT Y MEDIAS) TALLA: S"/>
        <filter val="TACHO DE PLASTICO DE BASURA COLOR NEGRO &quot;RESIDUOS GENERALES&quot; DE 25 LTS"/>
        <filter val="TUERCA BUSHING HIERRO C/AISL. C/PUESTA A TIERRA UL DE 3&quot;"/>
        <filter val="MICA A3 426X303 MM P/ENMICADORA ESPESOR: 125 MICRAS X 100 UND"/>
        <filter val="PERNO CAB. HEXAGONAL A°G° 3/4&quot; X 2 1/2&quot; C/ TUERCA Y ARANDELA PLANA Y PRESION"/>
        <filter val="DADO DE IMPACTO TUBULAR HEXAGONAL ENCASTRE 3/4&quot; DE 1 7/8&quot;"/>
        <filter val="LACA DESMOLDANTE X 1 GLN CHEMALAC"/>
        <filter val="PANTALON JEAN COLOR AZUL STAFF SIN FORRO POLAR PARA VARON LOGO: STP TALLA: 28"/>
        <filter val="UNIFORME DEPORTIVO ARQUERO (CAMISETA, SHORT Y MEDIAS) TALLA: L"/>
        <filter val="UNIFORME DEPORTIVO ARQUERO (CAMISETA, SHORT Y MEDIAS) TALLA: M"/>
        <filter val="CODO PVC SAL 4&quot; X 90° P/ DESAGUE"/>
        <filter val="PANTALON JEAN COLOR AZUL STAFF SIN FORRO POLAR PARA VARON LOGO: STP TALLA: 34"/>
        <filter val="PANTALON JEAN COLOR AZUL STAFF SIN FORRO POLAR PARA VARON LOGO: STP TALLA: 36"/>
        <filter val="PANTALON JEAN COLOR AZUL STAFF SIN FORRO POLAR PARA VARON LOGO: STP TALLA: 30"/>
        <filter val="ESPATULA ESQUINERA INTERIOR PARA DRYWALL"/>
        <filter val="PANTALON JEAN COLOR AZUL STAFF SIN FORRO POLAR PARA VARON LOGO: STP TALLA: 32"/>
        <filter val="REDUCCION CONCENTRICA SOLDABLE SCH-40 2 1/2&quot; X 1 1/4&quot;"/>
        <filter val="TAPA CIEGA RECTANGULAR GALVANIZADA"/>
        <filter val="TUERCA HEXAGONAL INOX 304 DE 1&quot;"/>
        <filter val="U-BOLT INOX° DE 1/4&quot; PARA TUBO DE 1&quot; C/ TUERCA Y ARANDELA PLANA Y PRESION"/>
        <filter val="DADO DE IMPACTO TUBULAR HEXAGONAL ENCASTRE 3/4&quot; DE 22 MM"/>
        <filter val="TAPON CAP SOLDABLE F°N° 3&quot; SCH-40"/>
        <filter val="TUBO DE PVC SAP PESADO DE 2&quot; X 3 M"/>
        <filter val="TOMACORRIENTE VISIBLE 32 AMP 2P+T 250V AZUL 6H IP44 CODIGO 1369"/>
        <filter val="GENERADOR ELECTRICO 3300KW MODELO: GG3400-PER"/>
        <filter val="CONDUCTOR CU DESNUDO, CABLEADO 50 MM2, 19 HILOS TEMPLE BLANDO"/>
        <filter val="TUERCA BUSHING HIERRO C/AISL. C/PUESTA A TIERRA UL DE 4&quot;"/>
        <filter val="NIPLE PVC 1&quot; X 4&quot; ROSCADO"/>
        <filter val="REDUCCION CAMPANA FIERRO NEGRO CLASS150 UL/FM 3&quot; X 1 1/4&quot;"/>
        <filter val="DADO DE IMPACTO TUBULAR HEXAGONAL ENCASTRE 3/4&quot; DE 1 7/16&quot;"/>
        <filter val="CINTILLO AMARRACABLE 100 X 2.5MM X 100 UND - COLOR BLANCO"/>
        <filter val="THREADOLET - ADAPTADOR OBLICUO SOLDABLE AL TUBO Y ROSCA HEMBRA DE 3/4&quot;"/>
        <filter val="TIJERA CORTA LATA"/>
        <filter val="CURVA CONDUIT DE 1/2&quot; X 90°"/>
        <filter val="FORMADOR DE EMPAQUETADURA 143 GM"/>
        <filter val="PERNO CAB. HEXAGONAL A°G° 5/8&quot; X 1 1/2&quot; C/ TUERCA Y ARANDELA PLANA Y PRESION"/>
        <filter val="LLAVE MIXTA BOCA/CORONA DE 46 MM"/>
        <filter val="TUBO DE PVC SAP PESADO DE 1 1/2&quot; X 3 M"/>
        <filter val="INTERRUPTOR TERMOMAGNÉTICO 2X16A 20/6KA 230/400V TIPO C DIN"/>
        <filter val="LIJA DE AGUA #400"/>
        <filter val="TORNILLO STOVE-BOLT DE A°G° DE 3/16&quot; X 1/2&quot;  C/ TUERCA, ARAND PLANA RED Y PRES"/>
        <filter val="CADENA DE ACERO GALVANIZADO 3/8&quot;"/>
        <filter val="DADO DE IMPACTO CORTO HEXAGONAL ENCASTRE 3/4&quot; DE 18 MM"/>
        <filter val="SOBRE MANILA T/A4 X 50 UND"/>
        <filter val="TUBO DE PVC SCH-40 DE 3/4&quot; X 3 M"/>
        <filter val="REDUCCION CAMPANA FIERRO GALVANIZADO 3&quot; X 2&quot; X 150 LIBRAS UL/FM"/>
        <filter val="CINTA MAGNETICA ADHESIVA DE 1&quot;"/>
        <filter val="LAPICERO TRILUX # 035 COLOR ROJO"/>
        <filter val="MOTA PARA PIZARRA ACRILICA"/>
        <filter val="PULSERA ANTIESTATICA MD ZD-152"/>
        <filter val="LAMPA CUCHARA GRANDE C/ MANGO DE MADERA - ANTICHISPA"/>
        <filter val="CAJA DE REGISTRO DE CONCRETO C/TAPA P/PUESTA A TIERRA 40.5X40.5X30 CM"/>
        <filter val="CABLE HDMI (MACHO) - HDMI (MACHO) X 6 M"/>
        <filter val="CREMA PARA QUEMADURAS"/>
        <filter val="BOLSA DE BASURA X 100 UND DE 140 L COLOR AZUL"/>
        <filter val="ESTUCHE PARA KIT ANTIDERRAME"/>
        <filter val="TORNILLO AUTOPERFORANTE PUNTA FINA #8 X 1&quot; CON ARANDELA DE NEOPRENO"/>
        <filter val="LETRERO SEÑALIZACION ACRILICO 0.60 M X 0.40 M &quot;USO OBLIGATORIO ARNES SEGURIDAD&quot;"/>
        <filter val="PERNO DE EXPANSION 1/2&quot; X 2 3/4&quot; C/ TUERCA Y ARANDELA PLANA Y PRESION"/>
        <filter val="TAPON HEMBRA ROSCADO DE A°G° DE 3/4&quot;"/>
        <filter val="DADO DE IMPACTO TUBULAR HEXAGONAL ENCASTRE 1/2&quot; DE 21 MM"/>
        <filter val="PERNO CAB. HEXAGONAL INOX 304 3/8&quot; X 1&quot; C/ TUERCA Y ARANDELA PLANA Y PRESION"/>
        <filter val="PEINE PARA TARRAJA 12 R DE 3/4&quot;"/>
        <filter val="LLAVE MIXTA BOCA/CORONA DE 22 MM"/>
        <filter val="LAVAOJOS PORTATIL AVLIS LP075"/>
        <filter val="ESCOBILLA DE ACERO 3 X 11 C/ MANGO DE MADERA"/>
        <filter val="ACOPLE TIPO GARRA ROSCADO EXTERIOR DE 3/4&quot;"/>
        <filter val="ARANDELA PLANA REDONDA DE F°G° DE 1/8&quot;"/>
        <filter val="TORNILLO AUTOPERFORANTE PUNTA BROCA #10 X 1 1/2&quot; CON ARANDELA DE NEOPRENO"/>
        <filter val="PERNO CAB. HEXAGONAL A°G° 3/8&quot; X 2 1/2&quot; C/ TUERCA Y ARANDELA PLANA Y PRESION"/>
        <filter val="PICOTA DE GEOLOGO DE 18 CM C/ MANGO FIBRA DE VIDRIO"/>
        <filter val="ANGULO DE F°N° 1/8&quot; x 1 1/2&quot; x 6 M"/>
        <filter val="TUBO ACERO INOX. S/C SCH-40 C-304L X 6 MT. 1/2&quot; SOLDABLE"/>
        <filter val="SELLO CORTAFUEGO DE 2&quot; NPT HEMBRA. USO VERTICAL / HORIZONTAL"/>
        <filter val="TAPON MACHO ROSCADO DE A°G° DE 3/4&quot;"/>
        <filter val="PREFILTRO MODELO: 5N11"/>
        <filter val="MORRAL DE TIPO CINTURON PORTA HERRAMIENTAS"/>
        <filter val="INTERRUPTOR TERMOMAGNÉTICO 2X25A 10/6KA 230/400V TIPO C DIN"/>
        <filter val="U-BOLT F°G° DE 3/8&quot; PARA TUBO DE 1&quot; C/ TUERCA Y ARANDELA PLANA Y PRESION"/>
        <filter val="ADHESIVO SIKA GROUT 212 X 30 KG"/>
        <filter val="DISPENSADOR TIPO SPRAY 50 ML"/>
        <filter val="ESCOBA PEQUEÑA DE PLASTICO"/>
        <filter val="LLAVE DE IMPACTO INALÁMBRICA MODELO: GDS 18V-1050 H"/>
        <filter val="ROPA PROTECCION P/LLUVIA (T/ABRIGO) COLOR: NARANJA"/>
        <filter val="CONECTOR UNION RECTO PARA TUBING DE 1/2&quot; OD A 1/2&quot; NPT"/>
        <filter val="DISCO DE CORTE DE 7&quot; PARA MADERA"/>
        <filter val="ESLINGA DE POLYESTER DE 1&quot; X 2 M"/>
        <filter val="CONECTOR CURVO 45° HERMETICO PARA TUBERIA FLEXIBLE 1/2&quot; CON FORRO DE PVC"/>
        <filter val="PERNO CAB. HEXAGONAL F°N° 1/2&quot; X 2&quot; C/ TUERCA Y ARANDELA PLANA Y PRESION"/>
        <filter val="PERNO CAB. HEXAGONAL INOX 304 3/4&quot; X 1 3/4&quot; C/ TUERCA Y ARANDELA PLANA Y PRESION"/>
        <filter val="DISOLVENTE PARA CHEMALAC X 1 GLN"/>
        <filter val="PERNO CAB. HEXAGONAL A°G° 7/8&quot; X 4&quot; C/ TUERCA Y ARANDELA PLANA Y PRESION"/>
        <filter val="PIONER A-4 DE 2 ANILLOS (LOMO ANCHO 45MM) COLOR AZUL"/>
        <filter val="GALONERA DE PLASTICO X 5 GLN COLOR VERDE PETROLEO"/>
        <filter val="UNION UNIVERSAL PVC 1 1/2&quot; C/ ROSCA"/>
        <filter val="JUEGO DE DADOS DE 14 PZS MILIMETRICAS MODELO: 86-501"/>
        <filter val="PERNO CAB. HEXAGONAL A°G° 1/2&quot; X 4&quot; C/ TUERCA Y ARANDELA PLANA Y PRESION"/>
        <filter val="ANGULO DE F°N° 1/4&quot; x 1&quot; x 6 M"/>
        <filter val="GRAPA DE 3/8&quot; DE ACERO FORJADO MODELO: G-450"/>
        <filter val="CHALECO DRILL 05 BOL CIN REF LOGO BORD PECHO ESP ROJO SUPERVISOR OPERATIVO T: M"/>
        <filter val="CHALECO DRILL 05 BOL CIN REF LOGO BORD PECHO ESP ROJO SUPERVISOR OPERATIVO T: L"/>
        <filter val="GRAPA METALICA PARA ZUNCHO DE 3/4&quot;"/>
        <filter val="ANGULO DE F°N° 1/8&quot; x 1&quot; x 6 M"/>
        <filter val="SOLDADURA SUPERCITO E-7018 DE 3/16&quot;"/>
        <filter val="CINTA AISLANTE VINIL SUPER 35 DE 3/4&quot; X 20 MT - COLOR: AMARILLO"/>
        <filter val="TORNILLO STOVE-BOLT DE A°G° DE 3/16&quot; X 1 1/2&quot;  C/ TUERCA, ARAND PLANA RED Y PRES"/>
        <filter val="MOLDE PARA SOLDADURA ESOTERMICA TIPO X DE 4/0-2/0 AWG"/>
        <filter val="CANALETA DE PVC CON ADHESIVO 40 MM X 40 MM X 2 M"/>
        <filter val="ESTROBO DE CABLE DE ACERO DE 3/8&quot; X 2 M"/>
        <filter val="CAMILLA DE RESCATE COLOR NARANJA 4 CINTURON DE SEGURIDAD"/>
        <filter val="INTERRUPTOR TERMOMAGNÉTICO 1X20A 10/6KA 230/400V TIPO C DIN"/>
        <filter val="CINTA REFLECTIVA ROJO Y BLANCO DE 2&quot;"/>
        <filter val="PERNO CAB. HEXAGONAL F°N° 5/16&quot; X 1 1/2&quot; C/ TUERCA Y ARANDELA PLANA Y PRESION"/>
        <filter val="UNION (ADAPTADOR) DE PVC DE 3&quot; PRESION-ROSCA"/>
        <filter val="WINCHA - CINTA METRICA METALICA 5 M (FLEXOMETRO)"/>
        <filter val="YESO BLANCO P/OBRA X 20 KG"/>
        <filter val="TERMINAL AISLADO T/PIN AMARILLO 10 - 12 AWG X 100 UND"/>
        <filter val="USB DE 16 GB"/>
        <filter val="INTERRUPTOR TERMOMAGNÉTICO 1X32A 10/6KA 230/400V TIPO C DIN"/>
        <filter val="CABLE PUESTA A TIERRA CPT 14 AWG 2.5MM2 COLOR: AMAR-VERDE X 100 M"/>
        <filter val="PERNO CAB. HEXAGONAL F°N° 7/8&quot; X 2&quot; C/ TUERCA Y ARANDELA PLANA Y PRESION"/>
        <filter val="TOMACORRIENTE UNIVERSAL DOBLE 2X15A+T 250V MARFIL.DECORA"/>
        <filter val="CAT.6 MODULAR JACK RJ45 SL SERIES, COLOR AZUL"/>
        <filter val="ABRAZADERA ELECTROSOLDADA UNISTRUT DE 1/2&quot; - CUSH A CLAMP"/>
        <filter val="CALAMINA F°G° OND. 0.22MM x 0.83M x 3.60M"/>
        <filter val="ABRAZADERA P/RIEL UNISTRUT DE 2 1/2&quot;"/>
        <filter val="CHALECO DRILL 05 BOL CIN REF LOGO BORD PECHO ESP ROJO SUPERVISOR OPERATIVO T: S"/>
        <filter val="ANGULO DE F°N° 3/8&quot; x 1&quot; x 6 M"/>
        <filter val="TORNILLO STOVE-BOLT DE A°G° DE 1/8&quot; X 1 1/2&quot;  C/ TUERCA, ARAND PLANA RED Y PRES"/>
        <filter val="TUBO DE CPVC DE 1 1/4&quot; X 5 M"/>
        <filter val="CANDADO DE BRONCE ARCO NORMAL DE 70 MM"/>
        <filter val="ESCUADRA DE TOPE DE 10&quot;"/>
        <filter val="CABLE DE ARRASTRE VULCANIZADO NMT 2X10AWG 500V, X ROLLO, PRACTICABLE"/>
        <filter val="PALA DE MANO ANCHA GARDENA"/>
        <filter val="DADO DE IMPACTO CORTO HEXAGONAL ENCASTRE 1/2&quot; DE 9 MM"/>
        <filter val="CODO FIERRO GALVANIZADO DE 1/2&quot; X 45° X 150LB UL/FM"/>
        <filter val="UNION UNIVERSAL PARA CONDUIT DE 3/4&quot; C/ FORRO DE PVC HEMBRA-HEMBRA"/>
        <filter val="TUERCA HEXAGONAL ZINCADO DE 1&quot;"/>
        <filter val="REFLECTOR PORTATIL LED, OPALUX 50W, 1500LM, RECARGABLE"/>
        <filter val="ABRAZADERA AJUSTABLE ACERO INOX DE 4&quot;"/>
        <filter val="LLAVE MIXTA BOCA/CORONA DE 7 MM"/>
        <filter val="CINTA PORTACREDENCIAL (LANYARD) COLOR: NEGRO LOGO: STP"/>
        <filter val="PERNO CAB. HEXAGONAL INOX 304 1/4&quot; X 1&quot; C/ TUERCA Y ARANDELA PLANA Y PRESION"/>
        <filter val="LLANA PLANA O PLANCHA DE EMPASTAR METAL"/>
        <filter val="PLANCHA ESTRUCTURAL A-36 9.5 X 1200 X 2400 MM (3/8&quot;)"/>
        <filter val="PERNO CAB. HEXAGONAL INOX 304 7/8&quot; X 2&quot; C/ TUERCA Y ARANDELA PLANA Y PRESION"/>
        <filter val="ESPARRAGO ACERO ZINCADO DE 3/4&quot; X 1 M"/>
        <filter val="CARTULINA T-A4 COLOR NARANJA"/>
        <filter val="TRIPLAY LUPUNA DE 18 MM X 1.22 X 2.44M"/>
        <filter val="ABRAZADERA AJUSTABLE ACERO INOX DE 3&quot;"/>
        <filter val="PRENSAESTOPA DE NYLON GRIS CON UL DE 3-6.5mm"/>
        <filter val="LACA DESMOLDANTE X 5 GLN CHEMALAC"/>
        <filter val="APLICADOR DE SILICONA GIRATORIO RIGIDO REFORZADO"/>
        <filter val="NORMOGRAFO DE PLASTICO DE 4 CM X 10 CM"/>
        <filter val="ABRAZADERA AJUSTABLE ACERO INOX DE 2&quot;"/>
        <filter val="CONECTOR CURVO 45° HERMETICO PARA TUBERIA FLEXIBLE 2&quot; CON FORRO DE PVC"/>
        <filter val="LAPIZ DE CARPINTERO X 10 UND"/>
        <filter val="SOLDADURA EN FRIO A+B"/>
        <filter val="INTERRUPTOR TERMOMAGNÉTICO 2X6A 25/10KA 220DC/440AC/DC TIPO K DIN"/>
        <filter val="PERNO CAB. HEXAGONAL F°N° 3/8&quot; X 1&quot; C/ TUERCA Y ARANDELA PLANA Y PRESION"/>
        <filter val="TUERCA HEXAGONAL ZINCADO DE 5/8&quot;"/>
        <filter val="ESTACIÓN DE LIMPIEZA MODELO: S461"/>
        <filter val="GUANTES AISLANTE DE JEBE CLASE: 0 DE 1000 V"/>
        <filter val="FOCO LED CONICO PARA PERTIGA MINERA"/>
        <filter val="TALADRO ATORNILLADOR PERCUTOR MOD GSB 180-LI + LLAVE IMPACTO 18V MOD GDX 180-LI"/>
        <filter val="OXIGENO GASEOSO DE 10 M3"/>
        <filter val="UNION UNIVERSAL O TUERCA UNION ACERO INOXIDABLE 1 1/2&quot; ROSCA NPT X 150 LIB"/>
        <filter val="BOLSA DE BASURA X 100 UND DE 50 LITROS COLOR BLANCO"/>
        <filter val="BRIDA CIEGA DE 1&quot; ACERO NEGRO SOLDABLE SCH-40"/>
        <filter val="CONECTOR CURVO 90° HERMETICO PARA TUBERIA FLEXIBLE 2&quot; LIQUID TIGHT"/>
        <filter val="CINTA SCOTCH 1/2&quot; X 72 YDS."/>
        <filter val="DISCO DE CORTE METAL 4 1/2&quot; X 3/64&quot; X 7/8&quot;"/>
        <filter val="ABRAZADERA AJUSTABLE ACERO INOX DE 1&quot;"/>
        <filter val="BRIDA CIEGA DE 10&quot; ACERO NEGRO SOLDABLE SCH-40"/>
        <filter val="REDUCCION BUSHING F°N° DE 1 1/2&quot; A 1/4&quot; ROSCA NPT X 150/300 LIB"/>
        <filter val="PLATINA DE COBRE DURO DESNUDO 3X25MM 6MTS"/>
        <filter val="U-BOLT F°G° DE 1/2&quot; PARA TUBO DE 2&quot; C/ TUERCA Y ARANDELA PLANA Y PRESION"/>
        <filter val="CINTA AISLANTE VULCANIZANTE AUTOFUD. 130C 3/4&quot; X 9.1 M"/>
        <filter val="TARUGO DE PLASTICO DE 1/8&quot; X 100 UND"/>
        <filter val="ARANDELA PLANA REDONDA INOX DE 3/8&quot;"/>
        <filter val="ADAPTADOR DE IMPACTO 3/4&quot; MACHO X 1/2&quot; HEMBRA"/>
        <filter val="COMBA DE GOMA DE 10 ONZ C/ MANGO DE MADERA"/>
        <filter val="MANTA DIELECTRICA DE 1 X 1 M CLASE 3 (&lt;=26500V)"/>
        <filter val="GUANTES AISLANTE DE JEBE CLASE: 3 DE 26500 V"/>
        <filter val="TUERCA HEXAGONAL DE F°G° DE 1&quot;"/>
        <filter val="TOMACORRIENTE MONOFASICO DOBLE, 20A, 220, 2H+T 5262-I"/>
        <filter val="LINEA DE VIDA &quot;Y&quot; NYLON C/ ABS IMPACTO 1 GANCHO DE 3/4” Y 2 GANC DE 2 1/4”"/>
        <filter val="SIERRA DE COPA P/ MADERA DE 7/8&quot;-4&quot; MODELO: KM-455"/>
        <filter val="PLUMON PARA PIZARRA ACRILICA #152 COLOR AZUL"/>
        <filter val="COMBA DE ACERO FORJADO DE 12 LBS C/ MANGO DE MADERA"/>
        <filter val="VARILLA DE CU ELECTROLITICO DE 3/4&quot; X 2.40 M"/>
        <filter val="TENAZA PORTAELECTRODO DE 150 AMP"/>
        <filter val="LLAVE MIXTA BOCA/CORONA DE 11/16&quot;"/>
        <filter val="TERMINAL DE COMPRESION CAÑON CORTO 1 HUECO DE 250 MCM OJAL DE 1/2&quot; (12.5 MM )"/>
        <filter val="BOTIQUIN DE MADERA PRIMEROS AUXILIOS"/>
        <filter val="PRENSAESTOPA NIQUELADA GRIS CON UL DE 32-38MM"/>
        <filter val="DADO DE IMPACTO TUBULAR HEXAGONAL ENCASTRE 3/4&quot; DE 1 3/16&quot;"/>
        <filter val="PERNO CAB. HEXAGONAL F°N° 1/4&quot; X 1&quot; C/ TUERCA Y ARANDELA PLANA Y PRESION"/>
        <filter val="COMBA DE ACERO FORJADO DE 8 LBS C/ MANGO DE FIBRA DE VIDRIO"/>
        <filter val="TEE FIERRO NEGRO CLASS150 DE 2&quot;"/>
        <filter val="TUBO DE HDPE SDR 11 DE 3&quot;"/>
        <filter val="TORNILLO AUTOPERFORANTE PUNTA BROCA #6 X 3/4&quot; CON ARANDELA DE NEOPRENO"/>
        <filter val="UNION UNIVERSAL PARA CONDUIT F°G° DE 1/2&quot; MACHO-HEMBRA"/>
        <filter val="PERNO CAB. HEXAGONAL F°N° 1/4&quot; X 1/2&quot; C/ TUERCA Y ARANDELA PLANA Y PRESION"/>
        <filter val="CABLE PUESTA A TIERRA CPT 16 AWG 1.5MM2 COLOR: AMAR-VERDE X 100 M"/>
        <filter val="LUNAS TRANSPARENTES PLASTICA PARA CARETA DE SOLDAR"/>
        <filter val="ARANDELA DE PRESION INOX DE 1&quot;"/>
        <filter val="BOTELLA DE TINTA T504 BLACK"/>
        <filter val="GORRO DE CUERO PARA SOLDAR RES AMARILLO P/ SOLDADOR (100% CUERO)"/>
        <filter val="PEGAMENTO CEMENTO PARA CPVC X 16 ONZ 473 ML (1/8 GAL)"/>
        <filter val="CODO ACERO INOXIDABLE 1&quot; X 90° ROSCA NPT C-304"/>
        <filter val="PERNO CAB. HEXAGONAL INOX 304 1/4&quot; X 1/2&quot; C/ TUERCA Y ARANDELA PLANA Y PRESION"/>
        <filter val="MECHA PARA BERBIQUI DE 5/8&quot;"/>
        <filter val="TEE FIERRO NEGRO CLASS150 DE 1&quot;"/>
        <filter val="GUANTES AISLANTE DE JEBE CLASE: 1 DE 7500 V"/>
        <filter val="LIMPIA TODO 5 L"/>
        <filter val="TUERCA ACOPLE DE 5/8&quot; P/VARILLA ROSCADA DE 5/8&quot; GALVANIZADA"/>
        <filter val="ALICATE PRENSA TERMINAL MANUAL OJAL"/>
        <filter val="INTERRUPTOR TERMOMAGNÉTICO 1X4A 10/6KA 230/400V TIPO C DIN"/>
        <filter val="REGLA DE ALUMINIO PARA ALBAÑIL DE 1 1/2&quot; X 3 1/4&quot; X 6 M"/>
        <filter val="ARANDELA PLANA REDONDA INOX DE 3/4&quot;"/>
        <filter val="ESCUADRA DE TOPE DE 6&quot;"/>
        <filter val="SELLADOR SIKAFLEX 11FC PLUS CAP.300ML"/>
        <filter val="TERMINAL DE COMPRESION CAÑON LARGO 1 HUECO  DE 4/0 AWG OJAL DE 13 MM"/>
        <filter val="CONECTOR UNION RACOR PASAMURO PARA TUBING DE 3/8&quot; OD A 3/8&quot; OD"/>
        <filter val="VENDA TRIANGULAR DE TELA"/>
        <filter val="UNION CONDUIT O ACOPLADOR DE 4&quot;"/>
        <filter val="PERNO CAB. HEXAGONAL INOX 304 7/16&quot; X 1 1/2&quot; C/ TUERCA Y ARAND PLANA Y PRESION"/>
        <filter val="MOUSE INALAMBRICO"/>
        <filter val="MANTA ANTIESTATICA"/>
        <filter val="UNION (ADAPTADOR) DE PVC DE 2&quot; PRESION-ROSCA"/>
        <filter val="BRIDA CIEGA DE 4&quot; ACERO NEGRO SOLDABLE SCH-40"/>
        <filter val="BROCA HSS DE COBALTO PARA INOX DE 5/8&quot;"/>
        <filter val="HUBS MYERS DE 2&quot; UL ZINC PESADO"/>
        <filter val="TUBO CONDUIT C/FORRO DE PVC DE 1/2&quot; X 3 M"/>
        <filter val="TEE FIERRO GALVANIZADO 1 1/2&quot; ROSCA NPT X 150 LIBRAS UL/FM"/>
        <filter val="PERNO CAB. HEXAGONAL INOX 304 7/8&quot; X 2 1/2&quot; C/ TUERCA Y ARANDELA PLANA Y PRESION"/>
        <filter val="PERNO DE EXPANSION 1/4&quot; X 3 1/4&quot; C/ TUERCA Y ARANDELA PLANA Y PRESION"/>
        <filter val="UNION CONDUIT O ACOPLADOR DE 3&quot;"/>
        <filter val="DADO DE IMPACTO PUNTA (ALLEN) ENCASTRE 1/2&quot;) DE 8 MM"/>
        <filter val="CAJA CONDULET DE 2 1/2&quot; TP. LR CON TAPA Y EMPAQUE"/>
        <filter val="ESCALERA TIJERA DE FIBRA DE VIDRIO 3 PASOS CON PLATAFORMA Y BARANDA"/>
        <filter val="ALAMBRE DE PUAS X 150MT"/>
        <filter val="CARTUCHO COMBINADO MIXTO/FILTRO MODELO: 60923"/>
        <filter val="PERNO CAB. HEXAGONAL A°G° 7/8&quot; X 2&quot; C/ TUERCA Y ARANDELA PLANA Y PRESION"/>
        <filter val="TUBERIA FLEXIBLE DE 1&quot; HERMETICO C/FORRO PVC LIQUID TIGHT"/>
        <filter val="CERRADURA P/ ESCRITORIO TAMBOR CUADRADO (CHAPA)"/>
        <filter val="TUERCA HEXAGONAL INOX 304 DE 7/8&quot;"/>
        <filter val="MALLA DE SEÑALIZACION C/NARANJA X 50 YD"/>
        <filter val="LINEA DE VIDA RETRACTIL (TAMBOR) C/ CINTA POLYESTER X 3.5 M"/>
        <filter val="LAVAOJOS PORTATIL AVLIS (D001-100)"/>
        <filter val="MANTA DIELECTRICA DE 1 X 1 M CLASE 0 (&lt;=1000V)"/>
        <filter val="FRAGUADOR PROFESIONAL XL"/>
        <filter val="CINTILLO AMARRACABLE 300 X 4.8MM X 100 UND - COLOR BLANCO"/>
        <filter val="LIJA DE FIERRO #220"/>
        <filter val="UNION SIMPLE ACERO INOXIDABLE 1/4&quot; ROSCA NPT"/>
        <filter val="TALADRO ELECTRICO 750W MODELO: GSB 13-RE"/>
        <filter val="UNION A PRESION DE 3/4&quot; DE PVC"/>
        <filter val="MEGÓMETRO DIGITAL (1TΩ/500V-10TΩ/5000V) MODELO: 6305 IN"/>
        <filter val="CLIPS PEQUEÑOS X 100 UND"/>
        <filter val="PILA RECARGABLE &quot;AA&quot;"/>
        <filter val="PULPO DE CADENA DE DOS RAMALES DE 10MM - 4.250KG"/>
        <filter val="ALCOHOL MEDICINAL (MÍNIMO 70°) X LITRO"/>
        <filter val="CONECTOR UNION RECTO PARA TUBING DE 1/2&quot; OD A 1/2&quot; OD"/>
        <filter val="LLAVE MIXTA BOCA/CORONA DE 10 MM"/>
        <filter val="BASE ADHESIVA PARA SUJETAR CABLE COLOR BLANCO 20MM x 20MM X 100 UND"/>
        <filter val="TUBO DE HDPE SDR 11 DE 4&quot; X 6 M"/>
        <filter val="TUBO DE PVC SCH-40 DE 4&quot; X 3 M"/>
        <filter val="BRUÑA DE CENTRO"/>
        <filter val="LIJA PARA MADERA #60"/>
        <filter val="GUANTES QUIRURGICO"/>
        <filter val="TAPON MACHO ROSCADO DE A°G° DE 1&quot;"/>
        <filter val="UNION DE PVC PRESION-PRESION DE 2&quot; SCH-40"/>
        <filter val="REDUCCION CAMPANA FIERRO NEGRO CLASS150 UL/FM 2 1/2&quot; X 2&quot;"/>
        <filter val="REDUCCION CAMPANA FIERRO NEGRO CLASS150 UL/FM 1 1/2&quot; X 1&quot;"/>
        <filter val="TUBO DE CPVC DE 1/2&quot; X 5 M"/>
        <filter val="DADO DE IMPACTO CORTO HEXAGONAL ENCASTRE 3/4&quot; DE 1 11/16&quot;"/>
        <filter val="CAPSULA P/ SOLDADURA EXOTERMICA # 115"/>
        <filter val="CAJA DE PVC RECTANGULAR SUPERFICIE EXTERIOR PARA CABLE CANAL DE 4” X 2”"/>
        <filter val="REDUCCION BUSHING ACERO INOXIDABLE 2&quot; X 3/4&quot; ROSCA NPT C-304 X 150 LIB"/>
        <filter val="TAPON MACHO ROSCADO DE A°G° DE 2&quot;"/>
        <filter val="SOLDADURA CELLOCORD E-6011 DE 3/16&quot;"/>
        <filter val="CARRITO PORTA BALON P/ EQUIPO DE OXICORTE C/ RUEDAS"/>
        <filter val="CABLE EXTENSIÓN USB 2.0"/>
        <filter val="VALVULA DE BOLA DE 2&quot; ACERO AL CARBONO ROSCA NPT CON SISTEMA PARA BLOQUEO"/>
        <filter val="PINTURA ANTICORROSIVO ESTANDAR GRIS AA-7315"/>
        <filter val="BROCA DE 3/4&quot; X 8&quot; ENCASTRE DE 1/2&quot;SDS PLUS (CONCRETO)"/>
        <filter val="LIJA PARA MADERA #80"/>
        <filter val="PERNO DE EXPANSION 5/8&quot; X 4 1/2&quot; C/ TUERCA Y ARANDELA PLANA Y PRESION"/>
        <filter val="REDUCCION CAMPANA FIERRO GALVANIZADO 1/2&quot; X 1/4&quot; X 150 LIBRAS UL/FM"/>
        <filter val="TUBO NEGRO SCH 40 A-53/API 5L S/C 1/2&quot; X 6 M"/>
        <filter val="PLATINA F°N° DE 1/8&quot; X 2&quot; X 6 M"/>
        <filter val="TORNILLO WAFER DE 8 X 1 1/2&quot; PUNTA BROCA X 100 UND"/>
        <filter val="TUBERIA FLEXIBLE DE 3&quot; HERMETICO C/FORRO PVC LIQUID TIGHT"/>
        <filter val="ESCUADRA DE TOPE DE 8&quot;"/>
        <filter val="NIVEL DE ALUMINIO DE 18&quot;"/>
        <filter val="U-BOLT F°G° DE 3/4&quot; PARA TUBO DE 12&quot; C/ TUERCA Y ARANDELA PLANA Y PRESION"/>
        <filter val="UNION CONDUIT O ACOPLADOR DE 2&quot;"/>
        <filter val="CURVA PVC 1&quot; X 45° SAP"/>
        <filter val="ARANDELA PLANA REDONDA DE F°G° DE 1/4&quot;"/>
        <filter val="GUANTE DE JEBE DE CAÑA LARGA MOD: 14-683"/>
        <filter val="MICA TRANSPARENTE PARA CARETA FACIAL"/>
        <filter val="REDUCCION BUSHING ACERO INOXIDABLE 1&quot; X 1/2&quot; ROSCA NPT C-304 X 150 LIB"/>
        <filter val="DADO DE IMPACTO CORTO HEXAGONAL ENCASTRE 3/4&quot; DE 27 MM"/>
        <filter val="ARANDELA DE PRESION INOX DE 3/8&quot;"/>
        <filter val="DADO DE IMPACTO CORTO HEXAGONAL ENCASTRE 3/4&quot; DE 1 1/16&quot;"/>
        <filter val="TUBERIA FLEXIBLE DE 2&quot; HERMETICO C/FORRO PVC LIQUID TIGHT"/>
        <filter val="TUBO NEGRO SCH 40 A-53/API 5L S/C 1 1/2&quot; X 6 M"/>
        <filter val="SIERRA COPAS (7/8, 1 1/8, 1 3/8, 1 3/4, 2 y 2 1/2) 10 PZS MOD: 2 607 011 477"/>
        <filter val="CINTILLO AMARRACABLE 812 X9.00MM X 100 UND - COLOR BLANCO"/>
        <filter val="LINTERNA PARA CASCO 300 LUMEN MARCA: TRUPER"/>
        <filter val="HUBS MYERS DE 1 1/2&quot; UL ZINC PESADO"/>
        <filter val="VASO DE PLASTICO DESCARTABLE DE COLORES N° 7"/>
        <filter val="BROCA HSS PARA ACERO DE 11/16&quot;"/>
        <filter val="REDUCCION CAMPANA FIERRO NEGRO CLASS150 UL/FM 2 1/2&quot; X 1&quot;"/>
        <filter val="UNION CONDUIT O ACOPLADOR DE 1&quot;"/>
        <filter val="DADO DE IMPACTO CORTO HEXAGONAL ENCASTRE 1/2&quot; DE 17 MM"/>
        <filter val="PERNO CAB. HEXAGONAL A°G° 5/16&quot; X 3/4&quot; C/ TUERCA Y ARANDELA PLANA Y PRESION"/>
        <filter val="TUERCA BUSHING HIERRO C/AISL. C/PUESTA A TIERRA UL DE 1&quot;"/>
        <filter val="JUEGO DE LLAVES MIXTAS PULGADAS 3/8&quot; - 1 1/4&quot;"/>
        <filter val="NIVEL DE ALUMINIO DE 12&quot;"/>
        <filter val="ESPATULA DE 4&quot; C/ MANGO DE MADERA"/>
        <filter val="ARANDELA PLANA REDONDA DE F°G° DE 1/2&quot;"/>
        <filter val="CONCRETO FACIL FC 210 KG/CM2 X 40KG"/>
        <filter val="ADAPTADOR MAGNETICO (COPA) PARA AUTOPERFORANTE DE 5/16&quot;"/>
        <filter val="DADO DE IMPACTO TUBULAR HEXAGONAL ENCASTRE 1/2&quot; DE 17 MM"/>
        <filter val="REDUCCION CONCENTRICA SOLDABLE SCH-40 2 1/2&quot; X 1 1/2&quot;"/>
        <filter val="SIERRA DE COPA BIMETALICA DE 1&quot;"/>
        <filter val="CAJA CONDULET DE 2&quot; TP. C CON TAPA Y EMPAQUE"/>
        <filter val="PEGAMENTO CEMENTO PARA PVC COLOR AZUL X 16 ONZ 473 ML (1/8 GAL)"/>
        <filter val="GRAPA DE 7/8&quot; DE ACERO FORJADO MODELO: G-450"/>
        <filter val="TERMINAL AISLADO T/OJO AZUL 14 - 16 AWG X 100 UND"/>
        <filter val="UNION CONDUIT O ACOPLADOR DE 3/4&quot; EMT"/>
        <filter val="FROTACHO DE MADERA 18X27CM"/>
        <filter val="TERMINAL DE COMPRESION CAÑON CORTO 1 HUECO DE 2/0 AWG OJAL DE 5/16&quot; (8 MM )"/>
        <filter val="PRENSAESTOPA NIQUELADA GRIS CON UL DE 22-32MM"/>
        <filter val="TUERCA HEXAGONAL DE F°N° DE 1/4&quot;"/>
        <filter val="CINTILLO AMARRACABLE 203 X 4.8 MM X 100 UND - COLOR BLANCO"/>
        <filter val="TUERCA BUSHING HIERRO C/AISL. C/PUESTA A TIERRA UL DE 2&quot;"/>
        <filter val="CINTILLO AMARRACABLE 380 X 7.6MM X 100 UND - COLOR BLANCO"/>
        <filter val="ESLINGA DE POLYESTER DE 2&quot; X 1 M"/>
        <filter val="SIERRA DE COPA BIMETALICA DE 2&quot;"/>
        <filter val="DISPOSITIVO DE BLOQUEO PARA VALVULA MODELO: BS07A"/>
        <filter val="CAPSULA P/ SOLDADURA EXOTERMICA # 150"/>
        <filter val="INTERRUPTOR DIFERENCIAL 2X25A 300MA 230 VAC"/>
        <filter val="CODO PVC 3/4&quot; X 45° SP"/>
        <filter val="INTERRUPTOR DIFERENCIAL 4X40A 300MA 230/400VAC"/>
        <filter val="SELLANTE CORTAFUEGO SIKACRYL 620 FIRE GRIS 600ML"/>
        <filter val="PASTA MURAL"/>
        <filter val="GRILLETE DE ACERO FORJADO T/ LIRA DE 1&quot;"/>
        <filter val="INTERRUPTOR TERMOMAGNÉTICO 1X63A 10/6KA 230/400V TIPO C DIN"/>
        <filter val="PINTURA EN SPRAY COLOR: ROJO"/>
        <filter val="LIJA PARA MADERA #40"/>
        <filter val="CURVA CONDUIT DE 3/4&quot; X 90°"/>
        <filter val="NIVEL DE ALUMINIO DE 14&quot;"/>
        <filter val="DADO DE IMPACTO TUBULAR HEXAGONAL ENCASTRE 1/2&quot; DE 30 MM"/>
        <filter val="DISCO DE CORTE INOX 7&quot; X 1/8&quot; X 7/8"/>
        <filter val="THINNER ACRILICO MAESTRO"/>
        <filter val="UNION UNIVERSAL PARA CONDUIT DE 1 1/2&quot; C/ FORRO DE PVC HEMBRA-HEMBRA"/>
        <filter val="WINCHA - CINTA METRICA METALICA 10 M (FLEXOMETRO)"/>
        <filter val="CONECTOR RECTO HERMETICO PARA TUBERIA FLEXIBLE 1 1/2&quot; CON FORRO DE PVC"/>
        <filter val="USB DE 32 GB"/>
        <filter val="REDUCCION BUSHING F°N° DE 1 1/2&quot; A 1/2&quot; ROSCA NPT X 150/300 LIB"/>
        <filter val="GRASA MULTIPROPOSITO X 16 KG"/>
        <filter val="DADO DE IMPACTO CORTO HEXAGONAL ENCASTRE 3/4&quot; DE 13/16&quot;"/>
        <filter val="TUERCA HEXAGONAL DE F°N° DE 1/2&quot;"/>
        <filter val="LINEA DE VIDA &quot;Y&quot; DE ACERO SIN ABS IMPACTO 1 GANCHO DE 3/4” Y 2 GANC DE 2 1/4”"/>
        <filter val="FAJA RACHET PARA SUJECION CON GANCHOS TIPO GARRA DE 4&quot; X 9 M"/>
        <filter val="ARANDELA DE PRESION INOX DE 3/4&quot;"/>
        <filter val="CONECTOR UNION CODO DE 90° PARA TUBING DE 1/2&quot; NPT A 1/2&quot; OD"/>
        <filter val="TUBO NEGRO SCH 40 A-53/API 5L S/C 1&quot; X 6 M"/>
        <filter val="DADO DE IMPACTO CORTO HEXAGONAL ENCASTRE 1/2&quot; DE 1 1/8&quot;"/>
        <filter val="UNION CONDUIT O ACOPLADOR DE 1 1/4&quot;"/>
        <filter val="TRAJE DESCARTABLE BLANCO TYVEK TALLA: L"/>
        <filter val="TARRAJA PARA TUBO ELÉCTRICA DE 1/2&quot;-2&quot; 1700W MODELO: SQ30-2C"/>
        <filter val="TOMA ADOSABLE 32A 2P+T 250V AZUL 6H IP44"/>
        <filter val="CAJA CONDULET 3/4&quot; TIPO &quot;C&quot; C/TAPA. Y EMPAQUE"/>
        <filter val="PLATINA F°N° DE 3/16&quot; X 4&quot; X 6 M"/>
        <filter val="BOTA DE JEBE CON PUNTERA DE ACERO PLANTA NEGRA TALLA: 39"/>
        <filter val="ABRAZADERA DE BANDEJA A TUBO CONDUIT 2'' LCC"/>
        <filter val="ARANDELA PLANA REDONDA ZINCADO DE 3/8&quot;"/>
        <filter val="BOTA DE JEBE CON PUNTERA DE ACERO PLANTA NEGRA TALLA: 37"/>
        <filter val="BOTA DE JEBE CON PUNTERA DE ACERO PLANTA NEGRA TALLA: 38"/>
        <filter val="LUNAS TRANSPARENTES VIDRIO PARA CARETA DE SOLDAR"/>
        <filter val="TRAJE DESCARTABLE BLANCO TYVEK TALLA: XL"/>
        <filter val="TEE ACERO AL CARBONO DE 1&quot; SOLDABLE SCH-40"/>
        <filter val="BOTA DE JEBE CON PUNTERA DE ACERO PLANTA NEGRA TALLA: 42"/>
        <filter val="DADO DE IMPACTO CORTO HEXAGONAL ENCASTRE 1/2&quot; DE 3/8&quot;"/>
        <filter val="BOTA DE JEBE CON PUNTERA DE ACERO PLANTA NEGRA TALLA: 43"/>
        <filter val="FILTRO P/ RESPIRADOR P-100 ALTA EFICIENCIA P/ PARTICULAS MODELO: 2097"/>
        <filter val="CAJA CONDULET DE 1 1/2&quot; TP. T CON TAPA Y EMPAQUE"/>
        <filter val="BOTA DE JEBE CON PUNTERA DE ACERO PLANTA NEGRA TALLA: 40"/>
        <filter val="BOTA DE JEBE CON PUNTERA DE ACERO PLANTA NEGRA TALLA: 41"/>
        <filter val="REDUCCION BUSHING ACERO INOXIDABLE 1 1/2&quot; X 1&quot; ROSCA NPT C-304 X 150 LIB"/>
        <filter val="PIONER A-4 DE 3 ANILLOS (LOMO ANCHO 25MM) COLOR BLANCO"/>
        <filter val="BROCA HSS PARA ACERO DE 9/16&quot;"/>
        <filter val="TUBO DE PVC SCH-40 DE 1/2&quot; X 3 M"/>
        <filter val="ZUNCHO METALICO DE 5/8&quot; X 100 M"/>
        <filter val="GORRO PARA SOLDADOR DE JEAN MODELO: CHAVITO COLOR: AZUL"/>
        <filter val="UNION CONDUIT O ACOPLADOR DE 1 1/2&quot;"/>
        <filter val="PLATINA F°N° DE 1/8&quot; X 1&quot; X 6 M"/>
        <filter val="GUANTES AISLANTE DE JEBE CLASE: 2 DE 17000 V"/>
        <filter val="MANTA DIELECTRICA DE 1 X 1 M CLASE 2 (&lt;=17000V)"/>
        <filter val="TERMINAL DE COMPRESION CAÑON LARGO 2 HUECOS DE 3/0 AWG OJAL DE 1/2&quot; (12.5 MM )"/>
        <filter val="TOPE FINAL PARA RIEL DIN, E/UK"/>
        <filter val="UNION SIMPLE FIERRO GALVANIZADO 3/4&quot; CLASE 150 UL/FM"/>
        <filter val="REDUCCION DE PVC ROSCA EXTERIOR DE 1&quot;-3/4&quot;"/>
        <filter val="PERNO CAB. HEXAGONAL F°N° 3/8&quot; X 3&quot; C/ TUERCA Y ARANDELA PLANA Y PRESION"/>
        <filter val="MICA A3 426X303 MM P/ENMICADORA ESPESOR: 175 MICRAS X 100 UND"/>
        <filter val="PERNO CAB. HEXAGONAL A°G° 7/16&quot; X 1 1/2&quot; C/ TUERCA Y ARANDELA PLANA Y PRESION"/>
        <filter val="UNION CONDUIT O ACOPLADOR DE 1/2&quot;"/>
        <filter val="ARANDELA DE PRESION ZINCADO DE 1&quot;"/>
        <filter val="FORMATO &quot;LOG-FOR-STP-006 VALE SALIDA MATERIAL Y EPP&quot; T A5 AUTOCOPIATIVO 01 COPIA"/>
        <filter val="COMBA DE ACERO FORJADO DE 2 LBS C/ MANGO DE MADERA"/>
        <filter val="CONECTOR CURVO 90° HERMETICO PARA TUBERIA FLEXIBLE 2&quot; CON FORRO DE PVC"/>
        <filter val="MANGA TERMOCONTRAIBLE 50 MM - COLOR ROJO X 25 M"/>
        <filter val="ARANDELA DE PRESION DE F°N° DE 1/8&quot;"/>
        <filter val="TERMINAL AISLADO T/PIN AZUL 14 - 16 AWG X 100 UND"/>
        <filter val="BOTELLA DE TINTA COLOR: CYAN MODELO: T664220"/>
        <filter val="EXTENSION ELECTRICA ADAPTADOR 1X4X8 AWG 380V X 20 M (PLASTICO-METAL)"/>
        <filter val="ABRAZADERA AJUSTABLE ACERO INOX DE 3/4&quot;"/>
        <filter val="PISTOLA P/ CALAFATEO DE 600 ML (APLICADOR DE SILICONA)"/>
        <filter val="LINEA DE VIDA RETRACTIL (TAMBOR) C/ CINTA POLYESTER X 2 M MOD: 500877"/>
        <filter val="ABRAZADERA P/RIEL UNISTRUT DE 1/2&quot;"/>
        <filter val="CURVA PVC SAP A CAJA DE 1 1/2&quot; X 90°"/>
        <filter val="VALVULA CHECK DE BRONCE 3/4&quot;"/>
        <filter val="CALIBRADOR PIE DE REY VERNIER DE 12&quot; C/N 530-115"/>
        <filter val="UNION DE PVC PRESION-ROSCA DE 6&quot; SCH-40"/>
        <filter val="CAJA CONDULET C/FORRO DE PVC DE 2&quot; TP. LL C/TAPA. Y EMPAQUE"/>
        <filter val="TABLERO ACRILICO PORTAPAPELES T/A-4 CON MANIJA"/>
        <filter val="ARANDELA PLANA REDONDA ZINCADO DE 3/4&quot;"/>
        <filter val="REDUCCION CAMPANA FIERRO NEGRO CLASS150 UL/FM 6'' X 4''"/>
        <filter val="ARNES TIPO LINIERO DE 4 ANILLOS C/SENTADERA MODELO: L6A7H"/>
        <filter val="CONECTOR RECTO HERMETICO PARA TUBERIA FLEXIBLE 3/4&quot; CON FORRO DE PVC"/>
        <filter val="TARRAJA PARA TUBO MANUAL DE 1/2&quot;-1&quot; MODELO: TA-058"/>
        <filter val="TRAPO INDUSTRIAL DE COLORES"/>
        <filter val="TUBO DE PVC SAP PESADO DE 1&quot; X 3 M"/>
        <filter val="REDUCCION BUSHING P/CONDUIT DE 3/4&quot; A 1/2&quot;"/>
        <filter val="POLEA DE ACERO DE 1 VIA MODELO: HPB-10"/>
        <filter val="PERNO CAB. HEXAGONAL F°N° 1/4&quot; X 1 1/4&quot; C/ TUERCA Y ARANDELA PLANA Y PRESION"/>
        <filter val="DADO DE IMPACTO CORTO HEXAGONAL ENCASTRE 1/2&quot; DE 3/4&quot;"/>
        <filter val="TUBO DE CPVC DE 3/4&quot; X 5 M"/>
        <filter val="RASTRILLO DE 120 CM 14 DIENTES 35 CM ANCHO DE CABEZAL METAL C/ MANGO DE MADERA"/>
        <filter val="INTERRUPTOR DIFERENCIAL 4X25A 30MA 230/400VAC"/>
        <filter val="DISCO TIPO COPA DIAMANTADO DOBLE SEGMENTO PARA CONCRETO DE 7&quot;"/>
        <filter val="CODO ACERO AL CARBONO DE 1&quot; X 90° SOLDABLE SCH-40"/>
        <filter val="PLANCHA ESTRIADA 2.5 X 1200 X 2400 MM (3/32&quot;)"/>
        <filter val="CINTA DE ACERO INOXIDABLE DE 3/4&quot; X 30 M"/>
        <filter val="JUEGO DE DADOS DE 25 PZS PULGADAS MODELO: 86-737"/>
        <filter val="LUNAS NEGRAS PARA CARETA DE SOLDADOR N° 13"/>
        <filter val="DADO DE IMPACTO CORTO HEXAGONAL ENCASTRE 1/2&quot; DE 21 MM"/>
        <filter val="LUNAS NEGRAS PARA CARETA DE SOLDADOR N° 14"/>
        <filter val="LUNAS NEGRAS PARA CARETA DE SOLDADOR N° 10"/>
        <filter val="DISCO DE CORTE DE 4 1/2&quot; DIAMANTADO PARA CONCRETO"/>
        <filter val="LUNAS NEGRAS PARA CARETA DE SOLDADOR N° 11"/>
        <filter val="UNION SIMPLE FIERRO NEGRO 1/2&quot; CLASE 300 UL/FM"/>
        <filter val="LUNAS NEGRAS PARA CARETA DE SOLDADOR N° 12"/>
        <filter val="PIONER A-4 DE 3 ANILLOS (LOMO ANCHO 45MM) COLOR AZUL"/>
        <filter val="CODO FIERRO NEGRO 1 1/2&quot; X 90° ROSCA NPT CLASE150"/>
        <filter val="PERNO DE EXPANSION 5/8&quot; X 5&quot; C/ TUERCA Y ARANDELA PLANA Y PRESION"/>
        <filter val="REDUCCION BUSHING FIERRO GALV 1&quot; X 1/4&quot; ROSCA NPT X 150 LIBRAS UL/FM"/>
        <filter val="PERNO CAB. HEXAGONAL F°N° 5/16&quot; X 1&quot; C/ TUERCA Y ARANDELA PLANA Y PRESION"/>
        <filter val="REDUCCION BUSHING ACERO INOXIDABLE 2&quot; X 1 1/2&quot; ROSCA NPT C-304 X 150 LIB"/>
        <filter val="INTERRUPTOR TERMOMAGNÉTICO 2X20A 20/6KA 230/400V TIPO K DIN"/>
        <filter val="ARANDELA PLANA REDONDA DE F°N° DE 7/8&quot;"/>
        <filter val="INTERRUPTOR TERMOMAGNÉTICO 3X32A 20/6KA 230/400V TIPO K DIN"/>
        <filter val="AMONIO CUATERNARIO QUINTA GENERACIÓN DMQ X GAL"/>
        <filter val="TACHO DE PLASTICO DE BASURA COLOR MARRON &quot;REDISUOS ORGANICOS&quot; DE 25 LTS"/>
        <filter val="ESLINGA DE POLYESTER DE 1&quot; X 1 M"/>
        <filter val="REDUCCION BUSHING ACERO INOXIDABLE 1/2&quot; X 1/4&quot;"/>
        <filter val="CINTA DE SEÑALIZACION COLOR AMARILLO X 30MT &quot;PELIGRO HOMBRES TRABAJANDO&quot;"/>
        <filter val="PERNO CAB. HEXAGONAL F°N° 7/8&quot; X 4&quot; C/ TUERCA Y ARANDELA PLANA Y PRESION"/>
        <filter val="PLATINA DE COBRE DURO DESNUDO 10X120MM 6MTS"/>
        <filter val="DADO DE IMPACTO PUNTA (ALLEN) ENCASTRE 1/2&quot;) DE 17 MM"/>
        <filter val="TUERCA HEXAGONAL DE F°N° DE 1&quot;"/>
        <filter val="LIJA DE AGUA #320"/>
        <filter val="CAJA DE PASE CUADRADA DE PVC DE 4&quot; X 4&quot; ADOSABLE"/>
        <filter val="HUB MYERS C/FORRO DE PVC DE 1/2&quot;"/>
        <filter val="TERMINAL AISLADO T/OJO ROJO 16 - 22 AWG X 100 UND"/>
        <filter val="TORNILLO AUTOPERFORANTE PUNTA BROCA #12 X 2&quot; CON ARANDELA DE NEOPRENO"/>
        <filter val="REDUCCION BUSHING ACERO INOXIDABLE 1 1/2&quot; X 1 1/4&quot; ROSCA NPT C-304 X 150 LIB"/>
        <filter val="TUBO CONDUIT C/FORRO DE PVC DE 3/4&quot; X 3 M"/>
        <filter val="ARENA GRUESA PARA CONSTRUCCION"/>
        <filter val="DADO DE IMPACTO CORTO HEXAGONAL ENCASTRE 1/2&quot; DE 33 MM"/>
        <filter val="CUCHILLA DE OFICINA"/>
        <filter val="CANALETA RANURADA DE PVC DE 40X60MM X 2 M"/>
        <filter val="FROTACHO DE PLASTICO PARA ACABADO (SABLE) 18&quot;"/>
        <filter val="BARRA LUMINOSA DE SEÑALIZACION COLOR: NARANJA"/>
        <filter val="CURVA PVC 6&quot; X 90° SAP"/>
        <filter val="REDUCCION BUSHING P/CONDUIT DE 2&quot; A 1 1/2&quot;"/>
        <filter val="DADO DE IMPACTO CORTO HEXAGONAL ENCASTRE 3/4&quot; DE 1 5/16&quot;"/>
        <filter val="FORMON PARA MADERA DE 3/8&quot;"/>
        <filter val="PLATINA DE COBRE DURO DESNUDO 3X15MM 6MTS"/>
        <filter val="PERNO CAB. HEXAGONAL INOX 304 1/4&quot; X 3/4&quot; C/ TUERCA Y ARANDELA PLANA Y PRESION"/>
        <filter val="DADO DE IMPACTO CORTO HEXAGONAL ENCASTRE 3/4&quot; DE 22 MM"/>
        <filter val="TAPON MACHO ROSCADO P/TUBO CONDUIT DE 1/2&quot;"/>
        <filter val="DESARMADOR ESTRELLA 1/4&quot; X 8&quot;"/>
        <filter val="LLAVE MIXTA BOCA/CORONA DE 27 MM"/>
        <filter val="PRENSAESTOPA DE NYLON GRIS CON UL DE 10-14MM"/>
        <filter val="ARANDELA DE PRESION DE F°G° DE 3/8&quot;"/>
        <filter val="BORNE DE TIERRA 16MM2 CON PIE METÁLICO VIKING3"/>
        <filter val="CONDUCTOR CU DESNUDO, CABLEADO 70 MM2 (2/0 AWG), 19 HILOS TEMPLE BLANDO"/>
        <filter val="CAMISA P/CABALLERO MANGA LARGA COLOR CELESTE LOGO: STP TALLA: S"/>
        <filter val="CAMISA P/CABALLERO MANGA LARGA COLOR CELESTE LOGO: STP TALLA: M"/>
        <filter val="UNION UNIVERSAL O TUERCA UNION FIERRO NEGRO 1/2&quot; CLASE 300"/>
        <filter val="CABLE P/SOLDADURA 2/0 AWG 600V ISLAM.GOMA/CAUCHO, CL6"/>
        <filter val="PERNO DE EXPANSION 3/8&quot; X 4&quot; C/ TUERCA Y ARANDELA PLANA Y PRESION"/>
        <filter val="PLANCHA DE DRYWALL 1.22 X 2.44 X 1/2&quot; HR PLANCHA DE YESO"/>
        <filter val="PIONER A-4 DE 2 ANILLOS (LOMO ANCHO 45MM) COLOR BLANCO"/>
        <filter val="CAMISA P/CABALLERO MANGA LARGA COLOR CELESTE LOGO: STP TALLA: L"/>
        <filter val="ADAPTADOR MAGNETICO (COPA) PARA AUTOPERFORANTE DE 1/2&quot;"/>
        <filter val="TERMINAL DE COMPRESION CAÑON LARGO 1 HUECO  DE 1/0 AWG OJAL DE 13 MM"/>
        <filter val="ESPARRAGO ACERO NEGRO B7 ESTRUCTURAL A 325 DE 5/8&quot; X 1 M"/>
        <filter val="PRENSAESTOPA PARA TUBERÍA CORRUGADA 1/2&quot; GRIS"/>
        <filter val="CINTA DE SEÑALIZACION COLOR ROJO X 30MT &quot;PELIGRO HOMBRES TRABAJANDO&quot;"/>
        <filter val="LLAVE MIXTA BOCA/CORONA DE 15 MM"/>
        <filter val="RESINA DE ANCAJE QUIMICO Sika AnchorFix®-2"/>
        <filter val="DADO DE IMPACTO CORTO HEXAGONAL ENCASTRE 3/4&quot; DE 1 15/16&quot;"/>
        <filter val="NIPLE A°G° DE 1/2&quot; X 4&quot; ISO 65"/>
        <filter val="TEE FIERRO GALVANIZADO 1&quot; ROSCA NPT X 150 LIBRAS UL/FM"/>
        <filter val="TUBO FIERRO GALVANIZADO DE 1/2&quot; SCH-40"/>
        <filter val="REDUCCION BUSHING P/CONDUIT DE 2&quot; A 1 1/4&quot;"/>
        <filter val="LLAVE MIXTA BOCA/CORONA DE 3/4&quot;"/>
        <filter val="LLAVE MIXTA BOCA/CORONA DE 9/16&quot;"/>
        <filter val="U-BOLT F°G° DE 1/2&quot; PARA TUBO DE 4&quot; C/ TUERCA Y ARANDELA PLANA Y PRESION"/>
        <filter val="PLATINA DE COBRE DURO DESNUDO 5X20MM 6MTS"/>
        <filter val="CABLE UNIPOLAR THW DE 12 AWG 750VCA AISLAMIENTO PVC COLOR: ROJO"/>
        <filter val="CURVA PVC 3&quot; X 45° SAP"/>
        <filter val="CONDUCTOR CU DESNUDO, CABLEADO 50 MM2 (1/0 AWG), 7 HILOS TEMPLE BLANDO"/>
        <filter val="ANGULO DE F°N° 3/8&quot; x 2&quot; x 6 M"/>
        <filter val="BARRERA PLASTICA NEW JERSEY DE 1000X400X700CM COLOR: ROJO"/>
        <filter val="LLAVE MIXTA BOCA/CORONA DE 3/8&quot;"/>
        <filter val="RODILLO DE SILICONA DE 40 MM"/>
        <filter val="LIJA DE AGUA #360"/>
        <filter val="CARETA PARA SOLDAR OPTECH"/>
        <filter val="OCHAVO DE MADERA 3/4&quot; X 3/4&quot; X 3 M"/>
        <filter val="CAJA CONDULET DE 2&quot; TP. LB CON TAPA Y EMPAQUE"/>
        <filter val="REDUCCION CAMPANA FIERRO NEGRO CLASS150 UL/FM 3/4&quot; X 1/2&quot;"/>
        <filter val="REDUCCION DE PVC ROSCA EXTERIOR DE 3/4&quot;-1/2&quot;"/>
        <filter val="LETRERO SEÑALIZACION ACRILICO 0.60 M X 0.40 M &quot;HOMBRES Y MAQUINAS TRABAJANDO&quot;"/>
        <filter val="BROCA DE 1/4&quot; X 8&quot; ENCASTRE DE 1/2&quot; SDS PLUS (CONCRETO)"/>
        <filter val="CODO ACERO AL CARBONO DE 3/4&quot; X 45° SOLDABLE SCH-40"/>
        <filter val="ADAPTADOR MAGNETICO (COPA) PARA AUTOPERFORANTE DE 1/4&quot;"/>
        <filter val="PERNO CAB. HEXAGONAL INOX 304 1/2&quot; X 4&quot; C/ TUERCA Y ARANDELA PLANA Y PRESION"/>
        <filter val="CODO PVC SAL 3&quot; X 45° P/ DESAGUE"/>
        <filter val="PINTURA RECUBRIDOR GRIS 1pt TC-1600"/>
        <filter val="ARANDELA DE PRESION DE F°N° DE 1/2&quot;"/>
        <filter val="CINTA MASKING TAPE 1&quot; X 40 YDS"/>
        <filter val="INTERRUPTOR TERMOMAGNÉTICO 3X40A 10/6KA 230/400V TIPO C DIN"/>
        <filter val="PERNO CAB. HEXAGONAL INOX 304 5/8&quot; X 1 1/4&quot; C/ TUERCA Y ARAND PLANA Y PRESION"/>
        <filter val="DADO DE IMPACTO TUBULAR HEXAGONAL ENCASTRE 1/2&quot; DE 1 3/8&quot;"/>
        <filter val="RECOGEDOR DE BASURA DE METAL"/>
        <filter val="CODO FIERRO GALVANIZADO DE 1&quot; X 45° X 150LB UL/FM"/>
        <filter val="FORMON PARA MADERA DE 3/4&quot;"/>
        <filter val="TACO DE MADERA PARA FIJACION DE ANDAMIOS DE 2&quot; X 30 CM X 30 CM"/>
        <filter val="UNION (ADAPTADOR) DE PVC DE 3/4&quot; PRESION-ROSCA"/>
        <filter val="DADO DE IMPACTO TUBULAR HEXAGONAL ENCASTRE 1/2&quot; DE 12 MM"/>
        <filter val="FORMON PARA MADERA DE 1&quot;"/>
        <filter val="LLAVE MIXTA BOCA/CORONA DE 15/16&quot;"/>
        <filter val="CARETA CON ARCO ELECTRICA DE MEDIA TENSION"/>
        <filter val="BALDE DE LINIERO DE LONA DE 20 L"/>
        <filter val="APOSITOS DE GASA Y ALGODON 10X20CM"/>
        <filter val="CAJA CONDULET C/FORRO DE PVC DE 2&quot; TP. C C/TAPA. Y EMPAQUE"/>
        <filter val="THREADOLET - ADAPTADOR OBLICUO SOLDABLE AL TUBO Y ROSCA HEMBRA DE 2&quot;"/>
        <filter val="DADO DE IMPACTO TUBULAR HEXAGONAL ENCASTRE 3/4&quot; DE 7/8&quot;"/>
        <filter val="TORNILLO STOVE-BOLT DE A°G° DE 3/16&quot; X 3/4&quot;  C/ TUERCA, ARAND PLANA RED Y PRES"/>
        <filter val="TORNILLO AUTOPERFORANTE PUNTA FINA #10 X 1&quot; CON ARANDELA DE NEOPRENO"/>
        <filter val="BARNIZ ACRILICO AISLANTE MODELO: N1 X 250 ML"/>
        <filter val="DADO DE IMPACTO TUBULAR HEXAGONAL ENCASTRE 1/2&quot; DE 1 1/16&quot;"/>
        <filter val="ARANDELA DE PRESION DE F°N° DE 1/4&quot;"/>
        <filter val="SEPARADOR DE CONCRETO PLANO DE 7.5 CM X 7.5 CM"/>
        <filter val="GRILLETE DE ACERO FORJADO T/ LIRA DE 5/8&quot;"/>
        <filter val="CURVA PVC 1/2&quot; X 90° SAP"/>
        <filter val="CINTILLO AMARRACABLE 150 X 3.6MM X 100 UND - COLOR BLANCO"/>
        <filter val="CONECTOR RECTO HERMETICO PARA TUBERIA FLEXIBLE 1&quot; CON FORRO DE PVC"/>
        <filter val="UNION UNIVERSAL PARA CONDUIT F°G° DE 3/4&quot; MACHO-HEMBRA"/>
        <filter val="CHALECO DRILL 05 BOL CINTA REF LOGO BORD PECHO ESP COLOR AZUL OPERADOR TALLA: L"/>
        <filter val="CODO FIERRO GALVANIZADO DE 3/4&quot; X 90° X 150LB UL/FM"/>
        <filter val="TEE ACERO AL CARBONO DE 3/4&quot; SOLDABLE SCH-40"/>
        <filter val="DADO DE IMPACTO CORTO HEXAGONAL ENCASTRE 1/2&quot; DE 36 MM"/>
        <filter val="REDUCCION BUSHING F°N° DE 1&quot; A 1/4&quot; ROSCA NPT X 150/300 LIB"/>
        <filter val="REDUCCION CAMPANA FIERRO GALVANIZADO 1 1/2&quot; X 1 1/4&quot; X 150 LIBRAS UL/FM"/>
        <filter val="CONTRATUERCA PARA TUBO CONDUIT DE 1/2&quot;"/>
        <filter val="CONECTOR HEMBRA PARA MAQUINA DE SOLDAR 50-70MM2"/>
        <filter val="ENCHUFE 32A 2P+T 250V AZUL 6H IP44"/>
        <filter val="REDUCCION CAMPANA FIERRO NEGRO CLASS150 UL/FM 2&quot; X 1 1/2&quot;"/>
        <filter val="CONDUCTOR CU DESNUDO, CABLEADO 10 MM2 (8 AWG), TEMPLE BLANDO"/>
        <filter val="REDUCCION CAMPANA FIERRO GALVANIZADO 2&quot; X 3/4&quot; X 150 LIBRAS UL/FM"/>
        <filter val="U-BOLT F°G° DE 1/4&quot; PARA TUBO DE 1 1/2&quot; C/ TUERCA Y ARANDELA PLANA Y PRESION"/>
        <filter val="LLAVE MIXTA BOCA/CORONA DE 18 MM"/>
        <filter val="CAJA DE PASO INOX 304 1.2 MM NEMA 4X 150X150X100 MM"/>
        <filter val="TUBO RECTANGULAR LAC A500 X 3.0 MM X 6 MT. 40 X 80"/>
        <filter val="BROCA HSS PARA ACERO DE 3/4&quot;"/>
        <filter val="SUPRESOR DE PICOS - 6 TOMAS"/>
        <filter val="FOCO 12 V 21/5W DOBLE FILAMENTO"/>
        <filter val="PERNO CAB. HEXAGONAL A°G° 5/8&quot; X 1 1/4&quot; C/ TUERCA Y ARAND PLANA Y PRESION"/>
        <filter val="TERMINAL DE COMPRESION CAÑON LARGO 2 HUECOS DE 500 MCM OJAL DE 1/2&quot; (12.5 MM )"/>
        <filter val="TUBO FIERRO GALVANIZADO DE 1&quot; SCH-40"/>
        <filter val="ENCHUFE AEREO 32AMP 3P+T 415V ROJO 6H IP67"/>
        <filter val="UNION DE PVC PRESION-ROSCA DE 1&quot; SCH-40"/>
        <filter val="CAMA DE MADERA DE 1 1/2 PLZ"/>
        <filter val="RODILLO DE 5&quot; PARA PINTURA"/>
        <filter val="VARILLA DE CU ELECTROLITICO DE 3/4&quot; X 3 M"/>
        <filter val="CANAL UNISTRUT LISO 1 5/8&quot;X 7/8&quot; X 3M B- LINE"/>
        <filter val="REDUCCION PVC A PRESION DE 1 1/2&quot; A 1&quot;"/>
        <filter val="PEGAMENTO CEMENTO PARA PVC COLOR AZUL X 32 ONZ 946 ML (1/4 GAL)"/>
        <filter val="BORNE DE TIERRA 10MM2 CON PIE METÁLICO VIKING3"/>
        <filter val="BRIDA DE ACERO NEGRO SLIP ON 150 LBS DE 1&quot;"/>
        <filter val="PERNO CAB. HEXAGONAL INOX 304 5/8&quot; X 3 1/2&quot; C/ TUERCA Y ARANDELA PLANA Y PRESION"/>
        <filter val="CINTA MALLA DE FIBRA DE VIDRIO DE 2&quot; X 90 M"/>
        <filter val="CAJA DE PASO DE PVC DE 150 X 110 X 70 MM"/>
        <filter val="CAJA CONDULET 3/4&quot; TIPO &quot;LB&quot; C/TAPA. Y EMPAQUE"/>
        <filter val="BROCA HSS PARA ACERO DE 5/16&quot;"/>
        <filter val="EMPALME TUBULAR DE 18-AWG COLOR ROJO X 100 UND"/>
        <filter val="CEMENTO TIPO 1 X 42.5 KG"/>
        <filter val="TUERCA HEXAGONAL DE F°G° DE 1/4&quot;"/>
        <filter val="PLANCHA ESTRUCTURAL A-36 25.0 X 1200 X 2400 MM (1&quot;)"/>
        <filter val="CABLE UTP CAT.6A DE 4 PARES X 24 AWG ROLLO DE 100 M"/>
        <filter val="UNION SIMPLE FIERRO NEGRO 6&quot; CLASE 300 UL/FM"/>
        <filter val="LIJA AL SECO #400"/>
        <filter val="Placa separadora para borne 2.5-4mm2"/>
        <filter val="BORNE DE CONEXIÓN 6MM2 PARA 1 CONEXIÓN SIMPLE VIKING3"/>
        <filter val="TORNILLO AUTOPERFORANTE PUNTA BROCA #8 X 2&quot; CON ARANDELA DE NEOPRENO"/>
        <filter val="TUERCA HEXAGONAL INOX 316 DE 3/8&quot;"/>
        <filter val="CAJA CONDULET DE 1&quot; TP. T CON TAPA Y EMPAQUE"/>
        <filter val="CINTILLO AMARRACABLE 400 X 4.8MM X 100 UND - COLOR BLANCO"/>
        <filter val="UNION DE PVC PRESION-PRESION DE 1&quot; SCH-40"/>
        <filter val="ENCHUFE AEREO 32AMP 3P+N+T 415V ROJO 6H IP67"/>
        <filter val="LADRILLO CORTAFUEGO CFS BL"/>
        <filter val="GRAPAS 23/8 CAJA DE 5000 Und"/>
        <filter val="CAJA CONDULET DE 1&quot; TP. LL CON TAPA Y EMPAQUE"/>
        <filter val="PLATINA DE COBRE DURO DESNUDO 3X30MM 6MTS"/>
        <filter val="INTERRUPTOR DIFERENCIAL 2X63A 30MA 230 VAC"/>
        <filter val="CAJA CONDULET 3/4&quot; TIPO &quot;T&quot; C/TAPA. Y EMPAQUE"/>
        <filter val="CAPSULA P/ SOLDADURA EXOTERMICA # 200"/>
        <filter val="LINEA DE VIDA &quot;Y&quot; NYLON S/ ABS IMPACTO 1 GANCHO 3/4&quot; Y 2 GANC 3/4&quot;"/>
        <filter val="ANCLAJE QUIMICO RE-500"/>
        <filter val="BOTELLA DE TINTA COLOR: MAGENTA MODELO: T554"/>
        <filter val="CAJA CONDULET C/FORRO DE PVC DE 1 1/2&quot; TP. C C/TAPA. Y EMPAQUE"/>
        <filter val="PERNO CAB. HEXAGONAL F°N° 5/8&quot; X 2 1/2&quot; C/ TUERCA Y ARANDELA PLANA Y PRESION"/>
        <filter val="UNION DE PVC PRESION-ROSCA DE 1/2&quot; SCH-40"/>
        <filter val="ACERO CORRUGADO G60 FY=4200 KG/CM2 3/4&quot; X 9 M"/>
        <filter val="TUBO NEGRO STANDARD 2&quot; X 3.25MM X 6.40M"/>
        <filter val="NIPLE PVC 3/4&quot; X 4&quot; ROSCADO"/>
        <filter val="DADO DE IMPACTO CORTO HEXAGONAL ENCASTRE 3/4&quot; DE 2 3/8&quot;"/>
        <filter val="BORNERA DE REGLETA 2.5MM2 12 BORNES NYLBLOC BLANCO"/>
        <filter val="CONECTOR RECTO HERMETICO PARA TUBERIA FLEXIBLE 1&quot; LIQUID-TIGHT"/>
        <filter val="LIMPIADOR DE CONTACTOS QD X 16 OZ"/>
        <filter val="ACOPLE FLEXIBLE DE 8&quot; ESTILO 77"/>
        <filter val="LLAVE MIXTA BOCA/CORONA DE 55 MM"/>
        <filter val="CAJA CONDULET 3/4&quot; TIPO &quot;LR&quot; C/TAPA. Y EMPAQUE"/>
        <filter val="INTERRUPTOR TERMOMAGNÉTICO 2X63A 20/6KA 230/400V TIPO C DIN"/>
        <filter val="PLATINA DE COBRE DURO DESNUDO 5X30MM 6MTS"/>
        <filter val="PORTACINTILLO AUTOADHES 21.0 X 21.0 X 100 UND"/>
        <filter val="BARRA REDONDA LISA 1/4&quot; X 6M, A-36"/>
        <filter val="PERNO CAB. HEXAGONAL F°N° 3/4&quot; X 3&quot; C/ TUERCA Y ARANDELA PLANA Y PRESION"/>
        <filter val="REDUCCION CAMPANA FIERRO GALVANIZADO 1 1/2&quot; X 1&quot; X 150 LIBRAS UL/FM"/>
        <filter val="CAJON PORTA HERRAMIENTA METALICO GRANDE"/>
        <filter val="TERMINAL DE COMPRESION CAÑON LARGO 1 HUECO  DE 4 AWG OJAL DE 8.4 MM"/>
        <filter val="PERNO CAB. HEXAGONAL A°G° 1/2&quot; X 2&quot; C/ TUERCA Y ARANDELA PLANA Y PRESION"/>
        <filter val="PUNTA DE PISTOLAS P/ CALAFATEO SIKA"/>
        <filter val="INTERRUPTOR TERMOMAGNÉTICO 2X40A 20/6KA 230/400V TIPO C DIN"/>
        <filter val="REDUCCION CAMPANA FIERRO NEGRO CLASS150 UL/FM 2&quot; X 1 1/4&quot;"/>
        <filter val="PISO VINILICO LVT AUTOADHESIVO OLIVO CLASICO 1.5MM 3.62M2"/>
        <filter val="INTERRUPTOR TERMOMAGNÉTICO 1X16A 6KA 230/400V TIPO C DIN"/>
        <filter val="TUERCA HEXAGONAL DE F°G° DE 1/8&quot;"/>
        <filter val="LLAVE MIXTA BOCA/CORONA DE 1 9/16&quot;"/>
        <filter val="CAJA DE PASO INOX 304 1.2 MM NEMA 4X 100X100X50 MM"/>
        <filter val="PRENSAESTOPA DE NYLON GRIS CON UL DE 5-10mm"/>
        <filter val="MANGUERA JEBE Y LONA 300 PSI AIRE 3/4&quot; X 15 M C/ACOPLE GARRA AMBOS EXTREMOS"/>
        <filter val="BOTELLA DE TINTA T504 MAGENTA"/>
        <filter val="TUERCA HEXAGONAL DE F°N° DE 7/8&quot;"/>
        <filter val="TUERCA HEXAGONAL INOX 316 DE 3/4&quot;"/>
        <filter val="TORNILLO STOVE-BOLT DE A°G° DE 1/4&quot; X 1/2&quot;  C/ TUERCA, ARAND PLANA RED Y PRES"/>
        <filter val="FRENO RETRACTIL VERTICAL PARA SOGA DE 3/8&quot;"/>
        <filter val="CUCHILLA RETRACTIL"/>
        <filter val="PRENSAESTOPA DE NYLON GRIS CON UL DE 6-12MM"/>
        <filter val="AZADON LANE N° 3 DE 22 CM X 22 CM X 1 KG"/>
        <filter val="CAJA CONDULET C/FORRO DE PVC DE 1&quot; TP. LR C/TAPA. Y EMPAQUE"/>
        <filter val="ARANDELA DE PRESION DE F°G° DE 3/4&quot;"/>
        <filter val="LIGA X 1/4 LIBRA"/>
        <filter val="DADO DE IMPACTO CORTO HEXAGONAL ENCASTRE 3/4&quot; DE 34 MM"/>
        <filter val="EXTENSION PARA DADO DE IMPACTO DE 3/4&quot; X 7&quot;"/>
        <filter val="BRIDA DE ACERO NEGRO SLIP ON 150 LBS DE 8&quot;"/>
        <filter val="RODILLERA"/>
        <filter val="REDUCCION BUSHING FIERRO GALV 2&quot; X 1 1/4&quot; ROSCA NPT X 150 LIBRAS UL/FM"/>
        <filter val="CURVA PVC 2&quot; X 45° SAP"/>
        <filter val="HERVIDOR DE AGUA ELÉCTRICO DE 2 LTS"/>
        <filter val="PERNO CAB. HEXAGONAL INOX 304 3/8&quot; X 3 1/2&quot; C/ TUERCA Y ARANDELA PLANA Y PRESION"/>
        <filter val="INTERRUPTOR DOBLE"/>
        <filter val="UNION UNIVERSAL O TUERCA UNION ACERO INOXIDABLE 3/4&quot; ROSCA NPT X 150 LIB"/>
        <filter val="ALICATE PRENSA TERMINAL MANUAL TUBULAR"/>
        <filter val="PLUMON GRUESO INDELEBLE 412-S COLOR NEGRO"/>
        <filter val="BALDE PARA TRAPEAR"/>
        <filter val="ESTROBO DE CABLE DE ACERO DE 1/2&quot; X 2 M"/>
        <filter val="U-BOLT F°G° DE 1/4&quot; PARA TUBO DE 3&quot; C/ TUERCA Y ARANDELA PLANA Y PRESION"/>
        <filter val="MADERA DE 2&quot; X 2&quot; X 10'"/>
        <filter val="TUBO FIERRO GALVANIZADO DE 2&quot; STANDAR"/>
        <filter val="TRAMPA DE ACERO DE 12 X 12 CM P/ ACERO DE 5/8&quot;"/>
        <filter val="EMPAQUETADURA DE ASBESTO PARA BRIDA DE 1&quot;"/>
        <filter val="MARTILLO DE BOLA C/MANGO MADERA 16 OZ."/>
        <filter val="UNION SIMPLE ACERO INOXIDABLE 2 1/2&quot; ROSCA NPT"/>
        <filter val="CARTUCHO CONTRA VAPORES ORGANICOS Y GASES ACIDOS MODELO: 6003"/>
        <filter val="CIZALLA DE 18&quot;"/>
        <filter val="CODO ACERO AL CARBONO DE 2&quot; X 45° SOLDABLE SCH-40"/>
        <filter val="MANGA TERMOCONTRAIBLE 35 MM - COLOR NEGRO X 50 M"/>
        <filter val="TUERCA BUSHING HIERRO C/AISL. C/PUESTA A TIERRA UL DE 3/4&quot;"/>
        <filter val="MANG.TERMOCONTRAIBLE 6/3MM BLANCO"/>
        <filter val="GASA ESTERIL DE 3&quot; X 3&quot;"/>
        <filter val="UNION SIMPLE ACERO INOXIDABLE 1/2&quot; ROSCA NPT"/>
        <filter val="CINTA DE ALUMINIO ADHESIVA DE 2&quot; DE ANCHO"/>
        <filter val="ESMERIL ANGULAR AMOLADORA DE 4 1/2&quot; MODELO: GWS 9-125 P"/>
        <filter val="EMPAQUETADURA DE ASBESTO PARA BRIDA DE 2&quot;"/>
        <filter val="PINTURA EN SPRAY COLOR: PLOMO"/>
        <filter val="BRIDA DE ACERO NEGRO SLIP ON 150 LBS DE 6&quot;"/>
        <filter val="MÁQUINA DE SOLDAR INVERSORA 10-225A MODELO: MEGA FORCE 225"/>
        <filter val="CAJA DE BLOQUEO GRUPAL DE METAL COLOR ROJO"/>
        <filter val="TUERCA CON RESORTE PARA CANAL N224 1/4&quot;"/>
        <filter val="LENTES DE SEGURIDAD PARA OXICORTE"/>
        <filter val="EMPAQUETADURA DE ASBESTO PARA BRIDA DE 3&quot;"/>
        <filter val="ALCOHOLIMETRO DIGITAL MODELO: AT700"/>
        <filter val="PERNO CAB. HEXAGONAL F°N° 5/8&quot; X 3&quot; C/ TUERCA Y ARANDELA PLANA Y PRESION"/>
        <filter val="DISCO DE CORTE DE 4 1/2&quot; PARA MADERA"/>
        <filter val="TRENZA FLEXIBLE DE COBRE 0.94 X 12"/>
        <filter val="HUB MYERS C/FORRO DE PVC DE 1 1/2&quot;"/>
        <filter val="CODO FIERRO NEGRO 1'' X 90° ROSCA NPT CLASE150"/>
        <filter val="TERMINAL TUBULAR SOBREMOLDEADO, MANGUITO AISLADO - 10 AWG X 100 UND"/>
        <filter val="PERNO CAB. HEXAGONAL INOX 304 5/8&quot; X 3 3/4&quot; C/ TUERCA Y ARANDELA PLANA Y PRESION"/>
        <filter val="POST IT POP UP NEÓN SURTIDO 2X2IN, 5 PADS (500 HOJAS)"/>
        <filter val="MANGUERA TRANSPARENTE DE NIVEL DE 4 MM"/>
        <filter val="REDUCCION CONCENTRICA SOLDABLE SCH-40 2&quot; X 1&quot;"/>
        <filter val="CAPSULA P/ SOLDADURA EXOTERMICA # 250"/>
        <filter val="UNION SIMPLE FIERRO GALVANIZADO 1&quot; CLASE 150 UL/FM"/>
        <filter val="EMPAQUETADURA DE ASBESTO PARA BRIDA DE 4&quot;"/>
        <filter val="REMACHE POP 1/8&quot; X 1&quot; X 100 UND"/>
        <filter val="BRIDA DE ACERO NEGRO SLIP ON 150 LBS DE 4&quot;"/>
        <filter val="SIERRA CIRCULAR DE 7 1/4&quot; DE 1050W MODELO: M5801"/>
        <filter val="BROCA HSS PARA ACERO DE 3/8&quot;"/>
        <filter val="LAPICERO TRILUX # 035 COLOR NEGRO"/>
        <filter val="TAMPON DACTILAR COLOR AZUL (HUELLERO)"/>
        <filter val="CURVA PVC SAP A CAJA DE 3/4&quot; X 90°"/>
        <filter val="DADO DE IMPACTO TUBULAR HEXAGONAL ENCASTRE 1/2&quot; DE 5/8&quot;"/>
        <filter val="PIZARRA ACRILICA DE 2.3 X 1.36 M"/>
        <filter val="REDUCCION CONCENTRICA SOLDABLE SCH-40 4&quot; X 2 1/2&quot;"/>
        <filter val="PIONER A-4 DE 2 ANILLOS (LOMO ANCHO 65MM) COLOR AZUL"/>
        <filter val="BRIDA DE ACERO NEGRO SLIP ON 150 LBS DE 5&quot;"/>
        <filter val="PIONER A-4 DE 3 ANILLOS (LOMO ANCHO 25MM) COLOR AZUL"/>
        <filter val="GUANTE DE BADANA CAÑA LARGA"/>
        <filter val="DADO DE IMPACTO TUBULAR HEXAGONAL ENCASTRE 1/2&quot; DE 1 5/16&quot;"/>
        <filter val="CAL X 20kg"/>
        <filter val="ABRAZADERA DE BANDEJA A TUBO CONDUIT 1'' LCC"/>
        <filter val="UNION SIMPLE FIERRO GALVANIZADO 1/4&quot; CLASE 150 UL/FM"/>
        <filter val="LAVADOR DE OJO Y PIEL DE 30 ML. O 1 OZ."/>
        <filter val="SOLDADURA INOX AW E 308L-16 DE 3/32&quot;"/>
        <filter val="PERNO CAB. HEXAGONAL A°G° 5/16&quot; X 1 1/2&quot; C/ TUERCA Y ARANDELA PLANA Y PRESION"/>
        <filter val="DADO DE IMPACTO PUNTA (ALLEN) ENCASTRE 3/4&quot;) DE 22 MM"/>
        <filter val="BRIDA DE ACERO NEGRO SLIP ON 150 LBS DE 2&quot;"/>
        <filter val="CONECTOR RECTO HERMETICO PARA TUBERIA FLEXIBLE 3/4&quot; LIQUID-TIGHT"/>
        <filter val="MALETA DE HERRAMIENTAS PARA MECANICO"/>
        <filter val="CABLE XHHW-2 DE 2X14AWG, COBRE CLASEB, XLPE, PVC, 90°C, 600V"/>
        <filter val="TOMA TRIPLE PULPO O DELTA BOX AEREO 16AMP 2P+T 250V AZUL 6H IP67"/>
        <filter val="PLATINA DE COBRE DURO DESNUDO 10X60MM 6MTS"/>
        <filter val="TORNILLO AUTOPERFORANTE PUNTA FINA #10 X 1 1/2&quot; CON ARANDELA DE NEOPRENO"/>
        <filter val="DADO DE IMPACTO PUNTA (ALLEN) ENCASTRE 1/2&quot;) DE 14 MM"/>
        <filter val="TUBO NEGRO SCH 40 A-53/API 5L S/C 3/4&quot; X 6 M"/>
        <filter val="BRIDA DE ACERO NEGRO SLIP ON 150 LBS DE 3&quot;"/>
        <filter val="TOPE DE FIJACIÓN PARA BORNES RIEL PROFUNDIDAD 7.5-15MM PASO 12MM"/>
        <filter val="CLIP SOPORTE P/CARETA FACIAL"/>
        <filter val="CONECTOR RECTO HERMETICO PARA TUBERIA FLEXIBLE 1/2&quot; CON FORRO DE PVC"/>
        <filter val="NIPLE PVC 1&quot; X 3&quot; ROSCADO"/>
        <filter val="PIONER A-4 DE 2 ANILLOS (LOMO ANCHO 65MM) COLOR BLANCO"/>
        <filter val="REDUCCION BUSHING F°N° DE 2&quot; A 1/2&quot; ROSCA NPT X 150/300 LIB"/>
        <filter val="TERMINAL DE COMPRESION CAÑON LARGO 2 HUECOS DE 1/0 AWG OJAL DE 3/8&quot; (10 MM )"/>
        <filter val="ESLINGA DE POLYESTER DE 4&quot; X 6 M"/>
        <filter val="SILICONA DE ALTA TEMPERATURA 2400"/>
        <filter val="TUBO NEGRO STANDARD 1&quot; X 3.25MM X 6.40M"/>
        <filter val="CINCEL ACERO HEXAGONAL PLANO CON CAPUCHON DE 3/4&quot; X 10&quot;"/>
        <filter val="DADO DE IMPACTO CORTO HEXAGONAL ENCASTRE 3/4&quot; DE 1 9/16&quot;"/>
        <filter val="LIJA DE AGUA #600"/>
        <filter val="DADO DE IMPACTO TUBULAR HEXAGONAL ENCASTRE 1/2&quot; DE 9/16&quot;"/>
        <filter val="GRAPA DE 1/2&quot; DE ACERO FORJADO MODELO: G-450"/>
        <filter val="PLATINA DE COBRE DURO DESNUDO 5X40MM 6MTS"/>
        <filter val="CONECTOR TIERRA DE COBRE TIPO &quot;AB&quot; VARILLA DE 3/4&quot;"/>
        <filter val="DADO DE IMPACTO CORTO HEXAGONAL ENCASTRE 1/2&quot; DE 13/16&quot;"/>
        <filter val="CABLE PUESTA A TIERRA CPT 12 AWG 4MM2 COLOR: AMAR-VERDE X 100 M"/>
        <filter val="TERMINAL AISLADO T/ PIN DE 8 AWG X 100 UND"/>
        <filter val="ABRAZADERA METALICA C/ 2 OREJAS P/ TUBO DE 4&quot;"/>
        <filter val="UNION UNIVERSAL PVC 4&quot; C/ ROSCA"/>
        <filter val="GAFAS/ANTEOJOS DE SEGURIDAD, ALTIMETER, LUNA CLARA (ANTI FOG EXTREMO)"/>
        <filter val="BANNER DE 100 CM X 150 CM"/>
        <filter val="MASILLA PARA DRYWALL X 20 KG"/>
        <filter val="PERNO CAB. HEXAGONAL INOX 304 5/16 X 2&quot; C/ TUERCA Y ARANDELA PLANA Y PRESION"/>
        <filter val="ABRAZADERA P/RIEL UNISTRUT DE 1 1/2&quot;"/>
        <filter val="BROCA CON PUNTA PERFORADORA PARA MADERA DE 1/4&quot;"/>
        <filter val="CONCRETO FACIL FC 100 KG/CM2 X 40KG"/>
        <filter val="TARUGO DE PLASTICO DE 5/16&quot; X 100 UND"/>
        <filter val="ABRAZADERA P/RIEL UNISTRUT DE 6&quot;"/>
        <filter val="INTERRUPTOR TERMOMAGNÉTICO 3X16A 20/6KA 230/400V TIPO C DIN"/>
        <filter val="ABRAZADERA P/RIEL UNISTRUIT C/FORRO DE PVC DE 3/4&quot;"/>
        <filter val="ARANDELA DE PRESION INOX DE 1/8&quot;"/>
        <filter val="BROCA HSS DE COBALTO PARA INOX DE 7/16&quot;"/>
        <filter val="ABRAZADERA P/RIEL UNISTRUT DE 3&quot;"/>
        <filter val="DADO DE IMPACTO CORTO HEXAGONAL ENCASTRE 1/2&quot; DE 19 MM"/>
        <filter val="CANCAMO MACHO DE F°N° PARA IZAJE M24"/>
        <filter val="RODILLO DE 9&quot; PARA PINTURA"/>
        <filter val="CANCAMO MACHO DE F°N° PARA IZAJE M20"/>
        <filter val="CABLE A°G° DE 1&quot;Ø, 7 HILOS TIPO BOA"/>
        <filter val="BISAGRA DE 2 ALAS DE 4&quot;"/>
        <filter val="FOCO 12 V 21/5W UN FILAMENTO"/>
        <filter val="BROCA DE 1/4&quot; X 5&quot; ENCASTRE DE 1/2&quot; SDS PLUS (CONCRETO)"/>
        <filter val="INTERRUPTOR TERMOMAGNÉTICO 2X32A 10/6KA 230/400V TIPO C DIN"/>
        <filter val="BROCA CON PUNTA PERFORADORA PARA MADERA DE 1/2&quot;"/>
        <filter val="ESPARRAGO A°G° DE 3/8&quot; X 1.8 M"/>
        <filter val="CANCAMO MACHO DE F°N° PARA IZAJE M16"/>
        <filter val="UNION UNIVERSAL O TUERCA UNION ACERO INOXIDABLE 2&quot; ROSCA NPT X 150 LIB"/>
        <filter val="CANCAMO MACHO DE F°N° PARA IZAJE M12"/>
        <filter val="INTERRUPTOR TERMOMAGNÉTICO 2X50A 10/6KA 230/400V TIPO C DIN"/>
        <filter val="CANCAMO MACHO DE F°N° PARA IZAJE M10"/>
        <filter val="ABRAZADERA P/RIEL UNISTRUT DE 4&quot;"/>
        <filter val="BISAGRA DE 2 ALAS DE 3&quot;"/>
        <filter val="MOLDE PARA SOLDADURA ESOTERMICA TIPO T DE 4/0-1/0 AWG"/>
        <filter val="REDUCCION BUSHING FIERRO GALV 2&quot; X 1 1/2&quot; ROSCA NPT X 150 LIBRAS UL/FM"/>
        <filter val="CHOMPA DE LANA MODELO: JORGE CHAVEZ LOGO STP COLOR NEGRO TALLA: S"/>
        <filter val="ABRAZADERA P/RIEL UNISTRUT DE 1&quot;"/>
        <filter val="TRAJE DESCARTABLE BLANCO MACROGUARD TALLA: M"/>
        <filter val="TRAJE DESCARTABLE BLANCO MACROGUARD TALLA: L"/>
        <filter val="TUBO DE PVC SCH-80 DE 1&quot; 1/2&quot; X 3 M"/>
        <filter val="CABLE DE ARRASTRE VULCANIZADO NMT 3X10AWG 500V, X ROLLO, PRACTICABLE"/>
        <filter val="SOLDADURA SUPERCITO E-7018 DE 1/8&quot;"/>
        <filter val="BISAGRA DE 2 ALAS DE 2&quot;"/>
        <filter val="TUERCA HEXAGONAL ZINCADO DE 7/8&quot;"/>
        <filter val="PINZA AMPERIMETRICA MODELO: 376FC"/>
        <filter val="TAPA CIEGA BLANCA PARA CAJA DE TOMACORRIENTE"/>
        <filter val="DADO DE IMPACTO TUBULAR HEXAGONAL ENCASTRE 3/4&quot; DE 24 MM"/>
        <filter val="CABLE DE BATERIA PARA PASAR CORRIENTE 500 AMP"/>
        <filter val="DESARMADOR PLANO DE GOLPE X 6 PZS KAMASA"/>
        <filter val="ABRAZADERA P/RIEL UNISTRUT DE 2&quot;"/>
        <filter val="REDUCCION BUSHING F°N° DE 1/2&quot; A 3/4&quot; ROSCA NPT X 150/300 LIB"/>
        <filter val="LETRERO SEÑALIZACION ACRILICO 0.60 M X 0.40 M &quot;EXTINTOR&quot;"/>
        <filter val="TUERCA CON RESORTE PARA CANAL N224 1/2&quot;"/>
        <filter val="REGLA DE ALUMINIO PARA ALBAÑIL DE 1 1/2&quot; X 4&quot; X 6 M"/>
        <filter val="ABRAZADERA METALICA C/ 1 OREJA P/ TUBO 3/4&quot;"/>
        <filter val="TERMINAL DE COMPRESION CAÑON LARGO 1 HUECO  DE 2 AWG OJAL DE 10.5 MM"/>
        <filter val="DADO DE IMPACTO CORTO HEXAGONAL ENCASTRE 3/4&quot; DE 1 5/8&quot;"/>
        <filter val="FIRE STOP (CORTAFUEGO) SELLADOR EN SILICONA FS ONE MAX X 600 ML"/>
        <filter val="TORNILLO AUTOPERFORANTE PUNTA FINA #8 X 1 1/2&quot; CON ARANDELA DE NEOPRENO"/>
        <filter val="ARANDELA DE PRESION INOX DE 1/4&quot;"/>
        <filter val="BOLSA DE BASURA X 100 UND DE 140 L COLOR VERDE"/>
        <filter val="MAQUINA ENZUNCHADORA TENAZA Y TENSIONADOR"/>
        <filter val="HUBS MYERS DE 1/2&quot; UL ZINC PESADO"/>
        <filter val="REMACHE POP 5/32&quot; X 1/2&quot; X 100 UND"/>
        <filter val="CINTA AISLANTE VINILICA TEMFLEX DE 3/4&quot; X 18 MT MOD: 165 - COLOR VERDE"/>
        <filter val="LLAVE MIXTA BOCA/CORONA DE 1 5/16&quot;"/>
        <filter val="ARANDELA DE PRESION ZINCADO DE 3/8&quot;"/>
        <filter val="CURVA PVC SCH 40 2″ 90°"/>
        <filter val="CURVA PVC SCH 40 6&quot; 90°"/>
        <filter val="COMBA DE ACERO FORJADO DE 10 LBS C/ MANGO DE MADERA"/>
        <filter val="BROCA HSS PARA ACERO DE 5/8&quot;"/>
        <filter val="CANAL &quot;U&quot; A-36 DE 4&quot; X 2&quot; X 1/4&quot; X 6MT"/>
        <filter val="ANGULO DE F°N° 1/8&quot; x 3&quot; x 6 M"/>
        <filter val="TERMINAL DE COMPRESION CAÑON CORTO 1 HUECO DE 400 MCM OJAL DE 5/8&quot; (16 MM )"/>
        <filter val="BROCA DE 3/8&quot; X 6&quot; ENCASTRE DE 1/2&quot; SDS PLUS (CONCRETO)"/>
        <filter val="SIERRA DE COPA BIMETALICA DE 1 1/2&quot;"/>
        <filter val="ARANDELA DE PRESION INOX DE 1/2&quot;"/>
        <filter val="PILA ALCALINA &quot;AA&quot;"/>
        <filter val="TAPON CAP SOLDABLE F°N° 1 1/2&quot; SCH-40"/>
        <filter val="INTERRUPTOR TERMOMAGNÉTICO 4X32A 20/6KA 230/400V TIPO C DIN"/>
        <filter val="TUBO DE HDPE SDR 11 DE 2&quot; X 6 M"/>
        <filter val="TUBO DE PVC SCH-40 DE 6&quot; X 3 M"/>
        <filter val="VALVULA CHECK DE BRONCE 1 1/2&quot;"/>
        <filter val="CAJA CONDULET DE 2&quot; TP. LL CON TAPA Y EMPAQUE"/>
        <filter val="PERNO CAB. HEXAGONAL INOX 304 5/16&quot; X 1&quot; C/ TUERCA Y ARANDELA PLANA Y PRESION"/>
        <filter val="PRENSAESTOPA DE NYLON ROSCA NPT 1-1/4&quot; GRIS"/>
        <filter val="PANTALON DE CUERO RES AMARILLO P/ SOLDADOR (100% CUERO)"/>
        <filter val="CINTA AISLANTE 2520-3M CAMBRIC"/>
        <filter val="CADENA DE ACERO GALVANIZADO 3/16&quot;"/>
        <filter val="INTERRUPTOR TERMOMAGNÉTICO 2X20A 10/6KA 230/400V TIPO C DIN"/>
        <filter val="PERNO CAB. HEXAGONAL A°G° 1/4&quot; X 2 1/2&quot; C/ TUERCA Y ARANDELA PLANA Y PRESION"/>
        <filter val="NIPLE PVC 1/2&quot; X 4&quot; ROSCADO"/>
        <filter val="FRENO RETRACTIL VERTICAL PARA SOGA DE 1/2&quot;-9/16&quot;"/>
        <filter val="ARANDELA DE PRESION DE F°N° DE 1&quot;"/>
        <filter val="CHALINA VERDE C/LOGO STP"/>
        <filter val="LIMPIA MUEBLES NATURAL SPRAY 400 ML"/>
        <filter val="PLATINA DE COBRE DURO DESNUDO 3X20MM 6MTS"/>
        <filter val="HUB MYERS C/FORRO DE PVC DE 4&quot;"/>
        <filter val="REDUCCION BUSHING F°N° DE 2&quot; A 3/4&quot; ROSCA NPT X 150/300 LIB"/>
        <filter val="ALICATE PELACABLE AUTOMATICO"/>
        <filter val="REDUCCION CAMPANA FIERRO NEGRO CLASS150 UL/FM 3&quot; X 2 1/2&quot;"/>
        <filter val="PERNO CAB. HEXAGONAL INOX 304 1/4&quot; X 1 1/4&quot; C/ TUERCA Y ARANDELA PLANA Y PRESION"/>
        <filter val="CABLE UNIPOLAR THW DE 10 AWG 750VCA AISLAMIENTO PVC COLOR: VERDE"/>
        <filter val="TUBO FIERRO GALVANIZADO DE 2 1/2&quot; STANDAR"/>
        <filter val="PERNO CAB. HEXAGONAL A°G° 3/4&quot; X 3 1/2&quot; C/ TUERCA Y ARANDELA PLANA Y PRESION"/>
        <filter val="TUBO FIERRO GALVANIZADO DE 1 1/4&quot; STANDAR"/>
        <filter val="PERNO CAB. HEXAGONAL INOX 304 7/16&quot; X 2&quot; C/ TUERCA Y ARANDELA PLANA Y PRESION"/>
        <filter val="JABON EN GEL ANTIBACTERIAL X 360 ML"/>
        <filter val="PERNO CAB. HEXAGONAL F°N° 3/4&quot; X 2 1/2&quot; C/ TUERCA Y ARANDELA PLANA Y PRESION"/>
        <filter val="SOGA NYLON T/ DRIZA DE 5/16&quot; X 29 M"/>
        <filter val="MANGUERA POLYURETHANE TUBING O.D. DE 1/2&quot; X 100 M MODELO: TIU-B 13 B-100-X3"/>
        <filter val="CABLE DE RED UTP CAT 5"/>
        <filter val="DADO DE IMPACTO CARDANICO ENCASTRE DE 1/2&quot; DE 1/2&quot;"/>
        <filter val="BROCA HSS PARA ACERO DE 3/16&quot;"/>
        <filter val="ARANDELA DE PRESION ZINCADO DE 3/4&quot;"/>
        <filter val="VALVULA COMPUERTA DE BRONCE 3/4&quot;"/>
        <filter val="PERNO CAB. HEXAGONAL F°N° 5/16&quot; X 2 1/2&quot; C/ TUERCA Y ARANDELA PLANA Y PRESION"/>
        <filter val="CABLE UNIPOLAR THW DE 14 AWG 750VCA AISLAMIENTO PVC COLOR: ROJO"/>
        <filter val="CODO PVC SAL 2&quot; X 45° P/ DESAGUE"/>
        <filter val="DADO DE IMPACTO CORTO HEXAGONAL ENCASTRE 3/4&quot; DE 41 MM"/>
        <filter val="PERNO CAB. HEXAGONAL F°N° 5/16 X 2&quot; C/ TUERCA Y ARANDELA PLANA Y PRESION"/>
        <filter val="PERNO CAB. HEXAGONAL INOX 304 3/4&quot; X 3 1/2&quot; C/ TUERCA Y ARANDELA PLANA Y PRESION"/>
        <filter val="FRANELA"/>
        <filter val="PERNO DE EXPANSION 1/2&quot; X 3&quot; C/ TUERCA Y ARANDELA PLANA Y PRESION"/>
        <filter val="ESPATULA DE 3&quot; C/ MANGO DE MADERA"/>
        <filter val="CINCEL ANCHO SDS MAX 115 X 350 MM"/>
        <filter val="FOCO HALOGENO DE 12V 65W P20d"/>
        <filter val="UNION UNIVERSAL PARA CONDUIT F°G° DE 2 1/2&quot; HEMBRA - HEMBRA"/>
        <filter val="INTERRUPTOR TERMOMAGNÉTICO 3X4A 20/6KA 230/400V TIPO C DIN"/>
        <filter val="PERNO CAB. HEXAGONAL INOX 304 7/16&quot; X 1&quot; C/ TUERCA Y ARANDELA PLANA Y PRESION"/>
        <filter val="JUEGO DE MACHO ROSCA NPT DE 1/2&quot; X 03 UND"/>
        <filter val="REDUCCION BUSHING FIERRO GALV 3/4&quot; X 1/4&quot; ROSCA NPT X 150 LIBRAS UL/FM"/>
        <filter val="CLIP DE SUJECION PARA GRATING"/>
        <filter val="PERNO DE EXPANSION 3/4&quot; X 8 1/2&quot; C/ TUERCA Y ARANDELA PLANA Y PRESION"/>
        <filter val="CABLE A°G° DE 1/8&quot;Ø, 7 HILOS TIPO BOA"/>
        <filter val="PERNO CAB. HEXAGONAL A°G° 7/16&quot; X 4&quot; C/ TUERCA Y ARANDELA PLANA Y PRESION"/>
        <filter val="CINTILLO AMARRACABLE 300 X 3.6MM X 100 UND - COLOR BLANCO"/>
        <filter val="REDUCCION PVC A PRESION DE 2&quot; A 1 1/2&quot;"/>
        <filter val="TORNILLO AUTOPERFORANTE PUNTA FINA #10 X 3/4&quot; CON ARANDELA DE NEOPRENO"/>
        <filter val="REDUCCION CAMPANA FIERRO NEGRO CLASS150 UL/FM 2&quot; X 1&quot;"/>
        <filter val="ABRAZADERA P/RIEL UNISTRUT C/FORRO DE PVC DE 1 1/2&quot;"/>
        <filter val="PLACA SEPARADORA LONG 60 MM ANC 2 MM ALT 48,9 MM GRIS MOD ATP-UK 5-MTK 3004210"/>
        <filter val="MANGA TERMOCONTRAIBLE 35 MM - COLOR VERDE X 50 M"/>
        <filter val="CONECTOR CURVO 90° HERMETICO PARA TUBERIA FLEXIBLE 1/2&quot; CON FORRO DE PVC"/>
        <filter val="LIBRETA DE APUNTES EMPASTADA"/>
        <filter val="MEDIDOR DE ESPESOR DE PINTURA MODELO: ST-01"/>
        <filter val="BARRETA DE ACERO HEXAGONAL PUNTA/PLANA DE 1&quot; X 1.80 M"/>
        <filter val="REDUCCION BUSHING FIERRO GALV 1 1/2&quot; X 1 1/4&quot; ROSCA NPT X 150 LIBRAS UL/FM"/>
        <filter val="BOQUILLA DE GAS PROPANO MARCA: VICTOR N° 02"/>
        <filter val="BOQUILLA DE GAS PROPANO MARCA: VICTOR N° 03"/>
        <filter val="CASCO DIELECTRICO BLANCO C/SUSPENSION MODELO: H700"/>
        <filter val="CONECTOR RECTO HERMETICO PARA TUBERIA FLEXIBLE 1 1/2&quot; LIQUID-TIGHT"/>
        <filter val="NIPLE A°G° DE 3/4&quot; X 2&quot; ISO 65"/>
        <filter val="HUB MYERS C/FORRO DE PVC DE 1&quot;"/>
        <filter val="PERNO CAB. HEXAGONAL INOX 304 5/16 X 3&quot; C/ TUERCA Y ARANDELA PLANA Y PRESION"/>
        <filter val="CINTILLO AMARRACABLE 340 X 7.6 MM X 100 UND - COLOR BLANCO"/>
        <filter val="TEE FIERRO NEGRO CLASS150 DE 3/4&quot;"/>
        <filter val="CEPILLO PARA DRYWALL / MADERA / LAMINADOS SURFORM 5.5&quot; MOD: 21-399"/>
        <filter val="BROCA DE 3/4&quot; X 12&quot; ENCASTRE DE 1/2&quot; SDS PLUS (CONCRETO)"/>
        <filter val="LINEA DE VIDA &quot;Y&quot; DE ACERO CON ABS IMPACTO 1 GANCHO DE 3/4” Y 2 GANC DE 2 1/4”"/>
        <filter val="TABLERO ACRILICO PORTAPAPELES T/OFICIO CON CLIP"/>
        <filter val="REDUCCION BUSHING ACERO INOXIDABLE 1 1/4&quot; X 1&quot; ROSCA NPT C-304 X 150 LIB"/>
        <filter val="HUB MYERS C/FORRO DE PVC DE 2&quot;"/>
        <filter val="DADO DE IMPACTO TUBULAR HEXAGONAL ENCASTRE 1/2&quot; DE 27 MM"/>
        <filter val="TEE ACERO INOXIDABLE DE 2&quot; ROSCA NPT"/>
        <filter val="BORNE DE TIERRA, UT 4-PE 0.14-6MM2(26-10 AWG), TORNILLO, A=6.2MM 3044128"/>
        <filter val="PINTURA PARA TRAFICO MAESTRO TTP 115 F COLOR: AMARILLO"/>
        <filter val="BOQUILLA DE CERAMICA PARA SOLDAR TIG N° 8 X 10 UND"/>
        <filter val="TUBO CONDUIT PESADO F°G° DE 1 1/2&quot; X 3 M UL6 ANSI C 80.1"/>
        <filter val="BROCA DE 1/4&quot; X 6&quot; ENCASTRE DE 1/2&quot; SDS PLUS (CONCRETO)"/>
        <filter val="UNION UNIVERSAL O TUERCA UNION FIERRO NEGRO 3/4&quot; CLASE 300"/>
        <filter val="CONECTOR UNION CODO DE 90° PARA TUBING DE 1/2&quot; OD A 1/2&quot; OD"/>
        <filter val="U-BOLT F°G° DE 1/4&quot; PARA TUBO DE 1/2&quot; C/ TUERCA Y ARANDELA PLANA Y PRESION"/>
        <filter val="UNIFORME DRILL CON FORRO POLAR COLOR AZUL (CASACA+PANTALON) TALLA: XXL"/>
        <filter val="GRAPA DE 3/4&quot; DE ACERO FORJADO MODELO: G-450"/>
        <filter val="PRENSAESTOPA NIQUELADA GRIS CON UL DE 37-44MM"/>
        <filter val="CASCO DIELECTRICO AZUL C/SUSPENSION MODELO: H700"/>
        <filter val="SERRUCHO DE CARPINTERO DE 20&quot;"/>
        <filter val="REDUCCION CAMPANA FIERRO NEGRO CLASS150 UL/FM 1/2&quot; X 3/8&quot;"/>
        <filter val="PERNO DE EXPANSION 3/8&quot; X 2 3/4&quot; C/ TUERCA Y ARANDELA PLANA Y PRESION"/>
        <filter val="ESCOBILLA CIRCULAR FIERRO TRENZADO P/ESMERIL TIPO: PLANA 4 1/2&quot;"/>
        <filter val="CURVA CONDUIT DE 3&quot; X 90°"/>
        <filter val="SOLDADURA CELLOCORD E-6011 DE 3/32&quot;"/>
        <filter val="PERNO DE EXPANSION 1/2&quot; X 3 3/4&quot; C/ TUERCA Y ARANDELA PLANA Y PRESION"/>
        <filter val="CABLE XLPE/XHHW-2 DE 1CX3X8 AWG"/>
        <filter val="SOLDADURA SUPERCITO E-7018 DE 3/32&quot;"/>
        <filter val="UNION (ADAPTADOR) DE PVC DE 1&quot; PRESION-ROSCA"/>
        <filter val="U-BOLT F°G° DE 3/8&quot; PARA TUBO DE 1 1/2&quot; C/ TUERCA Y ARANDELA PLANA Y PRESION"/>
        <filter val="CANCAMO MACHO DE A°G° PARA IZAJE M12"/>
        <filter val="LAVAOJOS BOTELLA KIT X 5 001-505 500 ML"/>
        <filter val="CANCAMO MACHO DE A°G° PARA IZAJE M14"/>
        <filter val="TERMORADIADOR DE 11 CELDAS 2000W"/>
        <filter val="CANCAMO MACHO DE A°G° PARA IZAJE M10"/>
        <filter val="CABLE DE ARRASTRE VULCANIZADO NMT 3X14AWG 500V, X ROLLO, PRACTICABLE"/>
        <filter val="MANG.TERMOCONTRAIBLE 6/3MM NEGRO"/>
        <filter val="TEE FIERRO GALVANIZADO 2&quot; ROSCA NPT X 150 LIBRAS UL/FM"/>
        <filter val="CURVA PVC 3&quot; X 90° SAP"/>
        <filter val="UNION CONDUIT O ACOPLADOR DE 1&quot; C/FORRO DE PVC"/>
        <filter val="NIPLE PVC 1/2&quot; X 3&quot; ROSCADO"/>
        <filter val="REDUCCION BUSHING P/CONDUIT DE 1&quot; A 1/2&quot;"/>
        <filter val="CABLE DE ARRASTRE VULCANIZADO NMT 4X12AWG 500V, X ROLLO, PRACTICABLE"/>
        <filter val="PERNO CAB. HEXAGONAL INOX 304 1/2&quot; X 1 3/4&quot; C/ TUERCA Y ARANDELA PLANA Y PRESION"/>
        <filter val="CLAVO DE ACERO DE 2 1/2&quot;"/>
        <filter val="TERMINAL DE COMPRESION CAÑON CORTO 1 HUECO DE 2 AWG OJAL DE 1/4&quot; (6 MM )"/>
        <filter val="CHALECO DRILL 05 BOL CIN REF LOG PECHO ESP VERDE LIMON SUPERVISOR SSOMA T: L"/>
        <filter val="CHALECO DRILL 05 BOL CIN REF LOG PECHO ESP VERDE LIMON SUPERVISOR SSOMA T: M"/>
        <filter val="BROCA DE 3/4&quot; X 10&quot; ENCASTRE DE 1/2&quot; SDS PLUS (CONCRETO)"/>
        <filter val="CURVA PVC 4&quot; X 45° SAP"/>
        <filter val="DADO DE IMPACTO TUBULAR HEXAGONAL ENCASTRE 3/4&quot; DE 27 MM"/>
        <filter val="CHALECO DRILL 05 BOL CIN REF LOG PECHO ESP VERDE LIMON SUPERVISOR SSOMA T: S"/>
        <filter val="CARPA DE LONA DE 3 M X 3 M"/>
        <filter val="MANGA TERMOCONTRAIBLE 35 MM - COLOR BLANCO X 50 M"/>
        <filter val="INTERRUPTOR TERMOMAGNÉTICO 2X4A 25/10KA 220DC/440AC/DC TIPO K DIN"/>
        <filter val="ACELERADOR DE FRAGUADO SIKA 3 X 4 L"/>
        <filter val="TAMPON DACTILAR COLOR NEGRO (HUELLERO)"/>
        <filter val="INTERRUPTOR TERMOMAGNÉTICO 1X20A 6KA 230/400V TIPO C DIN"/>
        <filter val="LLAVE MIXTA BOCA/CORONA DE 1 1/16&quot;"/>
        <filter val="PERNO CAB. HEXAGONAL F°N° 3/8&quot; X 4&quot; C/ TUERCA Y ARANDELA PLANA Y PRESION"/>
        <filter val="ESPIRAL PROTECTOR D/CABLES 15 MM X 10 M (INT.13.0 MM)"/>
        <filter val="PUNTAS MAGNÉTICAS PARA TALADRO X 44 PZS"/>
        <filter val="PERNO DE EXPANSION 5/8&quot; X 6&quot; C/ TUERCA Y ARANDELA PLANA Y PRESION"/>
        <filter val="TRAPEADOR DE YUTE"/>
        <filter val="UNION DE PVC PRESION-PRESION DE 4&quot; SCH-40"/>
        <filter val="TRAJE DESCARTABLE BLANCO MACROGUARD TALLA: XL"/>
        <filter val="REDUCCION BUSHING F°N° DE 1 1/2&quot; A 1&quot; ROSCA NPT X 150/300 LIB"/>
        <filter val="ESPIRAL PROTECTOR D/CABLES 8 MM X 10 M (INT. 7.0 MM)"/>
        <filter val="CANCAMO MACHO DE A°G° PARA IZAJE M24"/>
        <filter val="CAJA CONDULET C/FORRO DE PVC DE 1 1/2&quot; TP. LL C/TAPA. Y EMPAQUE"/>
        <filter val="BROCA DE 5/8 &quot;X 8&quot; ENCASTRE DE 1/2&quot; SDS PLUS (CONCRETO)"/>
        <filter val="DADO DE IMPACTO CORTO HEXAGONAL ENCASTRE 3/4&quot; DE 50 MM"/>
        <filter val="APLICADOR HDM 500"/>
        <filter val="CANCAMO MACHO DE A°G° PARA IZAJE M20"/>
        <filter val="BARRA REDONDA LISA 1/2&quot; X 6M, A-36"/>
        <filter val="LLAVE MIXTA BOCA/CORONA DE 1 3/8&quot;"/>
        <filter val="CANCAMO MACHO DE A°G° PARA IZAJE M16"/>
        <filter val="PERNO CAB. HEXAGONAL F°N° 5/16 X 3&quot; C/ TUERCA Y ARANDELA PLANA Y PRESION"/>
        <filter val="ANGULO DE F°N° 1/8&quot; x 3/4&quot; x 6 M"/>
        <filter val="GALVANOX EN SPRAY BRILLANTE (GALV. EN FRIO) MODELO: BRIGHT ZINC 18414"/>
        <filter val="PIONER A-3 DE 3 ANILLOS (LOMO ANCHO 65MM) COLOR BLANCO"/>
        <filter val="PRECINTOS PLASTICOS DE SEGURIDAD PARA EXTINTORES"/>
        <filter val="PERNO CAB. HEXAGONAL F°N° 1/4&quot; X 3&quot; C/ TUERCA Y ARANDELA PLANA Y PRESION"/>
        <filter val="ACERO CORRUGADO G60 FY=4200 KG/CM2 1/2&quot; X 9 M"/>
        <filter val="INTERRUPTOR TERMOMAGNÉTICO 2X32A 25/10KA 220DC/440AC/DC TIPO C DIN"/>
        <filter val="LIJA AL SECO #320"/>
        <filter val="DADO DE IMPACTO TUBULAR HEXAGONAL ENCASTRE 1/2&quot; DE 15 MM"/>
        <filter val="TORNILLO AUTOPERFORANTE PUNTA BROCA #10 X 2&quot; CON ARANDELA DE NEOPRENO"/>
        <filter val="PRENSAESTOPA NIQUELADA GRIS CON UL DE 6-12MM"/>
        <filter val="PINTURA EN SPRAY COLOR: BLANCO"/>
        <filter val="PERNO CAB. HEXAGONAL A°G° 3/8&quot; X 1 1/2&quot; C/ TUERCA Y ARANDELA PLANA Y PRESION"/>
        <filter val="DADO DE IMPACTO CORTO HEXAGONAL ENCASTRE 1/2&quot; DE 7/16&quot;"/>
        <filter val="CALAMINA F°G° OND. 0.3 MM x 0.83M x 3.60M"/>
        <filter val="ENGRAPADOR 25H M-526 C/ SACAGRAPA NEGRO"/>
        <filter val="COMBA DE ACERO FORJADO DE 4 LBS C/ MANGO DE FIBRA DE VIDRIO"/>
        <filter val="SELLANTE CORTAFUEGO SIKACRYL 620 FIRE NEGRO 300ML"/>
        <filter val="REDUCCION CAMPANA FIERRO NEGRO CLASS150 UL/FM 4'' X 3''"/>
        <filter val="CURVA PVC SAP A CAJA DE 2&quot; X 90°"/>
        <filter val="TORTOL AMARRADOR DE VARILLAS DE 3/8&quot;"/>
        <filter val="BORNE DE CONEXIÓN 10MM2 PARA 1 CONEXIÓN SIMPLE VIKING3"/>
        <filter val="SUMIDERO DE 3 DE BRONCE"/>
        <filter val="PRENSAESTOPA DE NYLON GRIS CON UL DE 37-44MM"/>
        <filter val="BOTA DE JEBE &quot;MUSLERA&quot; CON PUNTA DE ACERO TALLA: 39"/>
        <filter val="BOTA DE JEBE &quot;MUSLERA&quot; CON PUNTA DE ACERO TALLA: 38"/>
        <filter val="LLAVE MIXTA BOCA/CORONA DE 7/8&quot;"/>
        <filter val="ESMERIL ANGULAR AMOLADORA DE 7&quot; MODELO: GWS 2200-180"/>
        <filter val="PLANCHA DE ACERO INOXIDABLE 316 DE 1/4&quot; X 1000 MM X 1000 MM"/>
        <filter val="BOTA DE JEBE &quot;MUSLERA&quot; CON PUNTA DE ACERO TALLA: 40"/>
        <filter val="CALIBRADOR ESPESOR 0.0038-0.889MM 32H 78-22"/>
        <filter val="VIGA &quot;H&quot; A/572/A-992 X 6 MT. - ( 20 PIES ) 14&quot; X 8.06&quot; X 53 LBS/PIE"/>
        <filter val="CINTA AISLANTE VINIL SUPER 35 DE 3/4&quot; X 20 MT - COLOR: VERDE"/>
        <filter val="PERNO CAB. HEXAGONAL F°N° 7/8&quot; X 3 1/2&quot; C/ TUERCA Y ARANDELA PLANA Y PRESION"/>
        <filter val="CAJA CONDULET C/FORRO DE PVC DE 2&quot; TP. LR C/TAPA. Y EMPAQUE"/>
        <filter val="CAJA CONDULET C/FORRO DE PVC DE 1&quot; TP. T C/TAPA. Y EMPAQUE"/>
        <filter val="LAVADO OCULAR ClNa 9 0/00 de 100ml"/>
        <filter val="BOTA DE JEBE &quot;MUSLERA&quot; CON PUNTA DE ACERO TALLA: 43"/>
        <filter val="BOTA DE JEBE &quot;MUSLERA&quot; CON PUNTA DE ACERO TALLA: 42"/>
        <filter val="BOTA DE JEBE &quot;MUSLERA&quot; CON PUNTA DE ACERO TALLA: 41"/>
        <filter val="BARRETA DE ACERO HEXAGONAL PUNTA/PLANA DE 7/8&quot; X 1.00 M"/>
        <filter val="REDUCCION BUSHING F°N° DE 2&quot; A 1 1/2&quot; ROSCA NPT X 150/300 LIB"/>
        <filter val="LIMA MEDIA CAÑA C/ MANGO DE PLASTICO"/>
        <filter val="BOTELLA DE TINTA COLOR: YELLOW MODELO: T554"/>
        <filter val="DISOLVENTE EPOXICO"/>
        <filter val="LLAVE MIXTA BOCA/CORONA DE 1 3/4&quot;"/>
        <filter val="CODO FIERRO NEGRO 2&quot; X 90° ROSCA NPT CLASE150"/>
        <filter val="CONECTOR CURVO 45° HERMETICO PARA TUBERIA FLEXIBLE 3/4&quot; CON FORRO DE PVC"/>
        <filter val="BOLSA DE BASURA X 100 UND DE 140 L COLOR MARRON"/>
        <filter val="CABLE DE REMOLQUE"/>
        <filter val="DISCO POLIFAN 4 1/2&quot; GRANO 80"/>
        <filter val="RECOGEDOR DE BASURA DE PLASTICO PEQUEÑO"/>
        <filter val="TUERCA ACOPLE DE 3/4&quot; P/VARILLA ROSCADA DE 1&quot; GALVANIZADA"/>
        <filter val="ESLINGA DE POLYESTER DE 3&quot; X 2 M"/>
        <filter val="REDUCCION BUSHING F°N° DE 3/4&quot; A 1/2&quot; ROSCA NPT X 150/300 LIB"/>
        <filter val="REDUCCION CAMPANA FIERRO GALVANIZADO 2 1/2&quot; X 1 1/2&quot; X 150 LIBRAS UL/FM"/>
        <filter val="UNION DE PVC PRESION-PRESION DE 1/2&quot; SCH-40"/>
        <filter val="VALVULA ANTIRRETORNO DE OXIGENO P/ MANOMETRO"/>
        <filter val="GUANTE DE JEBE DE CAÑA LARGA 18&quot;"/>
        <filter val="TOMA 16A 2P+T 250V AZUL 6H IP44"/>
        <filter val="COMBA DE ACERO FORJADO DE 3 LBS C/ MANGO DE MADERA"/>
        <filter val="INTERRUPTOR TERMOMAGNÉTICO 2X80A 10/6KA 230/400V TIPO C DIN"/>
        <filter val="SILBATO DE POLICIA"/>
        <filter val="PERNO CAB. HEXAGONAL F°N° 5/8&quot; X 3 3/4&quot; C/ TUERCA Y ARANDELA PLANA Y PRESION"/>
        <filter val="PERNO CAB. HEXAGONAL INOX 304 7/16&quot; X 2 1/2&quot; C/ TUERCA Y ARAND PLANA Y PRESION"/>
        <filter val="PINZA AMPERIMETRICA MODELO: 375FC"/>
        <filter val="TUBO CONDUIT C/FORRO DE PVC DE 2&quot; X 3 M"/>
        <filter val="PERNO CAB. HEXAGONAL A°G° 1/2&quot; X 2 1/2&quot; C/ TUERCA Y ARANDELA PLANA Y PRESION"/>
        <filter val="CINTILLO AMARRACABLE 610 X 9.0MM X 100 UND - COLOR BLANCO"/>
        <filter val="TAPA FINAL PARA BORNE, D-UT 2,5/10 A=2.2MM 3047028"/>
        <filter val="BRIDA CIEGA DE 6&quot; ACERO NEGRO SOLDABLE SCH-40"/>
        <filter val="LLAVE MIXTA BOCA/CORONA DE 32 MM"/>
        <filter val="CAJA CONDULET C/FORRO DE PVC DE 1&quot; TP. LL C/TAPA. Y EMPAQUE"/>
        <filter val="SEPARADOR INDEX PLASTIFICADO DE COLORES NUMERICO (1-20)"/>
        <filter val="UNION A PRESION DE 4&quot; DE PVC"/>
        <filter val="TACO DE SEGURIDAD DE MADERA PARA VEHICULO COLOR AMARILLO"/>
        <filter val="ABRAZADERA P/RIEL UNISTRUT DE 3/4&quot;"/>
        <filter val="PERNO CAB. HEXAGONAL F°N° 5/8&quot; X 1 1/2&quot; C/ TUERCA Y ARANDELA PLANA Y PRESION"/>
        <filter val="TOMACORRIENTE MONOFASICO 15A, 2POLOS + TIERRA. 250VAC NEMA 3 - 15R"/>
        <filter val="BARRA REDONDA LISA 3/8&quot; X 6M, A-36"/>
        <filter val="TUBING INOX S/C DE 1/4&quot; X 6.1 M"/>
        <filter val="MANGA TERMOCONTRAIBLE 50 MM - COLOR BLANCO X 25 M"/>
        <filter val="NIPLE PVC 3/4&quot; X 2&quot; ROSCADO"/>
        <filter val="Placa terminal para borne 2.5-10mm2 Viking3"/>
        <filter val="BOTA DE JEBE &quot;MUSLERA&quot; CON PUNTA DE ACERO TALLA: 37"/>
        <filter val="BOQUILLA PARA PRUEBA DE ALCOHOL EN ALIENTO X 100 UND"/>
        <filter val="USB DE 4 GB"/>
        <filter val="MANGA TERMOCONTRAIBLE 12 MM - COLOR VERDE X 100 M"/>
        <filter val="BARBIQUEJO DIELECTRICO P/CASCO CON MENTONERA"/>
        <filter val="DADO DE IMPACTO CORTO HEXAGONAL ENCASTRE 1/2&quot; DE 1 1/4&quot;"/>
        <filter val="LLAVE MIXTA BOCA/CORONA DE 20 MM"/>
        <filter val="NIVEL DE ALUMINIO DE 36&quot;"/>
        <filter val="TRIPLAY FENOLICO DE 12 MM X 1.22 X 2.44M CON FILM"/>
        <filter val="RESALTADOR COLOR NARANJA"/>
        <filter val="TORNILLO AUTOPERFORANTE PUNTA BROCA #6 X 2&quot; CON ARANDELA DE NEOPRENO"/>
        <filter val="CHALECO DRILL 05 BOL CIN REF LOG PECHO ESP VERDE LIMON SUPERVISOR SSOMA T: XXL"/>
        <filter val="TUBO DE ABASTO DE 1/2&quot; DE HILO TRENZADO DE LUMINIO CON REFUERZO DE NYLON"/>
        <filter val="COSTAL DE RAFIA DE 50 KG"/>
        <filter val="ARANDELA PLANA REDONDA DE F°N° DE 5/8&quot;"/>
        <filter val="MARCADOR Y/O SEÑALIZADOR TERMOCONTRAIBLE 10-16 AWG X 30 M"/>
        <filter val="CABLE A°G° DE 5/32&quot;Ø, 7 HILOS TIPO BOA"/>
        <filter val="MANGA TERMOCONTRAIBLE 25 MM - COLOR ROJO X 50 M"/>
        <filter val="PERNO CAB. HEXAGONAL INOX 304 5/8&quot; X 2 1/2&quot; C/ TUERCA Y ARANDELA PLANA Y PRESION"/>
        <filter val="ESCOBILLA DE LAVAR ROPA"/>
        <filter val="DISCO POLIFAN 4 1/2&quot; GRANO 40"/>
        <filter val="PUNTA DE ATORNILLAR + VASO Y PORTA PUNTA MAGNETICO"/>
        <filter val="NIPLE A°G° DE 1&quot; X 3&quot; ISO 65"/>
        <filter val="ARANDELA PLANA REDONDA INOX DE 5/8&quot;"/>
        <filter val="CABLE XHHW-2 3X8AWG+10AWG, COBRE CLASEB, XLPE, PVC, 90°C, 600V CÓDIGO 28150"/>
        <filter val="TOMACORRIENTE VISIBLE 32 AMP 3P+T 250 V AZUL 9H IP 44 CODIGO 1372"/>
        <filter val="TACHO DE PLASTICO DE BASURA COLOR NEGRO &quot;RESIDUOS GENERALES&quot; DE 51 LTS"/>
        <filter val="BOTELLA DE TINTA T504 CYAN"/>
        <filter val="PIZARRA ACRILICA DE 1.20 X 0.80 M"/>
        <filter val="DADO DE IMPACTO TUBULAR HEXAGONAL ENCASTRE 3/4&quot; DE 3/4&quot;"/>
        <filter val="NIPLE A°G° DE 2&quot; X 2&quot; ISO 65"/>
        <filter val="ALCOHOL MEDICINAL (MÍNIMO 70°) X GALÓN"/>
        <filter val="TUBO FIERRO GALVANIZADO DE 1 1/2&quot; SCH-40"/>
        <filter val="PEDESTAL PORTA EXTINTOR"/>
        <filter val="SIKABOND AT-METAL GRIS X 300 ML"/>
        <filter val="MANGUERA MELLIZA (DOBLE) DE 1/4&quot; P/ OXICORTE"/>
        <filter val="RODILLO DE 4&quot; PARA PINTURA"/>
        <filter val="BROCA HSS DE COBALTO PARA INOX DE 3/8&quot;"/>
        <filter val="CINTA TEFLON DE 1/2&quot;"/>
        <filter val="ELECTRODO TUNGSTENO SOLDADURA TIG WT20 EWTH-2 1/16” X 7” (1.6MMX175MM) X 10 UND"/>
        <filter val="IMPRESORA MULTIFUNCIONAL T/ A4 MODELO: L3250"/>
        <filter val="REDUCCION CAMPANA FIERRO GALVANIZADO 1 1/4&quot; X 1/2&quot; X 150 LIBRAS UL/FM"/>
        <filter val="JUEGO DE PUNZON HUECO X 9 PZS (2.5, 3, 4, 5, 6, 7, 8, 9, 10MM)"/>
        <filter val="CIZALLA DE 24&quot;"/>
        <filter val="REMACHE POP 1/8&quot; X 1/2&quot; X 100 UND"/>
        <filter val="CHOMPA DE LANA MODELO: JORGE CHAVEZ LOGO STP COLOR NEGRO TALLA: XXL"/>
        <filter val="PERNO CAB. HEXAGONAL INOX 304 5/16&quot; X 2 1/2&quot; C/ TUERCA Y ARAND PLANA Y PRESION"/>
        <filter val="LLAVE MIXTA BOCA/CORONA DE 19 MM"/>
        <filter val="DISCO POLIFAN 4 1/2&quot; GRANO 60"/>
        <filter val="FOCO NEBLINERO H3 24V 70W"/>
        <filter val="BOLSA DE BASURA X 100 UND DE 50 LITROS COLOR ROJO"/>
        <filter val="CLAVERA DE CUERO PARA CARPINTERO"/>
        <filter val="ARANDELA DE PRESION DE F°G° DE 5/8&quot;"/>
        <filter val="CUADERNO DE CARGO X 200H"/>
        <filter val="LINEA DE VIDA RETRACTIL VERTICAL C/ CABLE DE ACERO 3/16&quot; DE 3 M MOD: GJ-3"/>
        <filter val="CIRCULINA ESTROBOSCOPICA COLOR ROJO 12-48 V"/>
        <filter val="BROCA HSS PARA ACERO DE 13/16&quot;"/>
        <filter val="CODO ACERO AL CARBONO DE 1&quot; X 45° SOLDABLE SCH-40"/>
        <filter val="LLAVE MIXTA BOCA/CORONA DE 1 13/16&quot;"/>
        <filter val="BROCA MANGO CONICO HSS DE 7/8&quot;"/>
        <filter val="TEE DE PVC SAL 2&quot;"/>
        <filter val="LINEA DE VIDA NYLON S/ ABS IMPACTO 1 GANCHO 3/4&quot; Y 1 GANCHO 3/4&quot;"/>
        <filter val="PRENSA NODULAR PARA CARPINTERO TIPO &quot;C&quot; DE 8&quot;"/>
        <filter val="RETENEDOR / ADAPTADOR 502 PARA FILTROS"/>
        <filter val="CREMA ANTIBIÓTICO TÓPICO"/>
        <filter val="LLAVE MIXTA BOCA/CORONA DE 13 MM"/>
        <filter val="TUERCA HEXAGONAL DE F°N° DE 1/8&quot;"/>
        <filter val="DADO DE IMPACTO TUBULAR HEXAGONAL ENCASTRE 1/2&quot; DE 22 MM"/>
        <filter val="DADO DE IMPACTO CORTO HEXAGONAL ENCASTRE 3/4&quot; DE 19 MM"/>
        <filter val="EXTINTOR DE POLVO QUIMICO SECO DE 6 KG"/>
        <filter val="ENGRAPADOR M-634"/>
        <filter val="CONECTOR CURVO 45° HERMETICO PARA TUBERIA FLEXIBLE 1 1/2&quot; CON FORRO DE PVC"/>
        <filter val="PLATINA F°N° DE 1/2&quot; X 2 1/2&quot; X 6 M"/>
        <filter val="CAJA CONDULET C/FORRO DE PVC DE 1&quot; TP. LB C/TAPA. Y EMPAQUE"/>
        <filter val="DADO DE IMPACTO CORTO HEXAGONAL ENCASTRE 3/4&quot; DE 32 MM"/>
        <filter val="TAPON HEMBRA DE PVC ROSCADO DE 1&quot;"/>
        <filter val="CANDADO DE BRONCE ARCO NORMAL DE 30MM"/>
        <filter val="VALVULA DE BOLA DE 1&quot; ACERO AL CARBONO ROSCA NPT CON SISTEMA PARA BLOQUEO"/>
        <filter val="CINTILLO AMARRACABLE 370 X 7.6MM X 100 UND - COLOR BLANCO"/>
        <filter val="LLAVE CORONA DE 3/4&quot; CON MANGO DE COLA DE 1 1/2&quot;"/>
        <filter val="ANTIPARRA LUNAS OSCURAS ANTIEMPAÑANTES MODELO: TURBINE"/>
        <filter val="MANGA TERMOCONTRAIBLE 12 MM - COLOR BLANCO X 100 M"/>
        <filter val="TUERCA ACOPLE DE 3/4&quot; P/VARILLA ROSCADA DE 3/4&quot; GALVANIZADA"/>
        <filter val="TEE DE PVC SAL 4&quot;"/>
        <filter val="U-BOLT F°G° DE 5/8&quot; PARA TUBO DE 8&quot; C/ TUERCA Y ARANDELA PLANA Y PRESION"/>
        <filter val="BROCA HSS DE COBALTO PARA INOX DE 3/4&quot;"/>
        <filter val="TEE ACERO INOXIDABLE DE 1 1/2&quot; ROSCA NPT"/>
        <filter val="TRIPODE C/CADENA 1/8&quot; - 6&quot; MODELO: 460"/>
        <filter val="CANAL UNISTRUT LISO C/FORRO DE PVC 1 5/8&quot;X 1 5/8&quot; X 3M"/>
        <filter val="PINCEL PARA PINTAR CON MANGO DE MADERA #09"/>
        <filter val="NIPLE F°N° DE 1/2&quot; X 1&quot;"/>
        <filter val="ESPARRAGO ACERO ZINCADO DE 5/16&quot; X 1 M"/>
        <filter val="DADO DE IMPACTO TUBULAR HEXAGONAL ENCASTRE 3/4&quot; DE 33 MM"/>
        <filter val="Placa Separadora para Borne, ATP-UT 3047167"/>
        <filter val="BROCA DE 3/4&quot; X 18&quot; ENCASTRE DE 1/2&quot; SDS PLUS (CONCRETO)"/>
        <filter val="ALICATE CORTE DIAGONAL 6&quot; 1000 V"/>
        <filter val="QUITADOR DE FRAGUA"/>
        <filter val="TACHO DE PLASTICO DE BASURA COLOR BLANCO &quot;RESIDUOS PLASTICOS PET&quot; DE 51 LTS"/>
        <filter val="TEE DE PVC SAL 3&quot;"/>
        <filter val="TUBO FIERRO GALVANIZADO DE 1&quot; STANDAR"/>
        <filter val="TAPA FINAL PARA BORNE, D-UT 16 3047206"/>
        <filter val="CAJA CONDULET C/FORRO DE PVC DE 1 1/2&quot; TP. LB C/TAPA. Y EMPAQUE"/>
        <filter val="ARNES DE SEGURIDAD TIPO LINIERO MODELO: L6A7H"/>
        <filter val="PERNO CAB. HEXAGONAL A°G° 3/8&quot; X 1&quot; C/ TUERCA Y ARANDELA PLANA Y PRESION"/>
        <filter val="VALVULA DE BOLA DE PVC DE 3/4&quot; C/ ROSCA"/>
        <filter val="TAPON CAP SOLDABLE F°N° 1 1/4&quot; SCH-40"/>
        <filter val="NIPLE F°N° DE 1/2&quot; X 2&quot;"/>
        <filter val="BOTELLA DE TINTA T504 YELLOW"/>
        <filter val="REDUCCION BUSHING P/CONDUIT DE 1 1/2&quot; A 1/2&quot;"/>
        <filter val="LLAVE DE TUBO STILLSON DE 8&quot;"/>
        <filter val="PRENSA NODULAR PARA CARPINTERO TIPO &quot;C&quot; DE 4&quot;"/>
        <filter val="NIPLE A°G° DE 3/4&quot; X 1&quot; ISO 65"/>
        <filter val="UNIFORME DRILL CON FORRO POLAR COLOR AZUL (CASACA+PANTALON) TALLA: XL"/>
        <filter val="GRILLETE DE ACERO FORJADO T/ LIRA DE 7/8&quot;"/>
        <filter val="PRENSA NODULAR PARA CARPINTERO TIPO &quot;C&quot; DE 3&quot;"/>
        <filter val="PALA DOBLE P/ HACER HOYOS C/ MANGO DE MADERA"/>
        <filter val="ARANDELA DE PRESION DE F°N° DE 3/4&quot;"/>
        <filter val="NIPLE F°N° DE 1/2&quot; X 3&quot;"/>
        <filter val="TUERCA ACOPLE DE 1/2&quot; P/VARILLA ROSCADA DE 1/2&quot; GALVANIZADA"/>
        <filter val="PERNO CAB. HEXAGONAL INOX 304 7/16&quot; X 4&quot; C/ TUERCA Y ARANDELA PLANA Y PRESION"/>
        <filter val="PERNO CAB. HEXAGONAL F°N° 1/2&quot; X 4&quot; C/ TUERCA Y ARANDELA PLANA Y PRESION"/>
        <filter val="CANDADO DE BLOQUEO ARCO ALTO 40MM COLOR: ROJO"/>
        <filter val="PLACA DOBLE PARA TOMACORRIENTE"/>
        <filter val="ACOPLE TIPO GARRA ROSCADO INTERIOR DE 1/2&quot;"/>
        <filter val="PLATINA DE COBRE DURO DESNUDO 5X25MM 6MTS"/>
        <filter val="LLAVE PALANCA DADOS &quot;L&quot; ENCASTRE 3/4&quot;"/>
        <filter val="NIPLE F°N° DE 1/2&quot; X 4&quot;"/>
        <filter val="UNION DE PVC PRESION-PRESION DE 1-1/2&quot; SCH-40"/>
        <filter val="LLAVE MIXTA BOCA/CORONA DE 50 MM"/>
        <filter val="HIPOCLORITO DE SODIO (3.8 L)"/>
        <filter val="TUBERIA FLEXIBLE DE 1 1/2&quot; HERMETICO C/FORRO PVC LIQUID TIGHT"/>
        <filter val="U-BOLT F°G° DE 3/8&quot; PARA TUBO DE 4&quot; C/ TUERCA Y ARANDELA PLANA Y PRESION"/>
        <filter val="LLAVE DE TUBO STILLSON DE 6&quot;"/>
        <filter val="CINTILLO AMARRACABLE 280 X 4.8MM X 100 UND - COLOR BLANCO"/>
        <filter val="PRENSA NODULAR PARA CARPINTERO TIPO &quot;C&quot; DE 6&quot;"/>
        <filter val="LETRERO SEÑALIZACION ACRILICO 0.60 M X 0.40 M &quot;ZANJA ABIERTA&quot;"/>
        <filter val="DADO DE IMPACTO TUBULAR HEXAGONAL ENCASTRE 1/2&quot; DE 3/4&quot;"/>
        <filter val="INTERRUPTOR TERMOMAGNÉTICO 3X100A 10/6KA 230/400V TIPO C DIN"/>
        <filter val="COMPRESORA AIRE 220V/60HZ 115 PSI 0.75 HP CAP. TANQUE: 7.93 GAL MODELO: EBZ30"/>
        <filter val="CINTA DE EMBALAJE DE 2&quot; X 55 YDS"/>
        <filter val="ETIQUETAS AUTOADHESIVAS INK JET T/ A4 007-200X288 MM COLOR BLANCO X 50 UND"/>
        <filter val="TAPA FINAL PARA BORNE, D-UT 2,5/4-TWIN 3047141"/>
        <filter val="TERMINAL AISLADO T/ OJO DE 8 AWG X 100 UND"/>
        <filter val="VALVULA DE BOLA DE 1/2&quot; ACERO AL CARBONO ROSCA NPT CON SISTEMA PARA BLOQUEO"/>
        <filter val="REDUCCION PVC A PRESION DE 2&quot; A 1&quot;"/>
        <filter val="TABLERO DISTRIBUCION DE 380-415VAC 3F+T 60 Hz 4 TOMAS 63A 6H DE 500X400X200MM"/>
        <filter val="MARTILLO DE BOLA C/MANGO MADERA 24 OZ."/>
        <filter val="CONECTOR RECTO HERMETICO PARA TUBERIA FLEXIBLE 3&quot; LIQUID-TIGHT"/>
        <filter val="DADO DE IMPACTO TUBULAR HEXAGONAL ENCASTRE 1/2&quot; DE 10 MM"/>
        <filter val="PERNO CAB. HEXAGONAL F°N° 3/8&quot; X 3 1/2&quot; C/ TUERCA Y ARANDELA PLANA Y PRESION"/>
        <filter val="PANTALON JEAN COLOR AZUL STAFF CON FORRO POLAR PARA VARON LOGO: STP TALLA: 28"/>
        <filter val="CODO ACERO INOXIDABLE 4&quot; X 90° ROSCA NPT C-304"/>
        <filter val="MICA A4 216X303 MM P/ENMICADORA ESPESOR: 175 MICRAS X 100 UND"/>
        <filter val="LLAVE DE BOCA DE 1&quot; CON MANGO DE COLA"/>
        <filter val="BORNE DE CONEXIÓN 16MM2 PARA 1 CONEXIÓN SIMPLE VIKING3"/>
        <filter val="DADO DE IMPACTO TUBULAR HEXAGONAL ENCASTRE 3/4&quot; DE 1 1/4&quot;"/>
        <filter val="FOCO H4 12V 60/55W - NARVA"/>
        <filter val="BENTONITA SODICA PARA POZO A TIERRA BLS X 30 KG"/>
        <filter val="DADO DE IMPACTO CORTO HEXAGONAL ENCASTRE 3/4&quot; DE 1&quot;"/>
        <filter val="PARIHUELA DE MADERA DE 1,2 M X 1,2 M"/>
        <filter val="LETRERO SEÑALIZACION ACRILICO 0.60 M X 0.40 M &quot;HOMBRES TRABAJANDO&quot;"/>
        <filter val="MANGA TERMOCONTRAIBLE 25 MM - COLOR AZUL X 50 M"/>
        <filter val="CAJA CONDULET DE 2&quot; TP. T CON TAPA Y EMPAQUE"/>
        <filter val="MANOMETRO DE ACETILENO P/ EQUIPO DE OXICORTE"/>
        <filter val="TUERCA HEXAGONAL INOX 304 DE 1/8&quot;"/>
        <filter val="COMBA DE ACERO FORJADO DE 3 LBS C/ MANGO DE FIBRA DE VIDRIO"/>
        <filter val="PILA O BATERIA RECARGABLE 9V"/>
        <filter val="INTERRUPTOR DIFERENCIAL 2X25A 30MA 230 VAC"/>
        <filter val="DADO DE IMPACTO CORTO HEXAGONAL ENCASTRE 3/4&quot; DE 2&quot;"/>
        <filter val="CINTILLO AMARRACABLE 650 X 9.0MM X 100 UND - COLOR BLANCO"/>
        <filter val="PERNO CAB. HEXAGONAL A°G° 7/16&quot; X 2&quot; C/ TUERCA Y ARANDELA PLANA Y PRESION"/>
        <filter val="CAJA CONDULET DE 2 1/2&quot; TP. LL CON TAPA Y EMPAQUE"/>
        <filter val="ENCHUFE 16A 2P+T 250V AZUL 6H IP44"/>
        <filter val="PLANCHA ESTRUCTURAL A-36 2.50 X 1200 X 2400 MM (3/32&quot;)"/>
        <filter val="LETRERO SEÑALIZACION ACRILICO 0.60 M X 0.40 M &quot;SOLO PERSONAL AUTORIZADO&quot;"/>
        <filter val="TUBING INOX S/C DE 1/2&quot; X 30.48 M RECUBIERTO DE PVC"/>
        <filter val="PRENSA NODULAR PARA CARPINTERO TIPO &quot;C&quot; DE 2&quot;"/>
        <filter val="DESTORNILLADOR AISLADO 1000 V X 7 UND STANLEY MOD: STMT60175-LA"/>
        <filter val="UNION SIMPLE FIERRO GALVANIZADO 1 1/2&quot; CLASE 150 UL/FM"/>
        <filter val="CAJA DE PASO A°G° DE 300 X 300 X 150 MM"/>
        <filter val="CINTA AISLANTE PARA DUCTOS MODELO: DT11"/>
        <filter val="PLASTICO DOBLE ANCHO X 2.00M DE MANGA X 100 M"/>
        <filter val="PLATINA DE COBRE DURO DESNUDO 10X40MM 6MTS"/>
        <filter val="SIKAREP MORTERO DE REPARACIÓN REFORZADO CON FIBRAS X 30 KG"/>
        <filter val="CODO FIERRO NEGRO 2&quot; X 45° ROSCA NPT CLASE150"/>
        <filter val="MANGUERA JEBE Y LONA 300 PSI AIRE 1/2&quot; X 15 M C/CONECTOR RAPIDO AMBOS EXTREMOS"/>
        <filter val="BROCHA DE 1&quot; MANGO MADERA Y CERDA"/>
        <filter val="SAL INDUSTRIAL X 50 KG"/>
        <filter val="TUERCA BUSHING HIERRO C/AISL. C/PUESTA A TIERRA UL DE 2&quot; C/FORRO DE PVC"/>
        <filter val="PERNO CAB. HEXAGONAL F°N° 1/2&quot; X 3&quot; C/ TUERCA Y ARANDELA PLANA Y PRESION"/>
        <filter val="ESLINGA DE POLYESTER DE 2&quot; X 6 M"/>
        <filter val="DADO DE IMPACTO TUBULAR HEXAGONAL ENCASTRE 3/4&quot; DE 1 1/2&quot;"/>
        <filter val="CAJA CONDULET DE 1&quot; TP. LR CON TAPA Y EMPAQUE"/>
        <filter val="DADO DE IMPACTO CORTO HEXAGONAL ENCASTRE 1/2&quot; DE 11 MM"/>
        <filter val="PERNO CAB. HEXAGONAL A°G° 7/16&quot; X 3&quot; C/ TUERCA Y ARANDELA PLANA Y PRESION"/>
        <filter val="ESPARADRAPO DE 1/2&quot;"/>
        <filter val="DISCO DE DESBASTE METAL 4 1/2&quot; X 1/4&quot; X 7/8&quot;"/>
        <filter val="TIJERA DE OFICINA"/>
        <filter val="TUBO DE PVC SAP PESADO DE 3/4&quot; X 3 M"/>
        <filter val="PLATINA DE COBRE DURO DESNUDO 10X30MM 6MTS"/>
        <filter val="ARANDELA PLANA REDONDA INOX DE 1&quot;"/>
        <filter val="MOLDE PARA SOLDADURA EXOTERMICA TIPO T DE 4/0-4/0 AWG"/>
        <filter val="DADO DE IMPACTO TUBULAR HEXAGONAL ENCASTRE 3/4&quot; DE 1 1/8&quot;"/>
        <filter val="CINTILLO AMARRACABLE 203 X 4.6MM X 100 UND - COLOR BLANCO"/>
        <filter val="TUERCA HEXAGONAL INOX 304 DE 1/4&quot;"/>
        <filter val="UNION UNIVERSAL O TUERCA UNION FIERRO GALVANIZADO 2'' CLASE 150 UL/FM"/>
        <filter val="CODO FIERRO GALVANIZADO DE 3/4&quot; X 45° X 150LB UL/FM"/>
        <filter val="TORNILLO AUTOPERFORANTE PUNTA BROCA #8 X 3/4&quot; CON ARANDELA DE NEOPRENO"/>
        <filter val="TOMACORRIENTE DOBLE 2X20AMP, 250 V T/CHINO INDUSTRIAL + PLACA DE NYLON"/>
        <filter val="MANGA TERMOCONTRAIBLE 25 MM - COLOR NEGRO X 50 M"/>
        <filter val="REDUCCION CAMPANA FIERRO NEGRO CLASS150 UL/FM 4&quot; X 2 1/2&quot;"/>
        <filter val="DADO DE IMPACTO TUBULAR HEXAGONAL ENCASTRE 1/2&quot; DE 15/16&quot;"/>
        <filter val="CURVA CONDUIT DE 1 1/2&quot; X 90°"/>
        <filter val="TUBO DE PVC SAP PESADO DE 3&quot; X 3 M"/>
        <filter val="CONECTOR CURVO 45° HERMETICO PARA TUBERIA FLEXIBLE 2&quot; LIQUID TIGHT"/>
        <filter val="LENTE DE SEGURIDAD LUNAS CLARAS ANTI EMPAÑANTES MODELO: 11329"/>
        <filter val="INTERRUPTOR TERMOMAGNÉTICO 2X10A 20/6KA 230/400V TIPO C DIN"/>
        <filter val="CABLE UNIPOLAR THW DE 10 AWG 750VCA AISLAMIENTO PVC COLOR: BLANCO"/>
        <filter val="REMACHE POP 1/4&quot; X 1/2&quot; X 100 UND"/>
        <filter val="VALVULA CHECK DE BRONCE 1/2&quot;"/>
        <filter val="CODO ACERO AL CARBONO DE 1 1/4&quot; X 45° SOLDABLE SCH-40"/>
        <filter val="DADO DE IMPACTO CORTO HEXAGONAL ENCASTRE 1/2&quot; DE 23 MM"/>
        <filter val="DADO CROMADO TUBULAR HEXAGONAL ENCASTRE DE 1/2&quot; DE 21 MM"/>
        <filter val="ANGULO DE F°N° 1/4&quot; x 2&quot; x 6 M"/>
        <filter val="PERNO CAB. HEXAGONAL INOX 304 5/8&quot; X 1 3/4&quot; C/ TUERCA Y ARAND PLANA Y PRESION"/>
        <filter val="PERNO CAB. HEXAGONAL INOX 304 1/4&quot; X 1 1/2&quot; C/ TUERCA Y ARANDELA PLANA Y PRESION"/>
        <filter val="FORMADOR DE EMPAQUETADURA 130 GM"/>
        <filter val="SILLA ERGONOMICA GIRATORIA CON BRAZOS"/>
        <filter val="NIPLE PVC 3/4&quot; X 3&quot; ROSCADO"/>
        <filter val="TAPON CAP SOLDABLE F°N° 1&quot; SCH-40"/>
        <filter val="TUERCA HEXAGONAL INOX 304 DE 1/2&quot;"/>
        <filter val="ROTULADORA INDUSTRIAL PORTATIL MODELO: E110"/>
        <filter val="REDUCCION BUSHING P/CONDUIT DE 2&quot; A 1/2&quot;"/>
        <filter val="TOMA AEREA RECTA 2X20A+T NEMA 6-20R PYTHON AMARILLO (HEMBRA) 5459-VY"/>
        <filter val="ESPARRAGO A°G° DE 1/2&quot; X 1 M"/>
        <filter val="CODO PVC 4&quot; X 45° SP"/>
        <filter val="ESPARRAGO ACERO ZINCADO DE 1/2&quot; X 1 M"/>
        <filter val="HUB MYERS C/FORRO DE PVC DE 3/4&quot;"/>
        <filter val="CURVA PVC 3/4&quot; X 45° SAP"/>
        <filter val="LLAVE MIXTA BOCA/CORONA DE 25 MM"/>
        <filter val="VALVULA DE BOLA DE 1 1/2&quot; ACERO INOX ROSCA NPT CON SISTEMA PARA BLOQUEO"/>
        <filter val="UNION (ADAPTADOR) DE PVC DE 4&quot; PRESION-ROSCA"/>
        <filter val="SEPARADORES PLASTICOS (A-Z) T/ A-4"/>
        <filter val="PERNO CAB. HEXAGONAL INOX 304 3/8&quot; X 1 1/2&quot; C/ TUERCA Y ARANDELA PLANA Y PRESION"/>
        <filter val="PLATINA F°N° DE 3/16&quot; X 2&quot; X 6 M"/>
        <filter val="ALCOHOL ISOPROPILICO X GALON"/>
        <filter val="TAPON MACHO ROSCADO DE A°G° DE 1 1/2&quot;"/>
        <filter val="BORNERA DE REGLETA 6MM2 12 BORNES NYLBLOC NEGRO"/>
        <filter val="ESPIRAL PROTECTOR D/CABLES 10 MM X 10 M (INT.8.50 MM)"/>
        <filter val="CURVA PVC SCH 40 3″ 90°"/>
        <filter val="CAJA PVC ELECTRICA OCTOGONAL"/>
        <filter val="TEE FIERRO GALVANIZADO 3/4&quot; ROSCA NPT X 150 LIBRAS UL/FM"/>
        <filter val="U-BOLT F°G° DE 3/8&quot; PARA TUBO DE 5&quot; C/ TUERCA Y ARANDELA PLANA Y PRESION"/>
        <filter val="MADERA DE 3&quot; X 3&quot; X 10'"/>
        <filter val="CODO PVC 2&quot; X 90° SP"/>
        <filter val="CODO ACERO INOXIDABLE 1/2&quot; X 90° ROSCA NPT C-304"/>
        <filter val="ESMERIL RECTO TURBINETA MODELO: GGS28L"/>
        <filter val="DADO DE IMPACTO PUNTA (ALLEN) ENCASTRE 1/2&quot;) DE 12 MM"/>
        <filter val="PERNO CAB. HEXAGONAL INOX 304 1/2&quot; X 2 1/2&quot; C/ TUERCA Y ARANDELA PLANA Y PRESION"/>
        <filter val="UNION SIMPLE FIERRO NEGRO 1 1/4&quot; CLASE 300 UL/FM"/>
        <filter val="TUBO ACERO INOX. S/C SCH-40 C-304L X 6 MT. 1&quot; SOLDABLE"/>
        <filter val="PERNO CAB. HEXAGONAL A°G° 1/4&quot; X 3&quot; C/ TUERCA Y ARANDELA PLANA Y PRESION"/>
        <filter val="TUBO DE PVC SCH-80 DE 2&quot; X 3 M"/>
        <filter val="NIPLE A°G° DE 1&quot; X 4&quot; ISO 65"/>
        <filter val="PINTURA IGNIFUGA RETARDADORA AL FUEGO COLOR: BLANCO"/>
        <filter val="PERNO DE EXPANSION 1/2&quot; X 6&quot; C/ TUERCA Y ARANDELA PLANA Y PRESION"/>
        <filter val="TUBO PVC 4&quot; X 3 M SAL"/>
        <filter val="PERNO CAB. HEXAGONAL A°G° 3/8&quot; X 4&quot; C/ TUERCA Y ARANDELA PLANA Y PRESION"/>
        <filter val="TAMBOR RETRACTIL DOBLE NANO-LOK 3 M (10FT) MODELO: NB/KN- 3.0 M"/>
        <filter val="PLANCHA ESTRUCTURAL A-36 4.5 X 1200 X 2400 MM (3/16&quot;)"/>
        <filter val="DISPENSADOR TIPO SPRAY 500 ML"/>
        <filter val="CABLE PUESTA A TIERRA CPT 10 AWG 6MM2 COLOR: AMAR-VERDE X 100 M"/>
        <filter val="TUERCA HEXAGONAL ZINCADO DE 1/8&quot;"/>
        <filter val="CODO ACERO INOXIDABLE 3/4&quot; X 90° ROSCA NPT C-304"/>
        <filter val="PERNO CAB. HEXAGONAL INOX 304 3/4&quot; X 4&quot; C/ TUERCA Y ARANDELA PLANA Y PRESION"/>
        <filter val="LLAVE MIXTA BOCA/CORONA DE 41 MM"/>
        <filter val="CUADERNO ANILLADO DE 200 HOJAS LOGO: STP"/>
        <filter val="HUBS MYERS DE 3/4&quot; UL ZINC PESADO"/>
        <filter val="MOLDE PARA SOLDADURA ESOTERMICA TIPO T DE 2/0-2/0 AWG"/>
        <filter val="TIRALINEA DE PLASTICO"/>
        <filter val="AFLOJATODO WD-40 X 400 ML"/>
        <filter val="REDUCCION CAMPANA FIERRO NEGRO CLASS150 UL/FM 4&quot; X 1&quot;"/>
        <filter val="DADO DE IMPACTO CORTO HEXAGONAL ENCASTRE 3/4&quot; DE 7/8&quot;"/>
        <filter val="MANDIL DE CUERO P/ TRABAJOS EN CALIENTE"/>
        <filter val="DADO DE IMPACTO CORTO HEXAGONAL ENCASTRE 1/2&quot; DE 14 MM"/>
        <filter val="TRAMPA DE ACERO DE 12 X 12 CM P/ ACERO DE 3/8&quot;"/>
        <filter val="CEMENTO VULCANIZANTE VULTECBOOM"/>
        <filter val="SOGA NYLON T/ DRIZA DE 1/8&quot; X 196 M"/>
        <filter val="LLAVE MIXTA BOCA/CORONA DE 1/2&quot;"/>
        <filter val="BROCA HSS PARA ACERO DE 3/32&quot;"/>
        <filter val="LIMPIA BOQUILLA"/>
        <filter val="COMBA DE ACERO FORJADO DE 10 LBS C/ MANGO DE FIBRA DE VIDRIO"/>
        <filter val="BANDEJA PORTAPAPELES 2 CUERPOS"/>
        <filter val="CONECTOR RAPIDO O EMPALME DE RESORTE N° 10-12AWG COLOR AMARILLO"/>
        <filter val="ESLINGA DE POLYESTER DE 4&quot; X 4 M"/>
        <filter val="PLUMON DELGADO INDELEBLE #421 COLOR AZUL"/>
        <filter val="PERFORADOR DE 3 ANILLOS"/>
        <filter val="PERFORADOR DE PAPEL 2 HUECOS"/>
        <filter val="BROCA HSS DE COBALTO PARA INOX DE 3/16&quot;"/>
        <filter val="ARANDELA PLANA REDONDA DE F°G° DE 7/8&quot;"/>
        <filter val="NIPLE F°N° DE 1&quot; X 3&quot;"/>
        <filter val="CONECTOR UNION TEE PARA TUBING DE 1/2&quot; OD A 1/2&quot; OD"/>
        <filter val="CURVA PVC 1 1/2&quot; X 45° SAP"/>
        <filter val="BRIDA CIEGA DE 3&quot; ACERO NEGRO SOLDABLE SCH-40"/>
        <filter val="NIPLE A°G° DE 2&quot; X 1&quot; ISO 65"/>
        <filter val="JGO DE LIMAS X5PZ 8&quot;"/>
        <filter val="PERNO CAB. HEXAGONAL A°G° 1/2&quot; X 1 3/4&quot; C/ TUERCA Y ARANDELA PLANA Y PRESION"/>
        <filter val="FRESA TIPO CONICA DE 12 X 25 X 6 X 65MM"/>
        <filter val="TERMINAL DE COMPRESION CAÑON CORTO 1 HUECO DE 4 AWG OJAL DE 3/8&quot; (10 MM )"/>
        <filter val="CINTA METALICA FLEXIBLE PARA DRYWALL DE 52 MM X 30 M"/>
        <filter val="PERNO CAB. HEXAGONAL INOX 304 3/8&quot; X 1 1/4&quot; C/ TUERCA Y ARANDELA PLANA Y PRESION"/>
        <filter val="TUERCA HEXAGONAL DE F°G° DE 3/4&quot;"/>
        <filter val="TAPON CAP SOLDABLE F°N° 4&quot; X SCH-40"/>
        <filter val="TAPON CAP SOLDABLE F°N° 2&quot; SCH-40"/>
        <filter val="TOMACORRIENTE EMPOTRABLE 32A 3P+N+T 415V ROJO 6H IP44"/>
        <filter val="DADO DE IMPACTO CORTO HEXAGONAL ENCASTRE 1/2&quot; DE 26 MM"/>
        <filter val="U-BOLT F°G° DE 3/8&quot; PARA TUBO DE 3&quot; C/ TUERCA Y ARANDELA PLANA Y PRESION"/>
        <filter val="LLAVE MIXTA BOCA/CORONA DE 28 MM"/>
        <filter val="REDUCCION CAMPANA FIERRO NEGRO CLASS150 UL/FM 4&quot; X 3&quot;"/>
        <filter val="BOLSA DE BASURA X 100 UND DE 140 L COLOR NEGRO"/>
        <filter val="UNION UNIVERSAL O TUERCA UNION FIERRO GALVANIZADO 1 1/2&quot; CLASE 150 UL/FM"/>
        <filter val="NIPLE F°N° DE 1&quot; X 4&quot;"/>
        <filter val="CURADOR DE CONCRETO MEMBRANIL REFORZADO X 5 GLN"/>
        <filter val="PERNO CAB. HEXAGONAL A°G° 1/4&quot; X 1&quot; C/ TUERCA Y ARANDELA PLANA Y PRESION"/>
        <filter val="MANGA P/ PROTECCION DE BRAZOS VENICUT 5 MOD: TAEK 5"/>
        <filter val="CONECTOR CURVO 90° HERMETICO PARA TUBERIA FLEXIBLE 1 1/2&quot; CON FORRO DE PVC"/>
        <filter val="LLAVE MIXTA BOCA/CORONA DE 1/4&quot;"/>
        <filter val="REDUCCION CAMPANA FIERRO GALVANIZADO 4&quot; X 1 1/2&quot; X 150 LIBRAS UL/FM"/>
        <filter val="GENERADOR ELECTRICO 2400KW MODELO: GG2800"/>
        <filter val="TAPON HEMBRA ROSCADO DE A°G° DE 1 1/2&quot;"/>
        <filter val="ENSUNCHADORA DE CORTE Y AJUSTE PARA FLEJE DE ACERO INOX 1/4&quot; - 3/4&quot; MOD C-00169"/>
        <filter val="PERNO DE EXPANSION 1/2&quot; X 4&quot; C/ TUERCA Y ARANDELA PLANA Y PRESION"/>
        <filter val="CAJA DE PASE RECTANGULAR DE A°G° DE 4&quot; X 2&quot; EMPOTRABLE"/>
        <filter val="REDUCCION CAMPANA FIERRO NEGRO CLASS150 UL/FM 4&quot; X 2&quot;"/>
        <filter val="PERNO CAB. HEXAGONAL A°G° 3/8&quot; X 2&quot; C/ TUERCA Y ARANDELA PLANA Y PRESION"/>
        <filter val="REDUCCION CAMPANA FIERRO GALVANIZADO 1 1/2&quot; X 3/4&quot; X 150 LIBRAS UL/FM"/>
        <filter val="PLACA DOBLE HERMETICA HORIZONTAL ALUMINIO MODELO: WM1D-SGY"/>
        <filter val="LLAVE MIXTA BOCA/CORONA DE 16 MM"/>
        <filter val="TIZA DE CALDERERO"/>
        <filter val="LINEA DE VIDA RETRACTIL (TAMBOR) C/ CINTA POLYESTER X 3.35 M MOD: N9210-11"/>
        <filter val="CANAL UNISTRUT LISO 1 5/8&quot;X 7/8&quot; X 2.40M B- LINE"/>
        <filter val="PANTALON JEAN COLOR AZUL STAFF CON FORRO POLAR PARA VARON LOGO: STP TALLA: 32"/>
        <filter val="DESARMADOR PLANO AISLADO 1000V 3.0 MM X 100MM [44] 65-966"/>
        <filter val="PANTALON JEAN COLOR AZUL STAFF CON FORRO POLAR PARA VARON LOGO: STP TALLA: 34"/>
        <filter val="PANTALON JEAN COLOR AZUL STAFF CON FORRO POLAR PARA VARON LOGO: STP TALLA: 36"/>
        <filter val="CONECTOR TIERRA P/CABLE.2/0-250MCM A VAR 5/8-3/4&quot; GAR6429"/>
        <filter val="PERNO CAB. HEXAGONAL INOX 304 7/16&quot; X 3&quot; C/ TUERCA Y ARANDELA PLANA Y PRESION"/>
        <filter val="CARRETILLA BUGGIE EMBUTIDA PESADA NEUMATICA C/RODAJE"/>
        <filter val="BROCHA DE 2&quot; MANGO MADERA Y CERDA"/>
        <filter val="PANTALON JEAN COLOR AZUL STAFF CON FORRO POLAR PARA VARON LOGO: STP TALLA: 30"/>
        <filter val="PERNO CAB. HEXAGONAL A°G° 7/16&quot; X 1&quot; C/ TUERCA Y ARANDELA PLANA Y PRESION"/>
        <filter val="PRENSAESTOPA PARA TUBERÍA CORRUGADA 3/8&quot; GRIS"/>
        <filter val="DADO DE IMPACTO CORTO HEXAGONAL ENCASTRE 3/4&quot; DE 28 MM"/>
        <filter val="TOMA AEREA 2P+T 15A 125 V (DOMESTICO)"/>
        <filter val="MANGA TERMOCONTRAIBLE 50 MM - COLOR NEGRO X 25 M"/>
        <filter val="HUBS MYERS DE 4&quot; UL ZINC PESADO"/>
        <filter val="REDUCCION BUSHING FIERRO GALV 1 1/4&quot; X 1&quot; ROSCA NPT X 150 LIBRAS UL/FM"/>
        <filter val="TUERCA HEXAGONAL DE F°G° DE 3/8&quot;"/>
        <filter val="MANGUERA TRANSPARENTE DE NIVEL DE 10 MM"/>
        <filter val="ESPARRAGO ACERO NEGRO B7 ESTRUCTURAL A 325 DE 3/8&quot; X 1 M"/>
        <filter val="INTERRUPTOR TERMOMAGNETICO 2X16A 220V"/>
        <filter val="LLAVE CORONA DE 3/4&quot; CON MANGO DE COLA DE 1 1/8&quot;"/>
        <filter val="PERNO CAB. HEXAGONAL F°N° 7/16&quot; X 2 1/2&quot; C/ TUERCA Y ARANDELA PLANA Y PRESION"/>
        <filter val="CINTA AISLANTE VINILICA TEMFLEX DE 3/4&quot; X 18 MT MOD: 165 - COLOR NEGRO"/>
        <filter val="LIJA AL SECO #220"/>
        <filter val="CADENA DE ACERO GALVANIZADO 1/2&quot;"/>
        <filter val="ESTROBO DE CABLE DE ACERO DE 1/4&quot; X 2 M"/>
        <filter val="TORNILLO AUTOPERFORANTE PUNTA BROCA #8 X 1 1/2&quot; CON ARANDELA DENEOPRENO"/>
        <filter val="RODILLO DE 10&quot; PARA PINTURA"/>
        <filter val="PERNO CAB. HEXAGONAL INOX 304 3/4&quot; X 1&quot; C/ TUERCA Y ARANDELA PLANA Y PRESION"/>
        <filter val="REDUCCION BUSHING FIERRO GALV 1 1/2&quot; X 3/4&quot; ROSCA NPT X 150 LIBRAS UL/FM"/>
        <filter val="EMPALME TUBULAR DE 10-12-AWG COLOR AMARILLO X 100 UND"/>
        <filter val="ROTULADORA INDUSTRIAL PORTATIL MODELO: E550W"/>
        <filter val="ARANDELA DE PRESION DE F°N° DE 3/8&quot;"/>
        <filter val="TUERCA HEXAGONAL INOX 316 DE 5/8&quot;"/>
        <filter val="PINTURA LATEX SATINADO COLOR: BLANCO"/>
        <filter val="CUCHILLA CON MANGO DIELECTRICO"/>
        <filter val="PERNO CAB. HEXAGONAL INOX 304 5/8&quot; X 1&quot; C/ TUERCA Y ARANDELA PLANA Y PRESION"/>
        <filter val="PULVERIZADOR A PRESIÓN 2L"/>
        <filter val="NIPLE F°N° DE 1&quot; X 1&quot;"/>
        <filter val="DADO DE IMPACTO TUBULAR HEXAGONAL ENCASTRE 1/2&quot; DE 3/8&quot;"/>
        <filter val="PERNO CAB. HEXAGONAL F°N° 1/2&quot; X 1 1/2&quot; C/ TUERCA Y ARANDELA PLANA Y PRESION"/>
        <filter val="DADO DE IMPACTO TUBULAR HEXAGONAL ENCASTRE 3/4&quot; DE 36 MM"/>
        <filter val="PLATINA DE COBRE DURO DESNUDO 5X50MM 6MTS"/>
        <filter val="REDUCCION BUSHING ACERO INOXIDABLE 3/4&quot; X 1/2&quot; ROSCA NPT C-304 X 150 LIB"/>
        <filter val="UNION CONDUIT O ACOPLADOR DE 3/4&quot;"/>
        <filter val="OCRE COLOR ROJO X 1 KG"/>
        <filter val="NIPLE F°N° DE 1&quot; X 2&quot;"/>
        <filter val="REDUCCION BUSHING FIERRO GALV 3/4&quot; X 1/2&quot; ROSCA NPT X 150 LIBRAS UL/FM"/>
        <filter val="PIONER A-4 DE 2 ANILLOS (LOMO DELGADO 25MM) COLOR BLANCO"/>
        <filter val="UNION SIMPLE FIERRO GALVANIZADO 2 1/2&quot; CLASE 150 UL/FM"/>
        <filter val="PINTURA EN SPRAY COLOR: GRIS CLARO"/>
        <filter val="ESLINGA DE POLYESTER DE 3&quot; X 1 M"/>
        <filter val="CINTA AISLANTE VINIL SUPER 35 DE 3/4&quot; X 20 MT - COLOR: ROJO"/>
        <filter val="TORNILLO VOLCANITA (PARA DRYWALL) PUNTA FINA 6 X 2&quot; X 250 UND (COLOR NEGRO)"/>
        <filter val="MASCARILLA QUIRURGICA DE 3 PLIEGUES"/>
        <filter val="CODO FIERRO GALVANIZADO DE 1 1/2&quot; X 90° X 150LB UL/FM"/>
        <filter val="REDUCCION PVC A PRESION DE 1 1/2&quot; A 1/2&quot;"/>
        <filter val="PERNO CAB. HEXAGONAL INOX 304 5/8&quot; X 2&quot; C/ TUERCA Y ARANDELA PLANA Y PRESION"/>
        <filter val="LLAVE PLEGABLE TORX (JGO: 8 PZS)"/>
        <filter val="WINCHA - CINTA METRICA PLASTICO 30 M"/>
        <filter val="CINTA AISLANTE VINIL SUPER 35 DE 3/4&quot; X 20 MT - COLOR: BLANCO"/>
        <filter val="CHOMPA DE LANA MODELO: JORGE CHAVEZ LOGO STP COLOR NEGRO TALLA: M"/>
        <filter val="CHOMPA DE LANA MODELO: JORGE CHAVEZ LOGO STP COLOR NEGRO TALLA: L"/>
        <filter val="NIVEL DE ALUMINIO DE 24&quot;"/>
        <filter val="PLANCHA DE EMPASTAR"/>
        <filter val="DADO DE IMPACTO TUBULAR HEXAGONAL ENCASTRE 3/4&quot; DE 13/16&quot;"/>
        <filter val="PERNO CAB. HEXAGONAL INOX 304 3/4&quot; X 3&quot; C/ TUERCA Y ARANDELA PLANA Y PRESION"/>
        <filter val="SOGA NYLON T/ DRIZA DE 1/4&quot; X 42 M"/>
        <filter val="ESTIQUER AUTOADHESIVO 220VAC 10CM ANCHO X 3 CM ALTO FONDO VERDE LETRAS BLANCAS"/>
        <filter val="TUERCA HEXAGONAL ZINCADO DE 1/2&quot;"/>
        <filter val="INTERRUPTOR TERMOMAGNÉTICO 2X6A 20/6KA 230/400V TIPO C DIN"/>
        <filter val="PRENSAESTOPA PARA TUBERÍA CORRUGADA 3/4&quot; GRIS"/>
        <filter val="DADO DE IMPACTO TUBULAR HEXAGONAL ENCASTRE 1/2&quot; DE 1&quot;"/>
        <filter val="TERMINAL DE COMPRESION CAÑON LARGO 1 HUECO  DE 250 MCM OJAL DE 13 MM"/>
        <filter val="ESPATULA DE 2&quot; C/ MANGO DE MADERA"/>
        <filter val="TUBO CONDUIT PESADO F°G° DE 2&quot; X 3 M UL6 ANSI C 80.1"/>
        <filter val="PANTALON JEAN COLOR AZUL STAFF PARA DAMA LOGO: STP TALLA: 34"/>
        <filter val="CURVA PVC SCH 40 1-1/2″ 90°"/>
        <filter val="SOGA NYLON T/ DRIZA DE 1/2&quot; X 13 M"/>
        <filter val="TUBERIA FLEXIBLE DE 3/4&quot; HERMETICO C/FORRO PVC LIQUID TIGHT"/>
        <filter val="BOTIQUIN DE PRIMEROS AUXILIOS DE TELA COLOR ROJO"/>
        <filter val="UNION UNIVERSAL O TUERCA UNION FIERRO GALVANIZADO 2 1/2&quot; CLASE 150 UL/FM"/>
        <filter val="PANTALON JEAN COLOR AZUL STAFF PARA DAMA LOGO: STP TALLA: 32"/>
        <filter val="WINCHA - CINTA METRICA METALICA 8 M (FLEXOMETRO)"/>
        <filter val="PANTALON JEAN COLOR AZUL STAFF PARA DAMA LOGO: STP TALLA: 30"/>
        <filter val="PAPEL TOALLA DOBLE HOJA"/>
        <filter val="MANG.TERMOCONTRAIBLE 6/3MM ROJO"/>
        <filter val="PERNO CAB. HEXAGONAL INOX 304 5/8&quot; X 3&quot; C/ TUERCA Y ARANDELA PLANA Y PRESION"/>
        <filter val="GRAMPA BEAN CLAMP PARA CANAL UNISTRUIT"/>
        <filter val="INTERRUPTOR TERMOMAGNÉTICO 2X16A 10/6KA 230/400V TIPO C DIN"/>
        <filter val="PERNO CAB. HEXAGONAL F°N° 1/2&quot; X 1 1/4&quot; C/ TUERCA Y ARANDELA PLANA Y PRESION"/>
        <filter val="TAPON CAP SOLDABLE F°N° 3/4&quot; SCH-40"/>
        <filter val="PANTALON JEAN COLOR AZUL STAFF PARA DAMA LOGO: STP TALLA: 26"/>
        <filter val="PRENSA TERMINAL HIDRAÚLICA (4, 6, 8, 10,16, 25, 35, 50 y 70) MOD: YQK-70"/>
        <filter val="HEBILLA DE ACERO INOX DE 3/4&quot; PARA CINTA DE ACERO INOX X 100 UND"/>
        <filter val="PANTALON JEAN COLOR AZUL STAFF PARA DAMA LOGO: STP TALLA: 28"/>
        <filter val="CADENA DE ACERO GALVANIZADO 1/4&quot;"/>
        <filter val="DADO DE IMPACTO TUBULAR HEXAGONAL ENCASTRE 1/2&quot; DE 11/16&quot;"/>
        <filter val="PERNO CAB. HEXAGONAL INOX 304 3/4&quot; X 2&quot; C/ TUERCA Y ARANDELA PLANA Y PRESION"/>
        <filter val="REDUCCION CAMPANA FIERRO NEGRO CLASS150 UL/FM 1&quot; X 1/2&quot;"/>
        <filter val="UNION DE PVC PRESION-PRESION DE 3&quot; SCH-40"/>
        <filter val="TUERCA HEXAGONAL ZINCADO DE 1/4&quot;"/>
        <filter val="GALONERA DE PLASTICO X 5 GLN COLOR ROJO P/ COMBUSTIBLE"/>
        <filter val="ARANDELA PLANA REDONDA ZINCADO DE 5/8&quot;"/>
        <filter val="CABLE DE ARRASTRE VULCANIZADO NMT 2X12AWG 500V, X ROLLO, PRACTICABLE"/>
        <filter val="DADO DE IMPACTO X 10 PZS (19(02), 24, 27, 28, 33, 34, 36, 38, y 41)"/>
        <filter val="PLUMON GRUESO INDELEBLE #23 COLOR AZUL"/>
        <filter val="CIZALLA DE 36&quot;"/>
        <filter val="TORNILLO AUTOPERFORANTE PUNTA FINA #10 X 2&quot; CON ARANDELA DE NEOPRENO"/>
        <filter val="PEINE PARA TARRAJA 12 R DE 1/2&quot;"/>
        <filter val="PIONER A-4 DE 3 ANILLOS (LOMO ANCHO 65MM) COLOR BLANCO"/>
        <filter val="CORTA CABLE TIPO CARRACA MODELO: 759"/>
        <filter val="DADO DE IMPACTO TUBULAR HEXAGONAL ENCASTRE 3/4&quot; DE 1 13/16&quot;"/>
        <filter val="VENDA O CABESTRILLO ADULTO CODERA"/>
        <filter val="DADO DE IMPACTO TUBULAR HEXAGONAL ENCASTRE 1/2&quot; DE 18 MM"/>
        <filter val="PERNO CAB. HEXAGONAL INOX 304 5/8&quot; X 4&quot; C/ TUERCA Y ARANDELA PLANA Y PRESION"/>
        <filter val="RODILLO DE 3&quot; PARA PINTURA"/>
        <filter val="CONECTOR CURVO 90° HERMETICO PARA TUBERIA FLEXIBLE 1&quot; LIQUID TIGHT"/>
        <filter val="PERNO CAB. HEXAGONAL F°N° 1/2&quot; X 1 3/4&quot; C/ TUERCA Y ARANDELA PLANA Y PRESION"/>
        <filter val="REDUCCION CAMPANA FIERRO NEGRO CLASS150 UL/FM 3&quot; X 1&quot;"/>
        <filter val="VALVULA DE BOLA DE PVC DE 1&quot; C/ ROSCA"/>
        <filter val="TABLERO DISTRIBUCION DE 220VAC 2F+T 60 Hz 4 TOMAS 16A 6H DE 400X300X200MM"/>
        <filter val="CASCO DIELECTRICO AMARILLO C/SUSPENSION MODELO: H700"/>
        <filter val="REDUCCION PVC A PRESION DE 2&quot; A 3/4&quot;"/>
        <filter val="UNION SIMPLE FIERRO NEGRO 2&quot; CLASE 300 UL/FM"/>
        <filter val="DISCO DE CORTE DE 14” P/ TRONZADORA"/>
        <filter val="NIPLE F°N° DE 2&quot; X 4&quot;"/>
        <filter val="EXTENSION ELECTRICA 1X4X8 AWG 380V"/>
        <filter val="INTERRUPTOR DIFERENCIAL 4X40A 30MA 230/400VAC"/>
        <filter val="INTERRUPTOR TERMOMAGNÉTICO 3X32A 10/6KA 230/400V TIPO C DIN"/>
        <filter val="LAPICERO TRILUX # 035 COLOR AZUL"/>
        <filter val="INTERRUPTOR DIFERENCIAL 4X100A 30MA 230/400VAC"/>
        <filter val="BROCA HSS PARA ACERO DE 7/8&quot;"/>
        <filter val="LLAVE MIXTA BOCA/CORONA DE 1 1/2&quot;"/>
        <filter val="CAJA DE PASO DE PVC DE 100 X 100 X 70 MM"/>
        <filter val="TAPA DOBLE PARA TOMACORRIENTE MONOFASICO"/>
        <filter val="CINTA ADHESIVA DOBLE CARA EXTRA FUERTE 18 MM X 2 M"/>
        <filter val="REDUCCION BUSHING F°N° DE 1&quot; A 3/8&quot; ROSCA NPT X 150/300 LIB"/>
        <filter val="OREJERA ADAPTABLE AL CASCO TIPO COPA MODELO: OPTIME 105"/>
        <filter val="PRENSAESTOPA DE NYLON GRIS CON UL DE 22-32MM"/>
        <filter val="NIPLE F°N° DE 2&quot; X 3&quot;"/>
        <filter val="CURVA PVC SCH 40 1″ 90°"/>
        <filter val="TRIPLAY FENOLICO DE 18 MM X 1.22 X 2.44M CON FILM"/>
        <filter val="DISCO TIPO COPA DIAMANTADO DOBLE SEGMENTO PARA CONCRETO DE 4 1/2&quot;"/>
        <filter val="PLATINA F°N° DE 1/4&quot; X 1/2&quot; X 6 M"/>
        <filter val="CAJA CONDULET C/FORRO DE PVC DE 3/4&quot; TP. C C/TAPA. Y EMPAQUE"/>
        <filter val="REDUCCION BUSHING FIERRO GALV 2&quot; X 1/2&quot; ROSCA NPT X 150 LIBRAS UL/FM"/>
        <filter val="UNION CONDUIT O ACOPLADOR DE 1 1/2&quot; C/FORRO DE PVC"/>
        <filter val="APOSITO O PARCHE OCULAR ADHESIVO"/>
        <filter val="CONECTOR RECTO HERMETICO PARA TUBERIA FLEXIBLE 2&quot; CON FORRO DE PVC"/>
        <filter val="RACK PARA TELEVISOR 32&quot;-75&quot;"/>
        <filter val="INTERRUPTOR TERMOMAGNÉTICO 2X25A 20/6KA 230/400V TIPO C DIN"/>
        <filter val="BORNE DE TIERRA 6MM2 CON PIE METÁLICO VIKING3"/>
        <filter val="TUBO CONDUIT PESADO F°G° DE 1 1/4&quot; X 3 M UL6 ANSI C 80.1"/>
        <filter val="NIPLE F°N° DE 2&quot; X 2&quot;"/>
        <filter val="U-BOLT F°G° DE 3/8&quot; PARA TUBO DE 1/2&quot; C/ TUERCA Y ARANDELA PLANA Y PRESION"/>
        <filter val="REDUCCION PVC A PRESION DE 4&quot; A 2&quot;"/>
        <filter val="REDUCCION CAMPANA FIERRO NEGRO CLASS150 UL/FM 3&quot; X 2&quot;"/>
        <filter val="VALVULA COMPUERTA DE BRONCE 1/2&quot;"/>
        <filter val="MECHA PARA BERBIQUI DE 1/4&quot;"/>
        <filter val="PERNO CAB. HEXAGONAL A°G° 1/4&quot; X 2&quot; C/ TUERCA Y ARANDELA PLANA Y PRESION"/>
        <filter val="PINTURA PARA TRAFICO MAESTRO TTP 115 F COLOR: NEGRO"/>
        <filter val="DADO DE IMPACTO CORTO HEXAGONAL ENCASTRE 3/4&quot; DE 1 3/8&quot;"/>
        <filter val="PORTACINTILLO AUTOADHES 28X28X100 UND"/>
        <filter val="CABLE UNIPOLAR THW DE 10 AWG 750VCA AISLAMIENTO PVC COLOR: ROJO"/>
        <filter val="TUBO NEGRO STANDARD 1/2&quot; X 3.25MM X 6.40M"/>
        <filter val="PORTACINTILLO AUTOADHES 30 X 30 X 100 UND"/>
        <filter val="INTERRUPTOR TERMOMAGNÉTICO 3X80A 10/6KA 230/400V TIPO C DIN"/>
        <filter val="NIPLE F°N° DE 2&quot; X 1&quot;"/>
        <filter val="TUBO FIERRO GALVANIZADO DE 1 1/2&quot; STANDAR"/>
        <filter val="TAMPON COLOR NEGRO"/>
        <filter val="DADO DE IMPACTO TUBULAR HEXAGONAL ENCASTRE 3/4&quot; DE 15/16&quot;"/>
        <filter val="INTERRUPTOR TERMOMAGNÉTICO 1X32A 6KA 230/400V TIPO C DIN"/>
        <filter val="CAPSULA P/ SOLDADURA EXOTERMICA # 90"/>
        <filter val="RESALTADOR COLOR AMARILLO"/>
        <filter val="INTERRUPTOR TERMOMAGNÉTICO 3X50A 10/6KA 230/400V TIPO C DIN"/>
        <filter val="GRAPA DE 5/8&quot; DE ACERO FORJADO MODELO: G-450"/>
        <filter val="CINTA REFLECTIVA COLOR BLANCO DE 4&quot;"/>
        <filter val="FASTENER X 50 UND"/>
        <filter val="BOTIN DIELECTRICO RESISTENCIA ANTIPERFORANTE NTP-ISO-20345-2008 TALLA: 43"/>
        <filter val="PERNO CAB. HEXAGONAL F°N° 5/8&quot; X 6&quot; C/ TUERCA Y ARANDELA PLANA Y PRESION"/>
        <filter val="TOMACORRIENTE SIMPLE 2X15A + T 220V"/>
        <filter val="BOTIN DIELECTRICO RESISTENCIA ANTIPERFORANTE NTP-ISO-20345-2008 TALLA: 44"/>
        <filter val="BOTIN DIELECTRICO RESISTENCIA ANTIPERFORANTE NTP-ISO-20345-2008 TALLA: 41"/>
        <filter val="BOTIN DIELECTRICO RESISTENCIA ANTIPERFORANTE NTP-ISO-20345-2008 TALLA: 42"/>
        <filter val="BOTIN DIELECTRICO RESISTENCIA ANTIPERFORANTE NTP-ISO-20345-2008 TALLA: 40"/>
        <filter val="CINTA TEFLÓN AMARILLO 12 MM X 8 YARDAS"/>
        <filter val="DADO DE IMPACTO PUNTA (ALLEN) ENCASTRE 3/4&quot;) DE 19 MM"/>
        <filter val="PERNO CAB. HEXAGONAL F°N° 1/4&quot; X 2 1/2&quot; C/ TUERCA Y ARANDELA PLANA Y PRESION"/>
        <filter val="PERTIGA FIBRA DE VIDRIO PARA VEHICULO X 8'"/>
        <filter val="BOTIN DIELECTRICO RESISTENCIA ANTIPERFORANTE NTP-ISO-20345-2008 TALLA: 45"/>
        <filter val="CODO PVC 2&quot; X 45° SP"/>
        <filter val="FOCO NEBLINERO H2 24V 70W"/>
        <filter val="PERNO CAB. HEXAGONAL A°G° 5/8&quot; X 1 3/4&quot; C/ TUERCA Y ARAND PLANA Y PRESION"/>
        <filter val="PELOTA ANTIESTRES"/>
        <filter val="LAMPA CUCHARA RECTA C/ MANGO DE MADERA"/>
        <filter val="UNION DE PVC PRESION-ROSCA DE 3/4&quot; SCH-40"/>
        <filter val="TAPON DE REJILLA DE BRONCE CROMADO DE 3&quot;"/>
        <filter val="BOTIN DIELECTRICO RESISTENCIA ANTIPERFORANTE NTP-ISO-20345-2008 TALLA: 38"/>
        <filter val="BOTIN DIELECTRICO RESISTENCIA ANTIPERFORANTE NTP-ISO-20345-2008 TALLA: 39"/>
        <filter val="BOTIN DIELECTRICO RESISTENCIA ANTIPERFORANTE NTP-ISO-20345-2008 TALLA: 36"/>
        <filter val="BOTIN DIELECTRICO RESISTENCIA ANTIPERFORANTE NTP-ISO-20345-2008 TALLA: 37"/>
        <filter val="BOTIN DIELECTRICO RESISTENCIA ANTIPERFORANTE NTP-ISO-20345-2008 TALLA: 35"/>
        <filter val="TECLADO P/ COMPUTADORA"/>
        <filter val="BOLSA DE BASURA X 100 UND DE 140 L COLOR ROJO"/>
        <filter val="TRIPLAY LUPUNA DE 9 MM X 1.22 X 2.44M"/>
        <filter val="INTERRUPTOR TERMOMAGNÉTICO 2X2A 20/6KA 230/400V TIPO C DIN"/>
        <filter val="TEE FIERRO NEGRO CLASS150 DE 1/2&quot;"/>
        <filter val="BLOQUEADOR (PROTECTOR) SOLAR FPS 50 UVB/UVA POTE DE 1 L"/>
        <filter val="CANDADO DE BRONCE ARCO NORMAL DE 40MM"/>
        <filter val="COMBA DE ACERO FORJADO DE 6 LBS C/ MANGO DE MADERA"/>
        <filter val="LINTERNA DE MANO RECARGABLE"/>
        <filter val="UNION UNIVERSAL O TUERCA UNION ACERO INOXIDABLE 2 1/2&quot; ROSCA NPT X 150 LIB"/>
        <filter val="CODO PVC 1&quot; X 90° SP"/>
        <filter val="TORNILLO STOVE-BOLT DE A°G° DE 1/8&quot; X 3/4&quot;  C/ TUERCA, ARAND PLANA RED Y PRES"/>
        <filter val="TAPON MACHO DE PVC ROSCADO DE 3/4&quot;"/>
        <filter val="TEE ACERO INOXIDABLE DE 1/2&quot; ROSCA NPT"/>
        <filter val="CURVA PVC 1/2&quot; X 45° SAP"/>
        <filter val="TUERCA HEXAGONAL INOX 316 DE 7/8&quot;"/>
        <filter val="PLANCHA ESTRUCTURAL A-36 6.00 X 1200 X 2400 MM (1/4&quot;)"/>
        <filter val="MORRAL DEPOTIVO DE 50 CM BASE X 70 CM ALTURALOGO STP"/>
        <filter val="LETRERO SEÑALIZACION ACRILICO 0.60 M X 0.40 M &quot;PELIGRO CARGA SUSPENDIDA&quot;"/>
        <filter val="PERNO CAB. HEXAGONAL F°N° 3/8&quot; X 1 1/2&quot; C/ TUERCA Y ARANDELA PLANA Y PRESION"/>
        <filter val="BROCA DE 1/2&quot; X 15&quot; ENCASTRE DE 1/2&quot; SDS PLUS (CONCRETO)"/>
        <filter val="PLANCHA ESTRUCTURAL A-36 2.9 X 1200 X 2400 MM (1/8&quot;)"/>
        <filter val="ADAPTADOR DE IMPACTO 1&quot; HEMBRA X 3/4&quot; MACHO"/>
        <filter val="PERNO CAB. HEXAGONAL A°G° 1/2&quot; X 3&quot; C/ TUERCA Y ARANDELA PLANA Y PRESION"/>
        <filter val="CAJA CONDULET DE 1&quot; TP. LB CON TAPA Y EMPAQUE"/>
        <filter val="CINTA MASKING TAPE 1/2&quot; X 40 YDS"/>
        <filter val="PERNO CAB. HEXAGONAL INOX 304 3/8&quot; X 2&quot; C/ TUERCA Y ARANDELA PLANA Y PRESION"/>
        <filter val="CONECTOR UNION RECTO PARA TUBING DE 1/2&quot; OD A 1/4&quot; NPT"/>
        <filter val="CANDADO DE BLOQUEO ARCO ALTO 40MM COLOR: NEGRO"/>
        <filter val="DADO DE IMPACTO TUBULAR HEXAGONAL ENCASTRE 1/2&quot; DE 13 MM"/>
        <filter val="REDUCCION BUSHING P/CONDUIT DE 1 1/4&quot; A 1&quot;"/>
        <filter val="DADO DE IMPACTO CORTO HEXAGONAL ENCASTRE 1/2&quot; DE 10 MM"/>
        <filter val="TRAMPA DE ACERO DE 12 X 12 CM P/ ACERO DE 1/2&quot;"/>
        <filter val="CABLE A°G° DE 1/2&quot;Ø, 7 HILOS TIPO BOA"/>
        <filter val="CONDUCTOR CU DESNUDO, CABLEADO 16 MM2, 7 HILOS TEMPLE BLANDO"/>
        <filter val="TERMINAL DE COMPRESION CAÑON LARGO 2 HUECOS DE 4/0 AWG OJAL DE 1/2&quot; (12.5 MM )"/>
        <filter val="CABLE DE ARRASTRE VULCANIZADO NMT 3X12AWG 500V, X ROLLO, PRACTICABLE"/>
        <filter val="ABRAZADERA DE BANDEJA A TUBO CONDUIT 1/2'' LCC"/>
        <filter val="TUBO DE PVC SAP PESADO DE 1/2&quot; X 3 M"/>
        <filter val="REMACHADORA"/>
        <filter val="LLAVE MIXTA BOCA/CORONA DE 38 MM"/>
        <filter val="NIPLE F°N° DE 3/4&quot; X 4&quot;"/>
        <filter val="TUBO NEGRO SCH 40 A-53/API 5L S/C 4&quot; X 6 M"/>
        <filter val="LENTE GOOGLE MODELO: EVEREST"/>
        <filter val="U-BOLT F°G° DE 1/2&quot; PARA TUBO DE 3&quot; C/ TUERCA Y ARANDELA PLANA Y PRESION"/>
        <filter val="SOLDADURA CELLOCORD E-6011 DE 1/8&quot;"/>
        <filter val="INTERRUPTOR DIFERENCIAL SUPER INMUNIZADO 2X63A 30MA CLASE A APR"/>
        <filter val="ACEITE DE MOTOR SAE 20W-50 X 1/4 GAL 946 ML"/>
        <filter val="ARANDELA PLANA REDONDA DE F°G° DE 5/8&quot;"/>
        <filter val="TUBO CONDUIT PESADO F°G° DE 1&quot; X 3 M UL6 ANSI C 80.1"/>
        <filter val="DADO DE IMPACTO CORTO HEXAGONAL ENCASTRE 1/2&quot; DE 34 MM"/>
        <filter val="NIPLE F°N° DE 3/4&quot; X 3&quot;"/>
        <filter val="ANCLAJE ADHESIVO EPOXICO RE 500 V3"/>
        <filter val="U-BOLT F°G° DE 3/8&quot; PARA TUBO DE 2&quot; C/ TUERCA Y ARANDELA PLANA Y PRESION"/>
        <filter val="LLAVE MIXTA BOCA/CORONA DE 26 MM"/>
        <filter val="PERNO CAB. HEXAGONAL A°G° 7/16&quot; X 3 1/2&quot; C/ TUERCA Y ARANDELA PLANA Y PRESION"/>
        <filter val="ESTIQUER AUTOADHESIVO 480VAC 10CM ANCHO X 3 CM ALTO FONDO BLANCO LETRAS NEGRAS"/>
        <filter val="REPUESTO MAQUINA CORTA CERAMINA 6MM"/>
        <filter val="DOBLADOR DE TUBO HIDRÁULICO MODELO: DTH-12X 12882"/>
        <filter val="DADO DE IMPACTO CORTO HEXAGONAL ENCASTRE 1/2&quot; DE 22 MM"/>
        <filter val="NIPLE F°N° DE 3/4&quot; X 2&quot;"/>
        <filter val="DADO DE IMPACTO TUBULAR HEXAGONAL ENCASTRE 3/4&quot; DE 1 5/16&quot;"/>
        <filter val="PERNO CAB. HEXAGONAL INOX 304 3/4&quot; X 2 1/2&quot; C/ TUERCA Y ARANDELA PLANA Y PRESION"/>
        <filter val="PERNO DE EXPANSION 1/4&quot; X 2 3/4&quot; C/ TUERCA Y ARANDELA PLANA Y PRESION"/>
        <filter val="CLIPS MARIPOSA GIGANTE # 01"/>
        <filter val="RADIO COMUNICACIÓN PORTÁTIL MODELO: TC-508"/>
        <filter val="MOLDE PARA SOLDADURA EXOTERMICA TIPO T DE 4/0-2/0 AWG"/>
        <filter val="PERNO CAB. HEXAGONAL F°N° 3/4&quot; X 4&quot; C/ TUERCA Y ARANDELA PLANA Y PRESION"/>
        <filter val="PERNO CAB. HEXAGONAL A°G° 7/8&quot; X 3&quot; C/ TUERCA Y ARANDELA PLANA Y PRESION"/>
        <filter val="ESMERIL ANGULAR AMOLADORA DE 7&quot; MODELO: GWS 28-180"/>
        <filter val="MADERA TORNILLO 2&quot; X 2&quot; X 10'"/>
        <filter val="JUEGO DE LLAVES MIXTAS MILIMETRICAS 7-24 MM"/>
        <filter val="LLAVE MIXTA BOCA/CORONA DE 14 MM"/>
        <filter val="VALVULA DE BOLA DE 1/2&quot; BRONCE"/>
        <filter val="PERNO CAB. HEXAGONAL A°G° 3/4&quot; X 1 3/4&quot; C/ TUERCA Y ARANDELA PLANA Y PRESION"/>
        <filter val="LLAVE DE TUBO STILLSON DE 18&quot;"/>
        <filter val="CODO PVC 3&quot; X 45° SP"/>
        <filter val="MECHA PARA BERBIQUI DE 1/2&quot;"/>
        <filter val="DADO DE IMPACTO CORTO HEXAGONAL ENCASTRE 3/4&quot; DE 3/4&quot;"/>
        <filter val="PERNO CAB. HEXAGONAL A°G° 1/4&quot; X 3/4&quot; C/ TUERCA Y ARANDELA PLANA Y PRESION"/>
        <filter val="TUBO FIERRO GALVANIZADO DE 1/2&quot; STANDAR"/>
        <filter val="ARGON DE 10 M3"/>
        <filter val="LETRERO SEÑALIZACION ACRILICO 0.60 M X 0.40 M &quot;TRABAJO EN CALIENTE&quot;"/>
        <filter val="ARANDELA DE PRESION ZINCADO DE 1/8&quot;"/>
        <filter val="CONECTOR CURVO 45° HERMETICO PARA TUBERIA FLEXIBLE 3/4&quot; LIQUID TIGHT"/>
        <filter val="PEGAMENTO CEMENTO PARA CPVC EXTRA X 4 ONZ 118 ML"/>
        <filter val="UNION CONDUIT O ACOPLADOR DE 3/4&quot; C/FORRO DE PVC"/>
        <filter val="LAMPA CUCHARA GRANDE C/ MANGO DE MADERA"/>
        <filter val="CAJA CONDULET DE 2&quot; TP. LR CON TAPA Y EMPAQUE"/>
        <filter val="TALADRO INALAMBRICO DE 1/2&quot;"/>
        <filter val="CINTILLO AMARRACABLE 363 X 9.0MM X 100 UND - COLOR BLANCO"/>
        <filter val="SUMIDERO DE 6 DE BRONCE"/>
        <filter val="UNION UNIVERSAL PARA CONDUIT F°G° DE 3/4&quot; HEMBRA - HEMBRA"/>
        <filter val="ESPATULA ESQUINERA EXTERIOR PARA DRYWALL"/>
        <filter val="CERA LIQUIDA AMARILLA"/>
        <filter val="ACELERANTE DE FRAGUA PARA CONCRETO ARMADO CHEMA 3 X 20 LTS"/>
        <filter val="ARANDELA PLANA REDONDA DE F°G° DE 1&quot;"/>
        <filter val="ORGANIZADOR DE REJILLA"/>
        <filter val="CONDUCTOR CU DESNUDO, CABLEADO 35 MM2, 7 HILOS TEMPLE BLANDO"/>
        <filter val="ARCHIVADOR TAMAÑO OFICIO LOMO ANCHO"/>
        <filter val="UNION SIMPLE ACERO INOXIDABLE 3/4&quot; ROSCA NPT"/>
        <filter val="TUBO CONDUIT C/FORRO DE PVC DE 4&quot; X 3 M"/>
        <filter val="CONECTOR CURVO 90° HERMETICO PARA TUBERIA FLEXIBLE 1 1/2&quot; LIQUID TIGHT"/>
        <filter val="DADO DE IMPACTO CORTO HEXAGONAL ENCASTRE 3/4&quot; DE 1 3/4&quot;"/>
        <filter val="UNION SIMPLE ACERO INOXIDABLE 4&quot; ROSCA NPT"/>
        <filter val="REDUCCION CAMPANA FIERRO GALVANIZADO 4&quot; X 2&quot; X 150 LIBRAS UL/FM"/>
        <filter val="UNIFORME DEPORTIVO (CAMISETA, SHORT Y MEDIAS) TALLA: XL"/>
        <filter val="CODO FIERRO GALVANIZADO DE 1/2'' X 90° X 150LB UL/FM"/>
        <filter val="BOLSA DE BASURA X 100 UND DE 50 LITROS COLOR AMARILLO"/>
        <filter val="TUBO DE PVC SCH-40 DE 1&quot; X 3 M"/>
        <filter val="JUEGO DE DADOS DE 25 PZS MILIMETRICAS/PULGADAS MODELO: 86-736"/>
        <filter val="ABRAZADERA METALICA C/ 1 OREJA P/ TUBO 1 1/2&quot;"/>
        <filter val="PERNO CAB. HEXAGONAL F°N° 1/2&quot; X 1&quot; C/ TUERCA Y ARANDELA PLANA Y PRESION"/>
        <filter val="PORTA LAPICERO ACRILICO"/>
        <filter val="REFLECTOR DE LUZ BLANCA LED 50W 220V"/>
        <filter val="BORNE DE TIERRA 4 MM PARA RIEL DIN COLOR AMARILLO-VERDE"/>
        <filter val="HUBS MYERS DE 3&quot; UL ZINC PESADO"/>
        <filter val="TORNILLO AUTOPERFORANTE PUNTA BROCA #12 X 1 1/2&quot; CON ARANDELA DE NEOPRENO"/>
        <filter val="TUERCA BUSHING HIERRO C/AISL. C/PUESTA A TIERRA UL DE 1/2&quot; C/FORRO DE PVC"/>
        <filter val="DADO DE IMPACTO CORTO HEXAGONAL ENCASTRE 1/2&quot; DE 13 MM"/>
        <filter val="TUBO DE HDPE SDR 11 DE 1&quot; X 6 M"/>
        <filter val="PLANCHA ACANALADA LAF DE 1/16&quot; (1.45) 1.08 X 2.40"/>
        <filter val="LLAVE DE TUBO STILLSON DE 14&quot;"/>
        <filter val="UNION (ADAPTADOR) DE PVC DE 1/2&quot; PRESION-ROSCA"/>
        <filter val="ASERRIN FINO"/>
        <filter val="PERNO CAB. HEXAGONAL F°N° 3/8&quot; X 2&quot; C/ TUERCA Y ARANDELA PLANA Y PRESION"/>
        <filter val="LLAVE MIXTA BOCA/CORONA DE 30 MM"/>
        <filter val="REMACHE POP 1/4&quot; X 1&quot; X 100 UND"/>
        <filter val="VALVULA DE BOLA DE PVC DE 2&quot; C/ ROSCA"/>
        <filter val="REMACHE POP 5/32&quot; X 1&quot; X 100 UND"/>
        <filter val="BORNE DE PASO, UT 2,5 32A, 0.14-4MM2(26-12 AWG), TORNILLO, A=5.2MM 3044076"/>
        <filter val="SEPARADOR INDEX PLASTIFICADO DE COLORES ALFABETICO (A-Z)"/>
        <filter val="COMBA DE ACERO FORJADO DE 12 LBS C/ MANGO DE FIBRA DE VIDRIO"/>
        <filter val="MOCHILA PULVERIZADORA MANUAL DE 20 L"/>
        <filter val="CAJA CONDULET C/FORRO DE PVC DE 3/4&quot; TP. LR C/TAPA. Y EMPAQUE"/>
        <filter val="TUBO FIERRO GALVANIZADO DE 4&quot; SCH-40"/>
        <filter val="DADO DE IMPACTO TUBULAR HEXAGONAL ENCASTRE 3/4&quot; DE 1 3/4&quot;"/>
        <filter val="CABLE MELLIZO DE 2X16 AWG COLOR BLANCO"/>
        <filter val="LLAVE DE TUBO STILLSON DE 12&quot;"/>
        <filter val="CLIPS PEQUEÑOS PLASTIFICADO DE COLORES X 100 UND"/>
        <filter val="INTERRUPTOR TERMOMAGNÉTICO 2X2A 25/10KA 220DC/440AC/DC TIPO K DIN"/>
        <filter val="INTERRUPTOR TERMOMAGNÉTICO 3X40A 20KA 230V 10KA 400V TIPO C DIN"/>
        <filter val="NIPLE A°G° DE 1&quot; X 1&quot; ISO 65"/>
        <filter val="BARRERA PLASTICA NEW JERSEY DE 1000X400X700CM COLOR: BLANCO"/>
        <filter val="MANGA TERMOCONTRAIBLE 12 MM - COLOR ROJO X 100 M"/>
        <filter val="U-BOLT INOX° DE 1/4&quot; PARA TUBO DE 3/4&quot; C/ TUERCA Y ARANDELA PLANA Y PRESION"/>
        <filter val="TAPON HEMBRA DE PVC A PRESION DE 1&quot;"/>
        <filter val="VASO DESCARTABLE DE TECKNOPOR N° 7"/>
        <filter val="TERMINAL AISLADO T/HORQUILLA AZUL 14 - 16 AWG X 100 UND"/>
        <filter val="ARANDELA PLANA REDONDA DE F°N° DE 3/8&quot;"/>
        <filter val="LINEA DE VIDA RETRACTIL (TAMBOR) C/ CINTA POLYESTER X 3.5 M MOD: HE-35D"/>
        <filter val="MANGA TERMOCONTRAIBLE 12 MM - COLOR NEGRO X 100 M"/>
        <filter val="DESENGRASANTE ECOLOGICO"/>
        <filter val="LLAVE MIXTA BOCA/CORONA DE 29 MM"/>
        <filter val="CODO PVC SAL 4&quot; X 45° P/ DESAGUE"/>
        <filter val="TECLE DE CADENA DE 1.5 TON MODELO: HSZ-CB"/>
        <filter val="PERNO CAB. HEXAGONAL A°G° 5/8&quot; X 3 1/2&quot; C/ TUERCA Y ARANDELA PLANA Y PRESION"/>
        <filter val="LIJA PARA MADERA #200"/>
        <filter val="APÓSITO CON GEL PARA QUEMADURAS"/>
        <filter val="TERMINAL DE COMPRESION CAÑON CORTO 1 HUECO DE 4/0 AWG OJAL DE 3/8&quot; (10 MM )"/>
        <filter val="TUERCA HEXAGONAL INOX 316 DE 1&quot;"/>
        <filter val="LLAVE DE TUBO STILLSON DE 10&quot;"/>
        <filter val="DADO DE IMPACTO TUBULAR HEXAGONAL ENCASTRE 3/4&quot; DE 30 MM"/>
        <filter val="UNION SIMPLE FIERRO NEGRO 3&quot; CLASE 300 UL/FM"/>
        <filter val="JUEGO 9 PZS LLAVES ALLEN MM TIPO NAVAJA DE 1.3, 1.5, 2, 2.5, 3, 4, 5, 5.5, 6 MM"/>
        <filter val="PLATINA F°N° DE 1/8&quot; X 1/2&quot; X 6 M"/>
        <filter val="LINTERNA RECARGABLE 18 LED 3 MODOS"/>
        <filter val="CURADOR DE CONCRETO SIKA ANTISOL S X 20 KG"/>
        <filter val="DADO DE IMPACTO CORTO HEXAGONAL ENCASTRE 1/2&quot; DE 7/8&quot;"/>
        <filter val="ADAPTADOR MAGNETICO (COPA) PARA AUTOPERFORANTE DE 3/16&quot;"/>
        <filter val="REDUCCION CAMPANA FIERRO NEGRO CLASS150 UL/FM 1 1/4&quot; X 1&quot;"/>
        <filter val="LLAVE MIXTA BOCA/CORONA DE 17 MM"/>
        <filter val="CAJA CONDULET DE 2 1/2&quot; TP. LB CON TAPA Y EMPAQUE"/>
        <filter val="CONDUCTOR CU DESNUDO, CABLEADO 120 MM2 (4/0 AWG), 19 HILOS TEMPLE BLANDO"/>
        <filter val="CAJA CONDULET C/FORRO DE PVC DE 1&quot; TP. C C/TAPA. Y EMPAQUE"/>
        <filter val="TUBO CUADRADO LAC 2&quot; X 2&quot; X 3 MM X 6 M"/>
        <filter val="DADO DE IMPACTO TUBULAR HEXAGONAL ENCASTRE 3/4&quot; DE 17 MM"/>
        <filter val="MANOMETRO DE OXIGENO P/ EQUIPO DE OXICORTE"/>
        <filter val="TERMINAL AISLADO T/OJO AMARILLO 10 - 12 AWG X 100 UND"/>
        <filter val="TARUGO DE PLASTICO DE 3/8&quot; X 100 UND"/>
        <filter val="DISCO DE CORTE DE 7&quot; DIAMANTADO PARA CONCRETO"/>
        <filter val="JARRA DE PLASTICO DE 1000 ML"/>
        <filter val="PINTURA EN SPRAY COLOR: AMARILLO"/>
        <filter val="ESTIQUER AUTOADHESIVO PARA CASCO DE 2C M ALTO X 5 CM ANCHO LOGO: STP"/>
        <filter val="DADO DE IMPACTO TUBULAR HEXAGONAL ENCASTRE 3/4&quot; DE 1 3/8&quot;"/>
        <filter val="CASACA CINTA REF FORRO POLAR CAPUCHA COLOR NARANJA LOGO STP TALLA: XL"/>
        <filter val="DADO DE IMPACTO CORTO HEXAGONAL ENCASTRE 3/4&quot; DE 23 MM"/>
        <filter val="CODO PVC 1&quot; X 45° SP"/>
        <filter val="ARANDELA PLANA REDONDA DE F°N° DE 3/4&quot;"/>
        <filter val="TUERCA BUSHING HIERRO C/AISL. C/PUESTA A TIERRA UL DE 1 1/2&quot;"/>
        <filter val="CABLE UNIPOLAR THW DE 12 AWG 750VCA AISLAMIENTO PVC COLOR: NEGRO"/>
        <filter val="ACOPLE FLEXIBLE DE 4&quot; ESTILO 77"/>
        <filter val="DADO DE IMPACTO CORTO HEXAGONAL ENCASTRE 3/4&quot; DE 15/16&quot;"/>
        <filter val="TACHO DE PLASTICO DE BASURA COLOR AZUL &quot;PAPEL Y CARTON&quot; DE 51 LTS"/>
        <filter val="TUBO NEGRO SCH 40 A-53/API 5L S/C 1 1/4&quot; X 6 M"/>
        <filter val="BACKING RING DUCTIL DE 8&quot;"/>
        <filter val="BROCHA DE 3&quot; MANGO MADERA Y CERDA"/>
        <filter val="PLATINA F°N° DE 3/16&quot; X 1&quot; X 6 M"/>
        <filter val="TERMINAL DE COMPRESION CAÑON CORTO 1 HUECO DE 300 MCM  OJAL DE 9/16&quot; (14 MM )"/>
        <filter val="CODO PVC 1 1/2&quot; X 45° SP"/>
        <filter val="TENAZA PARA ZUNCHO DE 3/4&quot;"/>
        <filter val="ESPARRAGO ACERO NEGRO B7 ESTRUCTURAL A 325 DE 3/4&quot; X 1 M"/>
        <filter val="LIJA AL SECO #100"/>
        <filter val="PERNO CAB. HEXAGONAL INOX 304 7/16&quot; X 3 1/2&quot; C/ TUERCA Y ARAND PLANA Y PRESION"/>
        <filter val="TORNILLO AUTOPERFORANTE PUNTA BROCA #6 X 1 1/2&quot; CON ARANDELA DENEOPRENO"/>
        <filter val="VALVULA DE BOLA DE 1&quot; ACERO INOX ROSCA NPT CON SISTEMA PARA BLOQUEO"/>
        <filter val="REMACHE POP 3/16&quot; X 1&quot; X 100 UND"/>
        <filter val="PRENSAESTOPA SIMÉTRICA PARA 63A GRIS"/>
        <filter val="ESPARRAGO ACERO ZINCADO DE 5/8&quot; X 1 M"/>
        <filter val="PERNO DE EXPANSION 5/8&quot; X 4&quot; C/ TUERCA Y ARANDELA PLANA Y PRESION"/>
        <filter val="REDUCCION BUSHING P/CONDUIT DE 1&quot; A 3/4&quot;"/>
        <filter val="MICA PORTAPAPEL TAMAÑO A4 X 10 UND"/>
        <filter val="LLANA PLANA O PLANCHA DE EMPASTAR DE GOMA"/>
        <filter val="BROCHA DE 5&quot; MANGO MADERA Y CERDA"/>
        <filter val="CAJA CONDULET 3/4&quot; TIPO &quot;LL&quot; C/TAPA. Y EMPAQUE"/>
        <filter val="ESPUMA POLIURETANO EXPANDIBLE PARA SELLOS Y AISLAMIENTOS SIKA BOOM CAPAC.500 ML"/>
        <filter val="UNIFORME DEPORTIVO (CAMISETA, SHORT Y MEDIAS) TALLA: S"/>
        <filter val="EXTENSION PARA DADO DE IMPACTO DE 3/4&quot; X 10&quot;"/>
        <filter val="EXTINTOR DE POLVO QUIMICO SECO DE 9 KG"/>
        <filter val="TOMACORRIENTE VISIBLE 32AMP 3P+N+T 415V 6H IP44 ROJO  MOD 27008"/>
        <filter val="RUEDA INOX PARA CORTADOR DE TUBING DE 1/8&quot; - 1 1/8&quot;"/>
        <filter val="TOMACORRIENTE DOBLE 2X20AMP, 250 V T/CHINO INDUSTRIAL + PLACA HERMETICA"/>
        <filter val="MANTA DIELECTRICA DE 1 X 1 M CLASE 4 (&lt;=36000V)"/>
        <filter val="REDUCCION PVC SAL 4&quot; A 3&quot;"/>
        <filter val="ARANDELA PLANA REDONDA DE F°N° DE 1&quot;"/>
        <filter val="UNIFORME DEPORTIVO (CAMISETA, SHORT Y MEDIAS) TALLA: M"/>
        <filter val="UNIFORME DEPORTIVO (CAMISETA, SHORT Y MEDIAS) TALLA: L"/>
        <filter val="REDUCCION BUSHING ACERO INOXIDABLE 3/4&quot; X 1/2&quot;"/>
        <filter val="NIPLE A°G° DE 3/4&quot; X 4&quot; ISO 65"/>
        <filter val="DISCO DE CORTE METAL 4 1/2&quot; X 1/8&quot; X 7/8"/>
        <filter val="TERMINAL DE COMPRESION CAÑON LARGO 2 HUECOS DE 400 MCM OJAL DE 1/2&quot; (12.5 MM )"/>
        <filter val="PLUMON DELGADO INDELEBLE #421 COLOR NEGRO"/>
        <filter val="USB DE 2 GB"/>
        <filter val="CINTA DE EMBALAJE DE 2&quot; X 110 YDS"/>
        <filter val="MARTILLO DE UÑA PARA CARPINTERO DE 21 OZ"/>
        <filter val="LIJA AL SECO #120"/>
        <filter val="ALICATE UNIVERSAL AISLADO 1000 V"/>
        <filter val="ABRAZADERA METALICA C/ 2 OREJAS P TUBO 1/2&quot;"/>
        <filter val="POLO MANGA LARGA LOGO STP COLOR AZUL TALLA: XL"/>
        <filter val="CINTILLO AMARRACABLE 368 X 4.8MM X 100 UND - COLOR BLANCO"/>
        <filter val="PINTURA EN SPRAY COLOR: AZUL"/>
        <filter val="REDUCCION CAMPANA FIERRO NEGRO CLASS150 UL/FM 1 1/2&quot; X 1/2&quot;"/>
        <filter val="LLAVE FRANCESA AJUSTABLE CROMADA 24&quot;"/>
        <filter val="OCHAVO DE MADERA 1&quot; X 1&quot; X 3 M"/>
        <filter val="USB DE 64 GB"/>
        <filter val="LLAVE MIXTA BOCA/CORONA DE 1 1/8&quot;"/>
        <filter val="PLATINA DE COBRE DURO DESNUDO 10X100MM 6MTS"/>
        <filter val="UNION UNIVERSAL PARA CONDUIT F°G° DE 1 1/2&quot; HEMBRA - HEMBRA"/>
        <filter val="PISTOLA DE IMPACTO INALAMBRICA ENCASTRE DE 1/2&quot; MODELO: GDS 18 V -LI HT"/>
        <filter val="TORNILLO STOVE-BOLT DE A°G° DE 1/4&quot; X 1 1/2&quot; C/ TUERCA, ARAND PLANA RED Y PRES"/>
        <filter val="ABRAZADERA METALICA C/ 1 OREJA P/ TUBO 1/2&quot;"/>
        <filter val="PERNO CAB. HEXAGONAL INOX 304 3/8&quot; X 2 1/2&quot; C/ TUERCA Y ARANDELA PLANA Y PRESION"/>
        <filter val="ANGULO DE F°N° 3/16&quot; x 3&quot; x 6 M"/>
        <filter val="ANGULO DE F°N° 3/8&quot; x 4&quot; x 6 M"/>
        <filter val="PERNO CAB. HEXAGONAL F°N° 7/16&quot; X 1 1/2&quot; C/ TUERCA Y ARANDELA PLANA Y PRESION"/>
        <filter val="CARTULINA T-A4 COLOR BLANCO"/>
        <filter val="PLUMON PARA PIZARRA ACRILICA #152 COLOR ROJO"/>
        <filter val="NOTA ADHESIVA DE 3&quot; X 3&quot; POST IT"/>
        <filter val="CODO ACERO AL CARBONO DE 2&quot; X 90° SOLDABLE SCH-40"/>
        <filter val="TUBO DE PVC SCH-80 DE 3/4&quot; X 3 M"/>
        <filter val="DADO DE IMPACTO TUBULAR HEXAGONAL ENCASTRE 3/4&quot; DE 1 1/16&quot;"/>
        <filter val="BROCA DE 3/4&quot; X 6&quot; ENCASTRE DE 1/2&quot; SDS PLUS (CONCRETO)"/>
        <filter val="CABLE UNIPOLAR THW DE 14 AWG 750VCA AISLAMIENTO PVC COLOR: NEGRO"/>
        <filter val="SILICONA BLANCA SIKASIL AC COLOR: BLANCO CAPAC. 300 ML"/>
        <filter val="ANGULO DE F°N° 1/8&quot; x 4&quot; x 6 M"/>
        <filter val="ENCHUFE PLANO 2X20A+T 250V NEMA 6-20P PVC AMARILLO"/>
        <filter val="PRENSAESTOPA DE NYLON GRIS CON UL DE 13-18MM"/>
        <filter val="ESLINGA DE POLYESTER DE 3&quot; X 4 M"/>
        <filter val="MICA OSCURA PARA CARETA FACIAL"/>
        <filter val="PIZARRA DE CORCHO DE 1.60 X 1.20 M"/>
        <filter val="ARANDELA PLANA REDONDA ZINCADO DE 1&quot;"/>
        <filter val="PERNO CAB. HEXAGONAL A°G° 5/16&quot; X 2 1/2&quot; C/ TUERCA Y ARANDELA PLANA Y PRESION"/>
        <filter val="LAPICERO (BOLIGRAFO) TRILUX NEGRO 032-M"/>
        <filter val="TORNILLO AUTOPERFORANTE PUNTA FINA #8 X 3/4&quot; CON ARANDELA DE NEOPRENO"/>
        <filter val="CURITAS ADHESIVAS CureBand VENDITAS ESTÁNDAR X 100 UND"/>
        <filter val="HOMBRERA SUFRIDOR AMBIDIESTRA"/>
        <filter val="ENGRAPADOR TIPO ALICATE PLATEADO"/>
        <filter val="BRIDA CIEGA DE 8&quot; ACERO NEGRO SOLDABLE SCH-40"/>
        <filter val="POST IT POP UP NEÓN SURTIDO 3X3IN, 5 PADS (500 HOJAS)"/>
        <filter val="BADILEJO PARA ALBAÑIL DE 6&quot; C/ MANGO DE MADERA"/>
        <filter val="TORNILLO AUTOPERFORANTE PUNTA BROCA #12 X 3/4&quot; CON ARANDELA DE NEOPRENO"/>
        <filter val="ABRAZADERA AJUSTABLE ACERO INOX DE 1 1/2&quot;"/>
        <filter val="BORNE DE TIERRA, UT 2,5 32A, 0.14-4MM2(26-12 AWG), TORNILLO, A=5.2MM 3044092"/>
        <filter val="INTERRUPTOR DIFERENCIAL 2X40A 30MA 230 VAC"/>
        <filter val="BARNIZ TRANSPARENTE X 1 GLN"/>
        <filter val="GRAPAS 26/6 CAJA DE 5000 Und"/>
        <filter val="CURVA PVC 1 1/2&quot; X 90° SAP"/>
        <filter val="TEMPLADOR OJO-GANCHO DE FºGº DE 3/8&quot; X 10&quot;"/>
        <filter val="ALAMBRE TUBULAR EXATUB 71 DE 1/16&quot;/1.6MM X 15 KG"/>
        <filter val="LIJA AL SECO #180"/>
        <filter val="PEGAMENTO CEMENTO PARA PVC COLOR AZUL X 4 ONZ 118 ML"/>
        <filter val="TERMINAL DE COMPRESION CAÑON LARGO 2 HUECOS DE 350 MCM OJAL DE 1/2&quot; (12.5 MM )"/>
        <filter val="U-BOLT F°G° DE 3/4&quot; PARA TUBO DE 24&quot; C/ TUERCA Y ARANDELA PLANA Y PRESION"/>
        <filter val="LLAVE MIXTA BOCA/CORONA DE 1 1/4&quot;"/>
        <filter val="PERNO CAB. HEXAGONAL INOX 304 5/16&quot; X 1 1/2&quot; C/ TUERCA Y ARAND PLANA Y PRESION"/>
        <filter val="TARRAJA PARA TUBO MANUAL DE 1/2&quot;-2&quot; MODELO: TA-851"/>
        <filter val="CANAL UNISTRUT LISO 1 5/8&quot;X 1 5/8&quot; X 3M B- LINE (P-1000)"/>
        <filter val="TUBO DE PVC SCH-80 DE 1&quot; X 3 M"/>
        <filter val="LLAVE MIXTA BOCA/CORONA DE 42 MM"/>
        <filter val="DISCO DE CORTE METAL 7&quot; X 1/8&quot; X 7/8&quot;"/>
        <filter val="UNION UNIVERSAL O TUERCA UNION FIERRO GALVANIZADO 1 1/4&quot; CLASE 150 UL/FM"/>
        <filter val="PLUMON PARA PIZARRA ACRILICA #152 COLOR NEGRO"/>
        <filter val="UNION DE PVC PRESION-PRESION DE 6&quot; SCH-40"/>
        <filter val="DESARMADOR PILOTO"/>
        <filter val="PERNO CAB. HEXAGONAL F°N° 1/4&quot; X 2&quot; C/ TUERCA Y ARANDELA PLANA Y PRESION"/>
        <filter val="DADO DE IMPACTO CORTO HEXAGONAL ENCASTRE 3/4&quot; DE 1 13/16&quot;"/>
        <filter val="JUEGO DE DADOS HEXAGONAL MILIMETRICO DE 1/2&quot; DE 10-19MM MODELO: DD/S10"/>
        <filter val="CLAVO DE ACERO DE 4&quot;"/>
        <filter val="PEGAMENTO CEMENTO PARA PVC COLOR DORADO X 16 ONZ 473 ML (1/8 GAL)"/>
        <filter val="PINTURA BASE GRIS (EPOXICO+CATALIZADOR)"/>
        <filter val="MALETA PORTA HERRAMIENTAS PLASTICA DE 23&quot;"/>
        <filter val="BROCA HSS DE COBALTO PARA INOX DE 1/8&quot;"/>
        <filter val="UNION A PRESION DE 2&quot; DE PVC"/>
        <filter val="DADO DE IMPACTO CORTO HEXAGONAL ENCASTRE 3/4&quot; DE 1 3/16&quot;"/>
        <filter val="ENCHUFE 2P+T 15A 125V PVC COLOR AMARILLO"/>
        <filter val="TRIPLAY LUPUNA DE 6 MM X 1.22 X 2.44M"/>
        <filter val="CONECTOR CURVO 90° HERMETICO PARA TUBERIA FLEXIBLE 1/2&quot; LIQUID TIGHT"/>
        <filter val="TERMINAL DE COMPRESION CAÑON CORTO 1 HUECO DE 600 MCM OJAL DE 3/4&quot; (20 MM )"/>
        <filter val="ACERO CORRUGADO G60 FY=4200 KG/CM2 5/8&quot; X 9 M"/>
        <filter val="PLANCHA ESTRUCTURAL A-36 2 MM X 1200 X 2400 MM"/>
        <filter val="LLAVE MIXTA BOCA/CORONA DE 8 MM"/>
        <filter val="REDUCCION CONCENTRICA SOLDABLE SCH-40 3&quot; X 2&quot;"/>
        <filter val="PERNO DE EXPANSION 1/4&quot; X 2 1/4&quot; C/ TUERCA Y ARANDELA PLANA Y PRESION"/>
        <filter val="CODO PVC SAL 3&quot; X 90° P/ DESAGUE"/>
        <filter val="CLIPS MARIPOSA CHICO # 02 X 50 UND"/>
        <filter val="CODO PVC 3&quot; X 90° SP"/>
        <filter val="TERMINAL DE COMPRESION CAÑON LARGO 1 HUECO  DE 2/0 AWG OJAL DE 13 MM"/>
        <filter val="CODO FIERRO NEGRO 1&quot; X 45° ROSCA NPT CLASE150"/>
        <filter val="CONO DE SEÑALIZACIÓN COLOR NARANJA 36&quot;"/>
        <filter val="CHALECO DRILL 05 BOL CINTA REF LOGO BORD PECHO ESP COLOR AZUL OPERADOR TALLA: XL"/>
        <filter val="PISTOLA DE CALOR 1800W MODELO: STXH2000-B2"/>
        <filter val="CLAVO DE ACERO DE 1&quot;"/>
        <filter val="UNION SIMPLE FIERRO GALVANIZADO 4&quot; CLASE 150 UL/FM"/>
        <filter val="TUERCA HEXAGONAL DE F°G° DE 5/8&quot;"/>
        <filter val="CLAVO DE ACERO DE 2&quot;"/>
        <filter val="TERMINAL DE COMPRESION CAÑON LARGO 1 HUECO  DE 2 AWG OJAL DE 13 MM"/>
        <filter val="TUERCA HEXAGONAL INOX 304 DE 3/8&quot;"/>
        <filter val="TAJADOR DE LAPIZ"/>
        <filter val="LLAVE MIXTA BOCA/CORONA DE 60 MM"/>
        <filter val="BOLSA DE BASURA X 100 UND DE 140 L COLOR AMARILLO"/>
        <filter val="TAMPON COLOR ROJO"/>
        <filter val="DISCO DE CORTE INOX 4 1/2&quot; X 1/8&quot; X 7/8"/>
        <filter val="DADO DE IMPACTO CORTO HEXAGONAL ENCASTRE 1/2&quot; DE 8 MM"/>
        <filter val="LUSTRAMUEBLES MARTELL 260 ML"/>
        <filter val="CORTADOR DE TUBERIA INOX 1/4&quot; - 1 3/8&quot; (TUBING) MODELO: 150-LS"/>
        <filter val="CURVA PVC 2&quot; X 90° SAP"/>
        <filter val="TUBO FIERRO GALVANIZADO DE 1 1/4&quot; SCH-40"/>
        <filter val="BIRBIQUI DE 12&quot;"/>
        <filter val="LLAVE MIXTA BOCA/CORONA DE 7/16&quot;"/>
        <filter val="REDUCCION CAMPANA FIERRO NEGRO CLASS150 UL/FM 2 1/2&quot; X 1 1/2&quot;"/>
        <filter val="GUANTE ANTI IMPACTO MODELO: VV910IA09"/>
        <filter val="SELLADOR BASE LATEX DE CONCRETO X 4 L"/>
        <filter val="BOLSA DE BASURA X 100 UND DE 140 L COLOR BLANCO"/>
        <filter val="CLAVO DE ACERO DE 3&quot;"/>
        <filter val="SELLO 4911"/>
        <filter val="GORRO PUBLICITARIO DRILL LOGO: STP"/>
        <filter val="CINTILLO AMARRACABLE 700 X 9.0MM X 100 UND - COLOR BLANCO"/>
        <filter val="BROCA HSS DE COBALTO PARA INOX DE 1/4&quot;"/>
        <filter val="NIPLE A°G° DE 1&quot; X 2&quot; ISO 65"/>
        <filter val="TUBO CONDUIT PESADO F°G° DE 3&quot; X 3 M UL6 ANSI C 80.1"/>
        <filter val="ARANDELA PLANA REDONDA INOX DE 7/8&quot;"/>
        <filter val="ESCOBA DE NYLON CON MANGO DE MADERA"/>
        <filter val="ACOPLE FLEXIBLE DE 2&quot; ESTILO 77"/>
        <filter val="LIBRO DE ACTAS (200 FOLIOS)"/>
        <filter val="PERNO CAB. HEXAGONAL A°G° 1/2&quot; X 1&quot; C/ TUERCA Y ARANDELA PLANA Y PRESION"/>
        <filter val="ESTIQUER AUTOADHESIVO PARA CANDADO DE BLOQUEO DE 2,5 CM ANCHO X 3 CM ALTO"/>
        <filter val="REDUCCION BUSHING FIERRO GALV 1 1/4&quot; X 3/4&quot; ROSCA NPT X 150 LIBRAS UL/FM"/>
        <filter val="TUBO FIERRO GALVANIZADO DE 3/4&quot; SCH-40"/>
        <filter val="SELLADOR BASE LATEX PARA MUROS"/>
        <filter val="CAJA DE PASE RECTANGULAR DE PVC DE 4&quot; X 2&quot; EMPOTRABLE"/>
        <filter val="DADO DE IMPACTO CORTO HEXAGONAL ENCASTRE 1/2&quot; DE 1 1/16&quot;"/>
        <filter val="DADO DE IMPACTO CORTO HEXAGONAL ENCASTRE 3/4&quot; DE 29 MM"/>
        <filter val="VARILLA DE COPPERWELD DE 1/2&quot; X 2.40 M"/>
        <filter val="REDUCCION BUSHING FIERRO GALV 1&quot; X 1/2&quot; ROSCA NPT X 150 LIBRAS UL/FM"/>
        <filter val="LLAVE MIXTA BOCA/CORONA DE 13/16&quot;"/>
        <filter val="CODO PVC 1 1/2&quot; X 90° SP"/>
        <filter val="WINCHA PASACABLE CABLE ACERO DE 30 M"/>
        <filter val="ADAPTADOR PARA FILTROS MODELO: 502"/>
        <filter val="INTERRUPTOR TERMOMAGNÉTICO 1X10A 10/6KA 230/400V TIPO C DIN"/>
        <filter val="U-BOLT INOX° DE 1/4&quot; PARA TUBO DE 1 1/2&quot; C/ TUERCA Y ARANDELA PLANA Y PRESION"/>
        <filter val="LLAVE MIXTA BOCA/CORONA DE 23 MM"/>
        <filter val="CONECTOR CURVO 90° HERMETICO PARA TUBERIA FLEXIBLE 3/4&quot; CON FORRO DE PVC"/>
        <filter val="ARANDELA DE PRESION DE F°G° DE 7/8&quot;"/>
        <filter val="PEGAMENTO CEMENTO PARA PVC COLOR DORADO X 8 ONZ 237 ML"/>
        <filter val="REDUCCION CAMPANA FIERRO NEGRO CLASS150 UL/FM 1&quot; X 3/4&quot;"/>
        <filter val="CODO PVC 1/2&quot; X 45° SP"/>
        <filter val="JUEGO DE DADOS DE 27 PZS PULGADAS MODELO: 86-505"/>
        <filter val="UNION SIMPLE FIERRO GALVANIZADO 1/2&quot; CLASE 150 UL/FM"/>
        <filter val="NIVEL DE ALUMINIO DE 500MM"/>
        <filter val="ABRAZADERA METALICA C/ 2 OREJAS P TUBO 1 1/2&quot;"/>
        <filter val="TENAZA TIERRA DE 150 AMP"/>
        <filter val="TUERCA HEXAGONAL INOX 304 DE 3/4&quot;"/>
        <filter val="MANGA TERMOCONTRAIBLE 35 MM - COLOR ROJO X 50 M"/>
        <filter val="INTERRUPTOR TERMOMAGNÉTICO 1X2A 10/6KA 230/400V TIPO C DIN"/>
        <filter val="LLAVE MIXTA BOCA/CORONA DE 11 MM"/>
        <filter val="TARJETA DE SEÑALIZACION PARA ANDAMIO COLOR: VERDE"/>
        <filter val="CONECTOR TIERRA P/CABLE.4-2/0AWG A VAR 5/8-3/4&quot; GAR6426"/>
        <filter val="PERNO DE EXPANSION 1/4&quot; X 3&quot; C/ TUERCA Y ARANDELA PLANA Y PRESION"/>
        <filter val="TUERCA HEXAGONAL DE F°N° DE 3/4&quot;"/>
        <filter val="ESLINGA DE POLYESTER DE 2&quot; X 4 M"/>
        <filter val="DADO DE IMPACTO CORTO HEXAGONAL ENCASTRE 3/4&quot; DE 17 MM"/>
        <filter val="BANDEJA DE PLASTICO P/ RODILLO DE 9&quot;"/>
        <filter val="BARRA LUMINOSA DE SEÑALIZACION COLOR: VERDE"/>
        <filter val="UNION SIMPLE ACERO INOXIDABLE 3&quot; ROSCA NPT"/>
        <filter val="ABRAZADERA DE BANDEJA A TUBO CONDUIT 3/4'' LCC"/>
        <filter val="CINTILLO AMARRACABLE 180 X 4.0MM X 100 UND - COLOR BLANCO"/>
        <filter val="CONECTOR RECTO HERMETICO PARA TUBERIA FLEXIBLE 2&quot; LIQUID-TIGHT"/>
        <filter val="TACHO DE PLASTICO DE BASURA COLOR MARRON &quot;REDISUOS ORGANICOS&quot; DE 51 LTS"/>
        <filter val="REDUCCION BUSHING ACERO INOXIDABLE 3&quot; X 1/2&quot; ROSCA NPT C-304 X 150 LIB"/>
        <filter val="DETECTOR DE VOLTAJE 200-1000VAC CAT IV.1000V MODELO: 1AC-II"/>
        <filter val="TENAZA TIERRA DE 500 AMP"/>
        <filter val="INTERRUPTOR TERMOMAGNÉTICO 3X10A 20/6KA 230/400V TIPO C DIN"/>
        <filter val="PERNO CAB. HEXAGONAL A°G° 5/16 X 2&quot; C/ TUERCA Y ARANDELA PLANA Y PRESION"/>
        <filter val="TERMINAL DE COMPRESION CAÑON CORTO 1 HUECO DE 6 AWG OJAL DE 1/4&quot; (6 MM )"/>
        <filter val="BROCA HSS PARA ACERO DE 1&quot;"/>
        <filter val="MANGA TERMOCONTRAIBLE 50 MM - COLOR AZUL X 25 M"/>
        <filter val="PERNO CAB. HEXAGONAL F°N° 7/8&quot; X 3&quot; C/ TUERCA Y ARANDELA PLANA Y PRESION"/>
        <filter val="CONECTOR UNION CODO HEMBRA DE 90° PARA TUBING DE 1/4&quot; NPT A 1/4&quot; OD"/>
        <filter val="LLAVE MIXTA BOCA/CORONA DE 1 7/8&quot;"/>
        <filter val="COMBA DE ACERO FORJADO DE 8 LBS C/ MANGO DE MADERA"/>
        <filter val="CURVA PVC SCH 40 4″ 90°"/>
        <filter val="REDUCCION BUSHING FIERRO GALV 2&quot; X 3/4&quot; ROSCA NPT X 150 LIBRAS UL/FM"/>
        <filter val="CONECTOR CURVO 45° HERMETICO PARA TUBERIA FLEXIBLE 1&quot; LIQUID TIGHT"/>
        <filter val="VALVULA DE BOLA DE 2&quot; ACERO INOX ROSCA NPT CON SISTEMA PARA BLOQUEO"/>
        <filter val="CHALECO DRILL 05 BOL CINTA REF LOGO BORD STP PECHO ESP COLOR NARANJA TALLA: XXL"/>
        <filter val="CAMISA P/CABALLERO MANGA LARGA COLOR CELESTE LOGO: STP TALLA: XXL"/>
        <filter val="CAJA DE PASO DE POLICARBONATO C/ CHAPA MEDIA VUELTA DE 250MM X 250MM X 150MM"/>
        <filter val="TEE ACERO AL CARBONO DE 1 1/2&quot; SOLDABLE SCH-40"/>
        <filter val="PLANCHA ESTRIADA 2.0 X 1200 X 2400 MM"/>
        <filter val="BROCA HSS DE COBALTO PARA INOX DE 1/2&quot;"/>
        <filter val="CINTA AISLANTE PARA DUCTOS MODELO: BASICO DE 2&quot; X 55 YDS"/>
        <filter val="ESPARRAGO ACERO ZINCADO DE 3/8&quot; X 1 M"/>
        <filter val="TAPON HEMBRA DE PVC A PRESION DE 1/2&quot;"/>
        <filter val="EXTENSION ELECTRICA 1X3X14 AWG 220V"/>
        <filter val="PEGAMENTO CEMENTO PARA PVC COLOR AZUL X 8 ONZ 237 ML"/>
        <filter val="LIJA AL SECO #800"/>
        <filter val="CABLE PUESTA A TIERRA CPT 4/0 AWG 120MM2 COLOR: AMAR-VERDE"/>
        <filter val="DADO DE IMPACTO PUNTA (ALLEN) ENCASTRE 1/2&quot;) DE 10 MM"/>
        <filter val="PERNO CAB. HEXAGONAL INOX 304 1/2&quot; X 1 1/2&quot; C/ TUERCA Y ARANDELA PLANA Y PRESION"/>
        <filter val="TORNILLO VOLCANITA (PARA DRYWALL) PUNTA FINA 6 X 1&quot; X 250 UND (COLOR NEGRO)"/>
        <filter val="TUERCA HEXAGONAL DE F°N° DE 3/8&quot;"/>
        <filter val="PERNO CAB. HEXAGONAL A°G° 1/4&quot; X 1/2&quot; C/ TUERCA Y ARANDELA PLANA Y PRESION"/>
        <filter val="PERNO CAB. HEXAGONAL A°G° 3/8&quot; X 1 1/4&quot; C/ TUERCA Y ARANDELA PLANA Y PRESION"/>
        <filter val="TAPON HEMBRA ROSCADO P/TUBO CONDUIT DE 1/2&quot;"/>
        <filter val="TERMINAL DE COMPRESION CAÑON LARGO 1 HUECO  DE 3/0 AWG OJAL DE 13 MM"/>
        <filter val="CODO ACERO AL CARBONO DE 1 1/4&quot; X 90° SOLDABLE SCH-40"/>
        <filter val="GUANTES AISLANTE DE JEBE CLASE: 4 DE 36000 V"/>
        <filter val="ZUNCHO METALICO DE 3/4&quot; X 100 M"/>
        <filter val="PERNO CAB. HEXAGONAL A°G° 5/16&quot; X 1&quot; C/ TUERCA Y ARANDELA PLANA Y PRESION"/>
        <filter val="TAPA DE PVC PARA TOMACORRIENTE DOBLE COLOR NARANJA"/>
        <filter val="CAJA CONDULET DE 1&quot; TP. C CON TAPA Y EMPAQUE"/>
        <filter val="PINTURA DE RETOQUE PARA PROTECCION DE TABLEROS ELECTRICOS COLOR GRIS RAL 7035"/>
        <filter val="PERNO CAB. HEXAGONAL F°N° 3/8&quot; X 1 1/4&quot; C/ TUERCA Y ARANDELA PLANA Y PRESION"/>
        <filter val="TOPE DE FIJACIÓN Y/O TAPA PARA BORNES 1 PASO 5-6-8-10MM"/>
        <filter val="FOCO NEBLINERO H1 24V 70W"/>
        <filter val="REMACHE POP 3/16&quot; X 1/2&quot; X 100 UND"/>
        <filter val="TACHO DE PLASTICO DE BASURA COLOR AZUL &quot;PAPEL Y CARTON&quot; DE 25 LTS"/>
        <filter val="DADO DE IMPACTO CORTO HEXAGONAL ENCASTRE 3/4&quot; DE 30 MM"/>
        <filter val="TUBO NEGRO STANDARD 1 1/2&quot; X 3.25MM X 6.40M"/>
        <filter val="UNION SIMPLE FIERRO NEGRO 1&quot; CLASE 300 UL/FM"/>
        <filter val="TERMINAL DE COMPRESION CAÑON LARGO 2 HUECOS DE 600 MCM OJAL DE 1/2&quot; (12.5 MM )"/>
        <filter val="ESCOBA DE NYLON CON MANGO DE ALUMINIO"/>
        <filter val="COMPRESA FRIA INSTANTANEA"/>
        <filter val="LLAVE CARRACA PARA ANDAMIERO 19/22 MM"/>
        <filter val="AUTORRESCATADOR - W65"/>
        <filter val="BOTELLA DE TINTA COLOR: CYAN MODELO: T554"/>
        <filter val="REDUCCION BUSHING F°N° DE 1 1/2&quot; A 3/4&quot; ROSCA NPT X 150/300 LIB"/>
        <filter val="ACERO CORRUGADO G60 FY=4200 KG/CM2 3/8&quot; X 9 M"/>
        <filter val="PARIHUELA DE MADERA DE 1,2 M X 1,0 M"/>
        <filter val="CLAVO DE ACERO DE 1 1/2&quot;"/>
        <filter val="REGLA METALICA DE 30 CM"/>
        <filter val="AGUA MINERAL X 500 ML"/>
        <filter val="REDUCCION CAMPANA FIERRO NEGRO CLASS150 UL/FM 2 1/2&quot; X 1 1/4&quot;"/>
        <filter val="TORNILLO STOVE-BOLT DE A°G° DE 1/8&quot; X 1/2&quot;  C/ TUERCA, ARAND PLANA RED Y PRES"/>
        <filter val="INTERRUPTOR DIFERENCIAL SUPERINMUNIZADO 4X63A 30MA A APR"/>
        <filter val="CORTA CABLE TIPO CARRACA DE 240 MM MODELO: CC-325"/>
        <filter val="TUBO CONDUIT PESADO F°G° DE 3/4&quot; X 3 M UL6 ANSI C 80.1"/>
        <filter val="JUEGO DE LLAVES MIXTAS COMBINADAS X 20 PZS (8MM-18MM) (1/4&quot;-7/8&quot;)"/>
        <filter val="BOQUILLA PARA OXICORTE N° 6"/>
        <filter val="PINTURA ESMALTE SINTETICO MODELO: MAESTRO"/>
        <filter val="ANEMOMETRO DIGITAL MODELO: NAR8161"/>
        <filter val="CASCO DIELECTRICO MARRON C/SUSPENSION MODELO: H700"/>
        <filter val="LLAVE DE BOCA DE 1 1/2&quot; CON MANGO DE COLA"/>
        <filter val="BORNE DE CONEXIÓN 4MM2 PARA 1 CONEXIÓN SIMPLE VIKING3"/>
        <filter val="BOQUILLA PARA OXICORTE N° 1"/>
        <filter val="BOQUILLA PARA OXICORTE N° 3"/>
        <filter val="ACOPLE TIPO GARRA ROSCADO INTERIOR DE 3/4&quot;"/>
        <filter val="BOQUILLA PARA OXICORTE N° 2"/>
        <filter val="BOQUILLA PARA OXICORTE N° 5"/>
        <filter val="BOQUILLA PARA OXICORTE N° 4"/>
        <filter val="MANGA TERMOCONTRAIBLE 12 MM - COLOR AZUL X 100 M"/>
        <filter val="TRAJE DESCARTABLE BLANCO MACROGUARD TALLA: XXL"/>
        <filter val="MONITOR DE 24&quot; MODELO: 24MS500-B"/>
        <filter val="TRIPLAY LUPUNA DE 4 MM X 1.22 X 2.44M"/>
        <filter val="CORDÓN/SALCHICHA ABSORVENTE DE 3&quot;X8'"/>
        <filter val="LLAVE PALANCA DADOS &quot;L&quot; ENCASTRE 1/2&quot;"/>
        <filter val="LLAVERO PUBLICITARIO TIPO CASCO MINERO LOGO: STP"/>
        <filter val="TAPA PARA TOMACORRIENTE DOBLE"/>
        <filter val="CODO FIERRO NEGRO 1/2&quot; X 45° ROSCA NPT CLASE150"/>
        <filter val="DADO DE IMPACTO TUBULAR HEXAGONAL ENCASTRE 1/2&quot; DE 1/2&quot;"/>
        <filter val="ANGULO ESQUINERO DE 300MM X 300 MM X 3 M P/ DRYWALL"/>
        <filter val="CHALECO DRILL 05 BOL CIN REF LOG BORD PECHO ESP ROJO SUPERVISOR OPERATIVO T: XXL"/>
        <filter val="ARANDELA DE PRESION INOX DE 7/8&quot;"/>
        <filter val="ACEITE MULTIGRADO 20W-50"/>
        <filter val="CODO ACERO AL CARBONO DE 3/4&quot; X 90° SOLDABLE SCH-40"/>
        <filter val="PIONER A-4 DE 3 ANILLOS (LOMO ANCHO 65MM) COLOR AZUL"/>
        <filter val="UNION UNIVERSAL O TUERCA UNION FIERRO GALVANIZADO 1/2'' CLASE 150 UL/FM"/>
        <filter val="CINTILLO AMARRACABLE 385 X 4.8MM X 100 UND - COLOR BLANCO"/>
        <filter val="UNION SIMPLE FIERRO NEGRO 4&quot; CLASE 300 UL/FM"/>
        <filter val="TUBO CONDUIT PESADO F°G° DE 1/2&quot; X 3 M UL6 ANSI C 80.1"/>
        <filter val="MANGA TERMOCONTRAIBLE 25 MM - COLOR VERDE X 50 M"/>
        <filter val="NIPLE A°G° DE 3/4&quot; X 3&quot; ISO 65"/>
        <filter val="ESMERIL ANGULAR AMOLADORA DE 4 1/2&quot; MODELO: GWS 9-125"/>
        <filter val="LLANTA P/CARRETILLA BUGGY C/CAMARA"/>
        <filter val="REDUCCION CONCENTRICA SOLDABLE SCH-40 3&quot; X 1 1/4&quot;"/>
        <filter val="SOLDADURA INOX AW E 308L-16 DE 1/8&quot;"/>
        <filter val="ROPA PROTECCION P/LLUVIA (CAMISA+PANTALON)"/>
        <filter val="PERNO CAB. HEXAGONAL A°G° 7/8&quot; X 2 1/2&quot; C/ TUERCA Y ARANDELA PLANA Y PRESION"/>
        <filter val="U-BOLT INOX° DE 1/4&quot; PARA TUBO DE 2&quot; C/ TUERCA Y ARANDELA PLANA Y PRESION"/>
        <filter val="DADO CROMADO TUBULAR HEXAGONAL ENCASTRE DE 1/2&quot; DE 20 MM"/>
        <filter val="SEPARADOR NUMERICO COLORES (1-12) PLASTICO T/A-4"/>
        <filter val="INFLADOR PARA LLANTAS PORTATIL MANUAL"/>
        <filter val="CAJA CONDULET C/FORRO DE PVC DE 1 1/2&quot; TP. LR C/TAPA. Y EMPAQUE"/>
        <filter val="CODO PVC 1/2&quot; X 90° SP"/>
        <filter val="ARANDELA DE PRESION ZINCADO DE 1/4&quot;"/>
        <filter val="LETRERO SEÑALIZACION ACRILICO 0.60 M X 0.40 M &quot;ACOPIO TEMPORAL DE MATERIALES&quot;"/>
        <filter val="DADO CROMADO TUBULAR HEXAGONAL ENCASTRE DE 1/2&quot; DE 19 MM"/>
        <filter val="IMPRESORA MULTIFUNCIONAL T/ A3 MODELO: MFC-T4500DW"/>
        <filter val="DADO DE IMPACTO TUBULAR HEXAGONAL ENCASTRE 1/2&quot; DE 16 MM"/>
        <filter val="LLAVE FRANCESA AJUSTABLE CROMADA 18&quot;"/>
        <filter val="NIVEL TORPEDO MAGNETICO DE 9&quot;"/>
        <filter val="PERNO CAB. HEXAGONAL A°G° 1/4&quot; X 1 1/4&quot; C/ TUERCA Y ARANDELA PLANA Y PRESION"/>
        <filter val="WINCHA - CINTA METRICA PLASTICO 50 M"/>
        <filter val="CINTILLO AMARRACABLE 340 X 7.0MM X 100 UND - COLOR BLANCO"/>
        <filter val="LENTE LUNA OSCURA POLICARBONATO MODELO: GX30 P Z87 + U6L1.7"/>
        <filter val="PERNO CAB. HEXAGONAL A°G° 3/4&quot; X 1 1/2&quot; C/ TUERCA Y ARANDELA PLANA Y PRESION"/>
        <filter val="ETIQUETA PARA FILE (SBRX100)"/>
        <filter val="PALETA DE VIGIA (PARE Y SIGA)"/>
        <filter val="BORNE DE CONEXIÓN 70MM2 PARA 1 CONEXIÓN SIMPLE VIKING3"/>
        <filter val="MARCADOR DE ACERO COLOR BLANCO"/>
        <filter val="BALDE DE PLASTICO DE 20 LTS"/>
        <filter val="TUBO CONDUIT C/FORRO DE PVC DE 3&quot; X 3 M"/>
        <filter val="UNION UNIVERSAL PARA CONDUIT DE 2&quot; C/ FORRO DE PVC HEMBRA-HEMBRA"/>
        <filter val="PERNO CAB. HEXAGONAL INOX 304 1/2&quot; X 3&quot; C/ TUERCA Y ARANDELA PLANA Y PRESION"/>
        <filter val="ANGULO DE F°N° 1/4&quot; x 4&quot; x 6 M"/>
        <filter val="ANTIPARRA LUNAS CLARAS ANTIEMPAÑANTES MODELO: TURBINE"/>
        <filter val="TUBO CUADRADO LAC 3&quot; X 3&quot; X 2.5 MM X 6 M"/>
        <filter val="CINTA AISLANTE VULCANIZANTE AUTOFUD. N° 23 3/4&quot; X 9.14 M"/>
        <filter val="INTERRUPTOR TERMOMAGNÉTICO 2X32A 20/6KA 230/400V TIPO C DIN"/>
        <filter val="REDUCCION CAMPANA FIERRO GALVANIZADO 3/4&quot; X 1/2&quot; X 150 LIBRAS UL/FM"/>
        <filter val="ARANDELA DE PRESION ZINCADO DE 1/2&quot;"/>
        <filter val="CINTILLO AMARRACABLE 500 X 7.0MM X 100 UND - COLOR BLANCO"/>
        <filter val="GRAPA DE 1&quot; DE ACERO FORJADO MODELO: G-450"/>
        <filter val="PLASTICO DOBLE ANCHO X 1.50M DE MANGA X 100 M"/>
        <filter val="REMACHE POP 3/16&quot;X 3/4&quot; X 100 UND"/>
        <filter val="DADO DE IMPACTO CORTO HEXAGONAL ENCASTRE 3/4&quot; DE 38 MM"/>
        <filter val="DADO DE IMPACTO CORTO HEXAGONAL ENCASTRE 1/2&quot; DE 1 5/16&quot;"/>
        <filter val="CURVA PVC 1&quot; X 90° SAP"/>
        <filter val="SOLDADURA INOX 29/9 DE 1/8&quot;"/>
        <filter val="EMPAQUETADURA DE JEBE PARA BRIDA DE 1&quot;"/>
        <filter val="TUBO NEGRO STANDARD 3/4&quot; X 3.25MM X 6.40M"/>
        <filter val="ANGULO DE F°N° 3/16&quot; x 2&quot; x 6 M"/>
        <filter val="TUBO NEGRO STANDARD 3&quot; X 3.25MM X 6.40M"/>
        <filter val="ABRAZADERA METALICA C/ 1 OREJA P/ TUBO 2&quot;"/>
        <filter val="NIPLE F°N° DE 3/4&quot; X 1&quot;"/>
        <filter val="LIMA REDONDA C/ MANGO DE PLASTICO"/>
        <filter val="ALAMBRE DE ACERO GALVANIZADO N° 8"/>
        <filter val="BLOQUEADOR (PROTECTOR) SOLAR FPS 50 UVB/UVA POTE DE 110 ML"/>
        <filter val="TUERCA HEXAGONAL ZINCADO DE 3/4&quot;"/>
        <filter val="U-BOLT F°G° DE 1/4&quot; PARA TUBO DE 1&quot; C/ TUERCA Y ARANDELA PLANA Y PRESION"/>
        <filter val="FERULA PARA TUBING DE 1/4&quot;"/>
        <filter val="ARANDELA PLANA REDONDA ZINCADO DE 7/8&quot;"/>
        <filter val="PERNO CAB. HEXAGONAL A°G° 1/4&quot; X 1 1/2&quot; C/ TUERCA Y ARANDELA PLANA Y PRESION"/>
        <filter val="PEGAMENTO CEMENTO PARA PVC COLOR DORADO X 32 ONZ 946 ML (1/4 GAL)"/>
        <filter val="EMPAQUETADURA DE JEBE PARA BRIDA DE 2&quot;"/>
        <filter val="ENCHUFE 32A 3P+T 250V AZUL 6H IP67"/>
        <filter val="INTERRUPTOR TERMOMAGNÉTICO 3X25A 10/6KA 230/400V TIPO C DIN"/>
        <filter val="TALADRO INALAMBRICO"/>
        <filter val="PERTIGA FIBRA DE VIDRIO PARA VEHICULO X 10'"/>
        <filter val="CAJA CONDULET C/FORRO DE PVC DE 3/4&quot; TP. LL C/TAPA. Y EMPAQUE"/>
        <filter val="RIEL DIN SIMETRICO X 2 MT"/>
        <filter val="CINTA DE RAFIA X 100 M"/>
        <filter val="UNION (ADAPTADOR) DE PVC DE 1 1/2&quot; PRESION-ROSCA"/>
        <filter val="BORNE DE CONEXIÓN 2.5MM2 PARA 2 CONEXIÓN SIMPLES VIKING3"/>
        <filter val="LIJA PARA MADERA #100"/>
        <filter val="CANTEADORA EXTREMOS CURVOS"/>
        <filter val="TUBO CONDUIT C/FORRO DE PVC DE 1 1/2&quot; X 3 M"/>
        <filter val="CODO FIERRO GALVANIZADO DE 1'' X 90° X 150LB UL/FM"/>
        <filter val="EMPAQUETADURA DE JEBE PARA BRIDA DE 3&quot;"/>
        <filter val="CAJA CONDULET DE 1 1/2&quot; TP. LL CON TAPA Y EMPAQUE"/>
        <filter val="REDUCCION CONCENTRICA SOLDABLE SCH-40 4&quot; X 3&quot;"/>
        <filter val="CODO FIERRO GALVANIZADO DE 2&quot; X 45° X 150LB UL/FM"/>
        <filter val="LLAVE FRANCESA AJUSTABLE CROMADA 15&quot;"/>
        <filter val="PERNO CAB. HEXAGONAL INOX 304 1/2&quot; X 1&quot; C/ TUERCA Y ARANDELA PLANA Y PRESION"/>
        <filter val="REDUCCION BUSHING P/CONDUIT DE 2&quot; A 3/4&quot;"/>
        <filter val="ESCARPIN DE CUERO RES AMARILLO P/ SOLDADOR (100% CUERO)"/>
        <filter val="DADO DE IMPACTO CORTO HEXAGONAL ENCASTRE 3/4&quot; DE 1 7/16&quot;"/>
        <filter val="DESARMADOR ESTRELLA AISLADO 1000V.#0 X 60 MM [44] 65-972"/>
        <filter val="TUBO DE PVC SAP PESADO DE 4&quot; X 3 M"/>
        <filter val="FERULA PARA TUBING DE 1/2&quot;"/>
        <filter val="UNION SIMPLE FIERRO GALVANIZADO 6&quot; CLASE 150 UL/FM"/>
        <filter val="TUBO FIERRO GALVANIZADO DE 2 1/2&quot; SCH-40"/>
        <filter val="TUBO NEGRO STANDARD 1 1/4&quot; X 3.25MM X 6.40M"/>
        <filter val="BOTELLA DE TINTA COLOR: MAGENTA MODELO: T664320"/>
        <filter val="ADHESIVO SIKA GROUT 110 X 30 KG"/>
        <filter val="UNIFORME DEPORTIVO ARQUERO (CAMISETA, SHORT Y MEDIAS) TALLA: XL"/>
        <filter val="EMPAQUETADURA DE JEBE PARA BRIDA DE 4&quot;"/>
        <filter val="NIPLE PVC 1/2&quot; X 2&quot; ROSCADO"/>
        <filter val="REDUCCION CONCENTRICA SOLDABLE SCH-40 4&quot; X 2&quot;"/>
        <filter val="ABRAZADERA METALICA C/ 1 OREJA P/ TUBO 1&quot;"/>
        <filter val="CABLE UNIPOLAR THW DE 12 AWG 750VCA AISLAMIENTO PVC COLOR: VERDE"/>
        <filter val="BORNE DE CONEXIÓN 2.5MM2 PARA 1 CONEXIÓN SIMPLE VIKING3"/>
        <filter val="TUBO NEGRO SCH 40 A-53/API 5L S/C 2&quot; X 6.00M"/>
        <filter val="CARETA PARA SOLDAR ADAPTABLE AL CASCO"/>
        <filter val="PICO PUNTA Y PALA ANGOSTA 90 CM - ANTICHISPA"/>
        <filter val="PERNO CAB. HEXAGONAL A°G° 5/8&quot; X 2 1/2&quot; C/ TUERCA Y ARANDELA PLANA Y PRESION"/>
        <filter val="NIPLE A°G° DE 2&quot; X 3&quot; ISO 65"/>
        <filter val="DADO DE IMPACTO TUBULAR HEXAGONAL ENCASTRE 3/4&quot; DE 1 9/16&quot;"/>
        <filter val="ESCOBILLA CIRCULAR FIERRO TRENZADO P/ESMERIL TIPO: PLANA 7&quot;"/>
        <filter val="CHISPERO TRIPLE TRIANGULAR"/>
        <filter val="BARRERA RESPIRATORIA P/ EVITAR CONTACTO ENTRE PERSONAS (VICTIMA Y RESCATISTA)"/>
        <filter val="REDUCCION CAMPANA FIERRO GALVANIZADO 2 1/2&quot; X 1 1/4&quot; X 150 LIBRAS UL/FM"/>
        <filter val="REDUCCION BUSHING F°N° DE 1&quot; A 3/4&quot; ROSCA NPT X 150/300 LIB"/>
        <filter val="SELLADOR SILICONA CORTAFUEGO MOD CFS-S SIL GG X 5.0 GAL"/>
        <filter val="PERNO CAB. HEXAGONAL F°N° 5/8&quot; X 4&quot; C/ TUERCA Y ARANDELA PLANA Y PRESION"/>
        <filter val="BUSO DE LANA (CALENTADOR) TALLA: M"/>
        <filter val="BUSO DE LANA (CALENTADOR) TALLA: L"/>
        <filter val="DADO DE IMPACTO CORTO HEXAGONAL ENCASTRE 1/2&quot; DE 16 MM"/>
        <filter val="PLATINA DE COBRE DURO DESNUDO 5X100MM 6MTS"/>
        <filter val="PAD MOUSE"/>
        <filter val="PISTOLA DE PINTAR"/>
        <filter val="LLAVE FRANCESA AJUSTABLE CROMADA 10&quot;"/>
        <filter val="BORNE SECCIONABLE DE CUCHILLA 4MM2 VIKING3"/>
        <filter val="PERNO CAB. HEXAGONAL INOX 304 7/8&quot; X 3 1/2&quot; C/ TUERCA Y ARANDELA PLANA Y PRESION"/>
        <filter val="TORNILLO STOVE-BOLT DE A°G° DE 1/8&quot; X 2&quot;  C/ TUERCA, ARAND PLANA RED Y PRES"/>
        <filter val="CARTULINA T-A4 COLOR AMARILLO"/>
        <filter val="CABLE UNIPOLAR THW DE 14 AWG 750VCA AISLAMIENTO PVC COLOR: VERDE"/>
        <filter val="JARRA DE PLASTICO DE 500 ML"/>
        <filter val="BUSO DE LANA (CALENTADOR) TALLA: S"/>
        <filter val="SIERRA DE COPA BIMETALICA DE 3/4&quot;"/>
        <filter val="BROCA HSS DE COBALTO PARA INOX DE 3/32&quot;"/>
        <filter val="CABLE UNIPOLAR THW DE 12 AWG 750VCA AISLAMIENTO PVC COLOR: BLANCO"/>
        <filter val="LIJA CIRCULAR GRANO 60 DE 4 1/2&quot;"/>
        <filter val="CHALECO DRILL 05 BOL CIN REF LOGO BORD PECHO ESP ROJO SUPERVISOR OPERATIVO T: XL"/>
        <filter val="CODO ACERO INOXIDABLE 2&quot; X 90° ROSCA NPT C-304"/>
        <filter val="REDUCCION BUSHING FIERRO GALV 1 1/2&quot; X 1&quot; ROSCA NPT X 150 LIBRAS UL/FM"/>
        <filter val="DADO DE IMPACTO TUBULAR HEXAGONAL ENCASTRE 1/2&quot; DE 1 7/16&quot;"/>
        <filter val="PERNO DE EXPANSION 5/8&quot; X 3 1/2&quot; C/ TUERCA Y ARANDELA PLANA Y PRESION"/>
        <filter val="POLO MANGA LARGA LOGO STP COLOR AZUL TALLA: L"/>
        <filter val="POLO MANGA LARGA LOGO STP COLOR AZUL TALLA: M"/>
        <filter val="TARUGO DE PLASTICO DE 1/2&quot; X 100 UND"/>
        <filter val="BROCA HSS PARA ACERO DE 7/16&quot;"/>
        <filter val="POLO MANGA LARGA LOGO STP COLOR AZUL TALLA: S"/>
        <filter val="TERMINAL AISLADO T/HORQUILLA ROJO 16 - 22 AWG X 100 UND"/>
        <filter val="ANTI LATIGAZO P/ MANGUERA DE 3/4&quot;"/>
        <filter val="CALENTADOR ELECTRICO HALOGENO DE 2000W MOD. FH 070"/>
        <filter val="DISPOSITIVO DE BLOQUEO C/ CABLE AJUSTABLE C/REVESTIMIENTO CABLE DE 1.8 M"/>
        <filter val="LLAVE FRANCESA AJUSTABLE CROMADA 12&quot;"/>
        <filter val="REDUCCION PVC A PRESION DE 1&quot; A 3/4&quot;"/>
        <filter val="CIRCULINA ESTROBOSCOPICA COLOR NARANJA 12-48 V"/>
        <filter val="ABRAZADERA DE BANDEJA A TUBO CONDUIT 1 1/2'' LCC"/>
        <filter val="FORRO ADHESIVO TRANSPARENTE 0.45 X 3 M"/>
        <filter val="CURVA CONDUIT DE 4&quot; X 90°"/>
        <filter val="DESARMADOR PLANO 1/4&quot; X 8&quot;"/>
        <filter val="DISPENSADOR DE CINTA PEQUEÑA DE 3/4&quot;"/>
        <filter val="TENAZA PARA SOLDADURA EXOTERMICA"/>
        <filter val="PERTIGA FIBRA DE VIDRIO PARA VEHICULO X 12'"/>
        <filter val="CINTA AISLANTE VINILICA TEMFLEX DE 3/4&quot; X 18 MT MOD: 165 - COLOR BLANCO"/>
        <filter val="REDUCCION BUSHING P/CONDUIT DE 1 1/2&quot; A 3/4&quot;"/>
        <filter val="INTERRUPTOR TERMOMAGNÉTICO 1X16A 10/6KA 230/400V TIPO C DIN"/>
        <filter val="NIVEL DE ALUMINIO DE 48&quot;"/>
        <filter val="TUBO PVC 2&quot; X 3 M SAL"/>
        <filter val="PERNO CAB. HEXAGONAL F°N° 7/8&quot; X 2 1/2&quot; C/ TUERCA Y ARANDELA PLANA Y PRESION"/>
        <filter val="VALVULA DE BOLA 1/2&quot; 3 CUERPOS ACERO AL CARBONO CON SISTEMA PARA BLOQUEO"/>
        <filter val="PERNO CAB. HEXAGONAL F°N° 5/8&quot; X 2&quot; C/ TUERCA Y ARANDELA PLANA Y PRESION"/>
        <filter val="GRILLETE DE ACERO FORJADO T/ LIRA DE 1/2&quot;"/>
        <filter val="FULMINANTE VERDE CALIBRE 22 X 100 UND"/>
        <filter val="REMACHE POP 5/32&quot; X 3/4&quot; X 100 UND"/>
        <filter val="MOUSE C/ CABLE"/>
        <filter val="TAPON HEMBRA ROSCADO DE A°G° DE 1/2&quot;"/>
        <filter val="TEE ACERO INOXIDABLE DE 1&quot; ROSCA NPT"/>
        <filter val="BOQUILLA DE CERAMICA PARA SOLDAR TIG N° 6 X 10 UND"/>
        <filter val="BANDEJA DE GEOMEMBRANA PARA DERRAME DE 1 M X 1 M"/>
        <filter val="EXTENSION PARA DADO DE IMPACTO DE 1/2&quot; X 10&quot;"/>
        <filter val="AMBIENTADOR SPRAY X 360 ML"/>
        <filter val="FACE PLATE HORIZONTAL DE 2 PUERTAS INCL. 1 TAPA CIEGA"/>
        <filter val="LIJA PARA MADERA # 150"/>
        <filter val="GUANTE ANTI IMPACTO"/>
        <filter val="TACHO DE PLASTICO DE BASURA COLOR AMARILLO &quot;RESIDUOS METALICOS&quot; DE 25 LTS"/>
        <filter val="RODILLO DE 12&quot; PARA PINTURA"/>
        <filter val="PERNO CAB. HEXAGONAL F°N° 5/8&quot; X 1&quot; C/ TUERCA Y ARANDELA PLANA Y PRESION"/>
        <filter val="CONECTOR CURVO 45° HERMETICO PARA TUBERIA FLEXIBLE 1/2&quot; LIQUID TIGHT"/>
        <filter val="UNION UNIVERSAL O TUERCA UNION FIERRO NEGRO 1 1/4&quot; CLASE 300"/>
        <filter val="VALVULA DE BOLA 1/4&quot; 3 CUERPOS ACERO INOXIDABLE CON SISTEMA PARA BLOQUEO"/>
        <filter val="ARANDELA DE PRESION DE F°N° DE 5/8&quot;"/>
        <filter val="ACOPLE FLEXIBLE DE 3&quot; ESTILO 77"/>
        <filter val="TENZADORA PARA ZUNCHO PLASTICO 3/4&quot;"/>
        <filter val="ROPA PROTECCION P/LLUVIA (T/ABRIGO) COLOR: AMARILLO"/>
        <filter val="ESLINGA DE POLYESTER DE 3&quot; X 3 M"/>
        <filter val="CODO ACERO AL CARBONO DE 1 1/2&quot; X 45° SOLDABLE SCH-40"/>
        <filter val="BROCA CON PUNTA PERFORADORA PARA MADERA DE 3/8&quot;"/>
        <filter val="POLIESTIRENO EXPANDIDO DE TECNOPOR DE 1/2&quot; X 1.2 X 2.4 M"/>
        <filter val="UNION UNIVERSAL O TUERCA UNION FIERRO NEGRO 2&quot; CLASE 300"/>
        <filter val="CONECTOR CURVO 90° HERMETICO PARA TUBERIA FLEXIBLE 1&quot; CON FORRO DE PVC"/>
        <filter val="TAPON MACHO ROSCADO DE A°G° DE 1/2&quot;"/>
        <filter val="BOTA DE JEBE CON PUNTERA DE ACERO PLANTA AMARILLA TALLA: 40"/>
        <filter val="BOTA DE JEBE CON PUNTERA DE ACERO PLANTA AMARILLA TALLA: 41"/>
        <filter val="CAJA CONDULET C/FORRO DE PVC DE 1 1/2&quot; TP. T C/TAPA. Y EMPAQUE"/>
        <filter val="BOTA DE JEBE CON PUNTERA DE ACERO PLANTA AMARILLA TALLA: 42"/>
        <filter val="BOTA DE JEBE CON PUNTERA DE ACERO PLANTA AMARILLA TALLA: 43"/>
        <filter val="PEGAMENTO CEMENTO PARA CPVC X 32 ONZ 946 ML (1/4 GAL)"/>
        <filter val="GRAPA METALICA PARA ZUNCHO DE 5/8&quot;"/>
        <filter val="GUANTE DE NITRILO DESCARTABLE MODELO: 92-600 TALLA: M"/>
        <filter val="ESCOBILLA CIRCULAR FIERRO TRENZADO P/ESMERIL TIPO: COPA DE 7&quot;"/>
        <filter val="REDUCCION PVC A PRESION DE 3/4&quot; A 1/2&quot;"/>
        <filter val="TENAZA PORTAELECTRODO DE 300 AMP"/>
        <filter val="ESPIRAL PROTECTOR D/CABLES 12 MM X 10 M (INT.10.2 MM)"/>
        <filter val="BORNE DE TIERRA 35MM2 CON PIE METÁLICO VIKING3"/>
        <filter val="LLAVE MIXTA BOCA/CORONA DE 24 MM"/>
        <filter val="AGUA MINERAL X 20 LTS"/>
        <filter val="ARANDELA PLANA REDONDA DE F°G° DE 3/8&quot;"/>
        <filter val="LENTE SOBRE LENTE OX, CLARO CON RECUBRIMIENTO DX"/>
        <filter val="INTERRUPTOR TERMOMAGNÉTICO 1X6A 10/6KA 230/400V TIPO C DIN"/>
        <filter val="PEGAMENTO ADHESIVO ENCHAPE TEROCHAP X 1 GAL"/>
        <filter val="TORNILLO AUTOPERFORANTE PUNTA FINA #8 X 2&quot; CON ARANDELA DE NEOPRENO"/>
        <filter val="TALADRO DE BASE MAGNÉTICA DE 1600W MODELO: DJC02-23"/>
        <filter val="CODO ACERO INOXIDABLE 3&quot; X 90° ROSCA NPT C-304"/>
        <filter val="BOTA DE JEBE CON PUNTERA DE ACERO PLANTA AMARILLA TALLA: 37"/>
        <filter val="BOTA DE JEBE CON PUNTERA DE ACERO PLANTA AMARILLA TALLA: 38"/>
        <filter val="BOTA DE JEBE CON PUNTERA DE ACERO PLANTA AMARILLA TALLA: 39"/>
        <filter val="CODO PVC SAL 2&quot; X 90° P/ DESAGUE"/>
        <filter val="ESLINGA DE POLYESTER DE 3&quot; X 6 M"/>
        <filter val="MANTA IGNIFUGA DE 2 X 2 M"/>
        <filter val="ESLINGA DE POLYESTER DE 2&quot; X 3 M"/>
        <filter val="TARUGO DE PLASTICO DE 1/4&quot; X 100 UND"/>
        <filter val="BRIDA DE ACERO NEGRO SLIP ON 150 LBS DE 10&quot;"/>
        <filter val="PERNO CAB. HEXAGONAL A°G° 3/4&quot; X 2&quot; C/ TUERCA Y ARANDELA PLANA Y PRESION"/>
        <filter val="TRIPLAY LUPUNA DE 12 MM X 1.22 X 2.44M"/>
        <filter val="BARRA REDONDA LISA 5/8&quot; X 6M, A-36"/>
        <filter val="PINTURA EN SPRAY COLOR: GRIS"/>
        <filter val="CAJA DE HERRAMIENTAS DE PLASTICO DE 26&quot;"/>
        <filter val="LLAVE MIXTA BOCA/CORONA DE 12 MM"/>
        <filter val="TUBO RECTANGULAR LAC A500 X 4.5 MM X 6 MT. (4&quot; X 6&quot;) 100 X 150"/>
        <filter val="ABRAZADERA METALICA C/ 2 OREJAS P TUBO 3/4&quot;"/>
        <filter val="PERNO CAB. HEXAGONAL A°G° 5/8&quot; X 3&quot; C/ TUERCA Y ARANDELA PLANA Y PRESION"/>
        <filter val="INTERRUPTOR TERMOMAGNÉTICO 2X20A 20/6KA 230/400V TIPO C DIN"/>
        <filter val="CAJA CONDULET C/FORRO DE PVC DE 2&quot; TP. T C/TAPA. Y EMPAQUE"/>
        <filter val="DADO DE IMPACTO TUBULAR HEXAGONAL ENCASTRE 1/2&quot; DE 11 MM"/>
        <filter val="BURLETE DE ESPUMA AUTOADHESIVO 20X10 MM X 5 M"/>
        <filter val="CABLE ATERRAMIENTO CABLE FORRADO 2/0 AWG X 10 M"/>
        <filter val="ESPARRAGO ACERO NEGRO B7 ESTRUCTURAL A 325 DE 1 11/2&quot; X 1 M"/>
        <filter val="REDUCCION CAMPANA FIERRO GALVANIZADO 3&quot; X 1 1/2&quot; X 150 LIBRAS UL/FM"/>
        <filter val="CARTULINA T-A4 COLOR VERDE"/>
        <filter val="REDUCCION PVC A PRESION DE 1 1/2&quot; A 3/4&quot;"/>
        <filter val="LLAVE MIXTA BOCA/CORONA DE 9 MM"/>
        <filter val="BORNERA DE REGLETA 10MM2 12 BORNES NYLBLOC BLANCO"/>
        <filter val="PINTURA EN SPRAY COLOR: NEGRO"/>
        <filter val="TEMPLADOR OJO-GANCHO DE FºGº DE 1/2&quot; X 10&quot;"/>
        <filter val="SILICONA PARA LIMPIAR MUEBLE"/>
        <filter val="CINTA AISLANTE VINILICA TEMFLEX DE 3/4&quot; X 18 MT MOD: 165 - COLOR: ROJO"/>
        <filter val="HUBS MYERS DE 2 1/2&quot; UL ZINC PESADO"/>
        <filter val="JARRA DE PLASTICO DE 250 ML"/>
        <filter val="ARENA FINA"/>
        <filter val="ESPARRAGO ACERO ZINCADO DE 1/4&quot; X 1 M"/>
        <filter val="VARILLA DE COPPERWELD DE 3/4&quot; X 2.40 M"/>
        <filter val="DESARMADOR ESTRELLA AISLADO 1000V.#3 X 150 MM [44] 65-975"/>
        <filter val="PERNO CAB. HEXAGONAL F°N° 7/16&quot; X 4&quot; C/ TUERCA Y ARANDELA PLANA Y PRESION"/>
        <filter val="INTERRUPTOR TERMOMAGNÉTICO 2X32A 4.5KA 230/400V TIPO C DIN"/>
        <filter val="REDUCCION BUSHING FIERRO GALV 1 1/4&quot; X 1/2&quot; ROSCA NPT X 150 LIBRAS UL/FM"/>
        <filter val="BROCA HSS PARA ACERO DE 1/16&quot;"/>
        <filter val="ANGULO DE F°N° 3/16&quot; x 1&quot; x 6 M"/>
        <filter val="TABLERO ACERO INOX 304 400X300X200MM PLACA MONTAJE 2.0 MM ESP PARED 1.5MM"/>
        <filter val="VALVULA DE BOLA DE 1&quot; BRONCE"/>
        <filter val="ACETILENO INDUSTRIAL DE 9 KG"/>
        <filter val="TACHO DE PLASTICO DE BASURA COLOR AMARILLO &quot;RESIDUOS METALICOS&quot; DE 51 LTS"/>
        <filter val="ARANDELA PLANA REDONDA DE F°G° DE 3/4&quot;"/>
        <filter val="ANTIPARRA DE SEGURIDAD K-2 A/F LUNA CLARA"/>
        <filter val="ESTROBO DE CABLE DE ACERO DE 5/8&quot; X 2 M"/>
        <filter val="DADO DE IMPACTO CORTO HEXAGONAL ENCASTRE 3/4&quot; DE 33 MM"/>
        <filter val="REDUCCION BUSHING FIERRO GALV 1&quot; X 3/4&quot; ROSCA NPT X 150 LIBRAS UL/FM"/>
        <filter val="CONECTOR UNION RECTO PARA TUBING DE 1/4&quot; OD A 1/4&quot; NPT"/>
        <filter val="PRENSAESTOPA DE NYLON ROSCA NPT 3/8» GRIS"/>
        <filter val="CINTA AISLANTE VINIL SUPER 33 DE 3/4&quot; X 20 MT - COLOR: NEGRO"/>
        <filter val="PROTECTOR METATARSAL PARA CALZADO DE ALUMINIO CON SUJETADOR DE JEBE"/>
        <filter val="CURVA PVC 3/4&quot; X 90° SAP"/>
        <filter val="RACK PARA TELEVISOR 32&quot;-55&quot;"/>
        <filter val="TUBO FIERRO GALVANIZADO DE 2&quot; SCH-40"/>
        <filter val="ANGULO DE F°N° 1/4&quot; x 3&quot; x 6 M"/>
        <filter val="EXTENSION ELECTRICA 1X4X8 AWG 380V - TIPO PULPO"/>
        <filter val="CIRCULINA ESTROBOSCOPICA COLOR AZUL 12-48 V"/>
        <filter val="ARCO DE SIERRA PARA LEÑADOR 60 CM"/>
        <filter val="TEE ACERO AL CARBONO DE 1 1/4&quot; SOLDABLE SCH-40"/>
        <filter val="UNION UNIVERSAL O TUERCA UNION FIERRO NEGRO 1&quot; CLASE 300"/>
        <filter val="GOMA EN BARRA STICK X 21 GR"/>
        <filter val="QUITA GRASA"/>
        <filter val="CAUCHO NATURAL DE 1/2&quot; ESP. X 4&quot; ANCHO X 20MTS LONG"/>
        <filter val="MICA 145MM X 100 MM P/ENMICADORA ESPESOR: 200 MICRAS X 100 UND"/>
        <filter val="PIONER A-4 DE 3 ANILLOS (LOMO ANCHO 45MM) COLOR BLANCO"/>
        <filter val="LAPIZ 2B"/>
        <filter val="USB DE 8 GB"/>
        <filter val="DADO DE IMPACTO CORTO HEXAGONAL ENCASTRE 1/2&quot; DE 15/16&quot;"/>
        <filter val="TERMINAL DE COMPRESION CAÑON LARGO 2 HUECOS DE 2/0 AWG OJAL DE 3/8&quot; (10 MM )"/>
        <filter val="LENTE LUNA CLARA POLICARBONATO MODELO: GX30 P Z87 + U6L1.7"/>
        <filter val="CODO FIERRO NEGRO 3/4&quot; X 45° ROSCA NPT CLASE150"/>
        <filter val="CHALECO DRILL 05 BOL CINTA REF LOGO BORD PECHO ESP COL ROJO/VERDE RIGGER T: XL"/>
        <filter val="TUERCA HEXAGONAL ZINCADO DE 3/8&quot;"/>
        <filter val="BROCA HSS DE COBALTO PARA INOX DE 9/16&quot;"/>
        <filter val="TAPON HEMBRA ROSCADO DE A°G° DE 2&quot;"/>
        <filter val="PLATINA F°N° DE 3/16&quot; X 3&quot; X 6 M"/>
        <filter val="CORTAVIENTO DE TELA C/FORRO C/LOGO STP C/AZUL"/>
        <filter val="PEINE PARA TARRAJA 12 R DE 2&quot;"/>
        <filter val="REDUCCION BUSHING ACERO INOXIDABLE 1/2'' X 1/4'' ROSCA NPT C-304 X 150 LIB"/>
        <filter val="DADO DE IMPACTO TUBULAR HEXAGONAL ENCASTRE 1/2&quot; DE 7/16&quot;"/>
        <filter val="TIJERA DE TRAUMA"/>
        <filter val="DADO DE IMPACTO CORTO HEXAGONAL ENCASTRE 3/4&quot; DE 1 1/8&quot;"/>
        <filter val="ARANDELA PLANA REDONDA DE F°N° DE 1/8&quot;"/>
        <filter val="REDUCCION BUSHING FIERRO GALV 1/2&quot; X 3/8&quot; ROSCA NPT X 150 LIBRAS UL/FM"/>
        <filter val="MICA PORTAPAPEL TAMAÑO OFICIO X 10 UND"/>
        <filter val="PINZA DE LOCKOUT (BLOQUEO) DE SEGURIDAD DE 1 1/2&quot; P/ 06 CANDADOS"/>
        <filter val="PERNO CAB. HEXAGONAL F°N° 1/4&quot; X 1 1/2&quot; C/ TUERCA Y ARANDELA PLANA Y PRESION"/>
        <filter val="CHALECO SALVAVIDAS COLOR NARANJA"/>
        <filter val="BIOMBOS PROTECTORES PARA SOLDADURA 2.10 X 2.0 MT C/ ESTRUCTURA"/>
        <filter val="ESTROBO D/SOGA NYLON TRENZADA X 1.5 MT"/>
        <filter val="LLAVE DE BOCA DE 1 1/4&quot; CON MANGO DE COLA"/>
        <filter val="LIJA DE AGUA #220"/>
        <filter val="ESMERIL ANGULAR AMOLADORA DE 4 1/2&quot; MODELO: GWS 11-125"/>
        <filter val="RECOGEDOR DE BASURA DE PLASTICO"/>
        <filter val="REDUCCION CONCENTRICA SOLDABLE SCH-40 1 1/4 &quot;X 1&quot;"/>
        <filter val="TAPON MACHO DE PVC ROSCADO DE 1&quot;"/>
        <filter val="ARANDELA PLANA REDONDA INOX DE 1/8&quot;"/>
        <filter val="UNION SIMPLE FIERRO NEGRO 1/4&quot; CLASE 300 UL/FM"/>
        <filter val="TERMINAL DE COMPRESION CAÑON CORTO 1 HUECO DE 1/0 AWG OJAL DE 5/16&quot; (8 MM )"/>
        <filter val="DADO DE IMPACTO CORTO HEXAGONAL ENCASTRE 1/2&quot; DE 1&quot;"/>
        <filter val="CAJA CONDULET DE 1 1/2&quot; TP. C CON TAPA Y EMPAQUE"/>
        <filter val="SILICONA PARA TABLERO"/>
        <filter val="BOTELLA DE TINTA COLOR: BLACK MODELO: T554"/>
        <filter val="UNION A PRESION DE 1&quot; DE PVC"/>
        <filter val="UNION DE PVC PRESION-ROSCA DE 2&quot; SCH-40"/>
        <filter val="CINTA MASKING TAPE 2&quot; X 55 YDS"/>
        <filter val="PLATINA F°N° DE 1/4&quot; X 1 1/2&quot; X 6 M"/>
        <filter val="SOLDADURA CELLOCORD E-6011 DE 5/32&quot;"/>
        <filter val="PLANCHA ESTRUCTURAL A-36 1.5 MM X 1200 X 2400 MM"/>
        <filter val="PERNO CAB. HEXAGONAL A°G° 5/16 X 3&quot; C/ TUERCA Y ARANDELA PLANA Y PRESION"/>
        <filter val="TAPON DE OIDO DE SILICONA REUSABLE C/ ESTUCHE 24 DB"/>
        <filter val="TAPON HEMBRA ROSCADO DE A°G° DE 1&quot;"/>
        <filter val="BORNE DE PASO, UT 16 101A, 1.5-25MM2(16-4 AWG), TORNILLO, A=12.2MM 3044199"/>
        <filter val="PEINE PARA TARRAJA 12 R DE 1&quot;"/>
        <filter val="TOMACORRIENTE UNIVERSAL DOBLE"/>
        <filter val="TOMA TRIPLE AEREO 32 AMP 3P+T 415 ROJO 6H IP44 (DELTA BOX)"/>
        <filter val="PERNO DE EXPANSION 3/8&quot; X 3&quot; C/ TUERCA Y ARANDELA PLANA Y PRESION"/>
        <filter val="PORTACINTILLO AUTOADHES 25 X 25 X 100 UND"/>
        <filter val="BARRA LUMINOSA DE SEÑALIZACION COLOR: ROJO"/>
        <filter val="EXTENSIÓN ELECTRICA DOMESTICA P/ 4 PUERTOS"/>
        <filter val="ADAPTADOR MULTIPLE &quot;Y&quot; DE 32 AMP 3P+T 415V ROJO 6H IP44"/>
        <filter val="CASACA CINTA REF FORRO POLAR CAPUCHA COLOR NARANJA LOGO STP TALLA: XXL"/>
        <filter val="TUERCA HEXAGONAL DE F°G° DE 1/2&quot;"/>
        <filter val="DADO DE IMPACTO CORTO HEXAGONAL ENCASTRE 3/4&quot; DE 21 MM"/>
        <filter val="ESPARRAGO A°G° DE 3/4&quot; X 1 M"/>
        <filter val="GRILLETE DE ACERO FORJADO T/ LIRA DE 1 1/4&quot;"/>
        <filter val="FRENO RETRACTIL VERTICAL PARA SOGA DE 5/16&quot;"/>
        <filter val="ARANDELA PLANA REDONDA DE F°N° DE 1/4&quot;"/>
        <filter val="DADO DE IMPACTO CORTO HEXAGONAL ENCASTRE 1/2&quot; DE 12 MM"/>
        <filter val="GRILLETE DE ACERO FORJADO T/ LIRA 3/8&quot;"/>
        <filter val="UNION UNIVERSAL PVC 1/2&quot; C/ ROSCA"/>
        <filter val="DETECTOR DE VOLTAJE 1000V MODELO: UT12E-ROW"/>
        <filter val="ARANDELA PLANA REDONDA INOX DE 1/2&quot;"/>
        <filter val="CAJA CONDULET DE 1&quot; TP. TB CON TAPA Y EMPAQUE"/>
        <filter val="LLAVE MIXTA BOCA/CORONA DE 48 MM"/>
        <filter val="CONECTOR CURVO 90° HERMETICO PARA TUBERIA FLEXIBLE 3/4&quot; LIQUID TIGHT"/>
        <filter val="LLAVE MIXTA BOCA/CORONA DE 1 7/16&quot;"/>
        <filter val="TENAZA PARA ZUNCHO DE 5/8&quot;"/>
        <filter val="FOCO NEBLINERO H1 12V 55W"/>
        <filter val="PERNO CAB. HEXAGONAL INOX 304 1/4&quot; X 2 1/2&quot; C/ TUERCA Y ARANDELA PLANA Y PRESION"/>
        <filter val="DADO DE IMPACTO TUBULAR HEXAGONAL ENCASTRE 3/4&quot; DE 32 MM"/>
        <filter val="MANOMETRO PARA EXTINTOR"/>
        <filter val="UNION SIMPLE FIERRO GALVANIZADO 2&quot; CLASE 150 UL/FM"/>
        <filter val="MASILLA SUPERIOR DE POLIESTER X3 500 GRAMOS"/>
        <filter val="UNION UNIVERSAL PARA CONDUIT F°G° DE 1 1/2&quot; MACHO-HEMBRA"/>
        <filter val="DADO DE IMPACTO CORTO HEXAGONAL ENCASTRE 1/2&quot; DE 24 MM"/>
        <filter val="REDUCCION CONCENTRICA SOLDABLE SCH-40 3&quot; X 1 1/2&quot;"/>
        <filter val="CODO FIERRO NEGRO 1/2'' X 90° ROSCA NPT CLASE150"/>
        <filter val="REMOVEDOR DE ÓXIDO X 1 GAL"/>
        <filter val="PORTA MARTILLO DE CUERO CON CINTURON"/>
        <filter val="DADO DE IMPACTO PUNTA (ALLEN) ENCASTRE 3/4&quot;) DE 17 MM"/>
        <filter val="FOCO NEBLINERO H2 24V 55W"/>
        <filter val="PLANCHA ESTRUCTURAL A-36 X 1200 X 2400 MM (1/20&quot;)"/>
        <filter val="GRILLETE DE ACERO FORJADO T/ LIRA DE 1 1/2&quot;"/>
        <filter val="PATA DE CABRA DE ACERO HEXAGONAL DE 3/4&quot; X 90 CM"/>
        <filter val="BROCA DE 5/8&quot; X 12&quot; ENCASTRE DE 1/2&quot; SDS PLUS (CONCRETO)"/>
        <filter val="SOLDADURA CHAMFERCORD E-900 5/32&quot;"/>
        <filter val="TUBO CONDUIT PESADO F°G° DE 4&quot; X 3 M UL6 ANSI C 80.1"/>
        <filter val="ACOPLE TIPO GARRA ROSCADO INTERIOR DE 1&quot;"/>
        <filter val="LLAVE MIXTA BOCA/CORONA DE 36 MM"/>
        <filter val="BRIDA DE ACERO NEGRO SLIP ON 150 LBS DE 12&quot;"/>
        <filter val="BROCA DE 3/8&quot; X 10&quot; ENCASTRE DE 1/2&quot; SDS PLUS (CONCRETO)"/>
        <filter val="ARANDELA PLANA REDONDA INOX DE 1/4&quot;"/>
        <filter val="ARANDELA PLANA REDONDA DE F°N° DE 1/2&quot;"/>
        <filter val="CHALECO DRILL 05 BOL CINTA REF LOGO BORD STP PECHO ESP COLOR NARANJA TALLA: L"/>
        <filter val="DADO DE IMPACTO PUNTA (ALLEN) ENCASTRE 1/2&quot;) DE 6 MM"/>
        <filter val="CHALECO DRILL 05 BOL CINTA REF LOGO BORD STP PECHO ESP COLOR NARANJA TALLA: M"/>
        <filter val="CHALECO DRILL 05 BOL CINTA REF LOGO BORD STP PECHO ESP COLOR NARANJA TALLA: S"/>
        <filter val="MADERA DE 2&quot; X 3&quot; X 10'"/>
        <filter val="ALICATE EXTENSION ARTICULADO (PICO DE LORO) AISLADO 1000 V"/>
        <filter val="TUBING INOX S/C DE 3/8&quot; X 6.1 M"/>
        <filter val="UNION UNIVERSAL PVC 3&quot; C/ ROSCA"/>
        <filter val="CAJA CONDULET DE 1 1/2&quot; TP. LB CON TAPA Y EMPAQUE"/>
        <filter val="NIPLE A°G° DE 1/2&quot; X 3&quot; ISO 65"/>
        <filter val="CABLE UNIPOLAR THW DE 10 AWG 750VCA AISLAMIENTO PVC COLOR: NEGRO"/>
        <filter val="PICO PUNTA Y PALA ANGOSTA 90 CM"/>
        <filter val="NIPLE A°G° DE 2&quot; X 4&quot; ISO 65"/>
        <filter val="REDUCCION PVC A PRESION DE 3&quot; A 2&quot;"/>
        <filter val="LLAVE DE TUBO STILLSON DE 36&quot;"/>
        <filter val="Placa separadora para borne 2.5-4-6-10mm2"/>
        <filter val="BROCA HSS DE COBALTO PARA INOX DE 7/8&quot;"/>
        <filter val="INTERRUPTOR DIFERENCIAL 2X16A 10MA 230 VAC"/>
        <filter val="BLUSA PARA DAMA MANGA LARGA C/ CELESTE LOGO: STP TALLA: XL"/>
        <filter val="REDUCCION BUSHING ACERO INOXIDABLE 1&quot; X 3/4&quot; ROSCA NPT C-304 X 150 LIB"/>
        <filter val="TARJETA DE SEÑALIZACION PARA ANDAMIO COLOR: ROJO"/>
        <filter val="FOCO P21W DE 12V"/>
        <filter val="SIKAFLEX-11 FC PLUS SELLADOR Y ADHESIVO 600 ML GRIS"/>
        <filter val="BRUÑA DE CANTO"/>
        <filter val="TENAZA TIERRA DE 300 AMP"/>
        <filter val="UNION DE PVC PRESION-PRESION DE 3/4&quot; SCH-40"/>
        <filter val="BROCA DE 3/8&quot; X 12&quot; ENCASTRE DE 1/2&quot; SDS PLUS (CONCRETO)"/>
        <filter val="U-BOLT F°G° DE 1/2&quot; PARA TUBO DE 8&quot; C/ TUERCA Y ARANDELA PLANA Y PRESION"/>
        <filter val="REDUCCION CAMPANA FIERRO NEGRO CLASS150 UL/FM 1 1/2&quot; X 3/4&quot;"/>
        <filter val="TUBO CUADRADO LAC 1 1/2&quot; X 1 1/2&quot; X 3 MM X 6 M"/>
        <filter val="TAPON HEMBRA ROSCADO P/TUBO CONDUIT DE 1 1/2&quot;"/>
        <filter val="TUBO NEGRO SCH 40 A-53/API 5L S/C 3&quot; X 6 M"/>
        <filter val="CINTA SCOTCH 3/4&quot; X 72 YDS."/>
        <filter val="NIPLE PVC 1&quot; X 2&quot; ROSCADO"/>
        <filter val="CINTILLO AMARRACABLE 203 X 3.6MM X 100 UND - COLOR BLANCO"/>
        <filter val="CANAL UNISTRUT RANURADO 1 5/8&quot;X 1 5/8&quot; X 3M B- LINE"/>
        <filter val="BORNE DE TIERRA 2.5MM2 CON PIE METÁLICO VIKING3"/>
        <filter val="CINTA AISLANTE VINILICA TEMFLEX DE 3/4&quot; X 18 MT MOD: 165 - COLOR AMARILLO"/>
        <filter val="TANQUE P/AGUA D/ POLITILENO D/1100 L"/>
        <filter val="TEE ACERO AL CARBONO DE 2&quot; SOLDABLE SCH-40"/>
        <filter val="VALVULA DE BOLA DE 1 1/2&quot; BRONCE"/>
        <filter val="ESCOBILLA CIRCULAR FIERRO TRENZADO P/ESMERIL TIPO: COPA DE 4 1/2&quot;"/>
        <filter val="UNION UNIVERSAL O TUERCA UNION FIERRO NEGRO 2 1/2&quot; CLASE 300"/>
        <filter val="TORNILLO AUTOPERFORANTE PUNTA BROCA #12 X 1&quot; CON ARANDELA DE NEOPRENO"/>
        <filter val="REDUCCION EXCENTRICA DE 10&quot; - 5&quot; DE ACERO NEGRO SOLDABLE SCH-40"/>
        <filter val="DETECTOR DE TORMENTA MODELO: P5"/>
        <filter val="NIVEL TORPEDO MAGNETICO 8&quot;"/>
        <filter val="PINTURA LATEX SATINADO COLOR: BLANCO HUMO"/>
        <filter val="DADO DE IMPACTO CORTO HEXAGONAL ENCASTRE 3/4&quot; DE 1 1/4&quot;"/>
        <filter val="UNION UNIVERSAL PARA CONDUIT F°G° DE 1&quot; MACHO-HEMBRA"/>
        <filter val="REDUCCION BUSHING F°N° DE 3/4&quot; A 1/4&quot; ROSCA NPT X 150/300 LIB"/>
        <filter val="ARANDELA DE PRESION INOX DE 5/8&quot;"/>
        <filter val="REDUCCION BUSHING ACERO INOXIDABLE 2&quot; X 1&quot; ROSCA NPT C-304 X 150 LIB"/>
        <filter val="TUBO FIERRO GALVANIZADO DE 3/4&quot; STANDAR"/>
        <filter val="ESCALERA TIJERA DE FIBRA DE VIDRIO 4 PASOS CON PLATAFORMA Y BARANDA"/>
        <filter val="ANGULO DE F°N° 3/16&quot; x 1 1/2&quot; x 6 M"/>
        <filter val="CONECTOR CURVO 45° HERMETICO PARA TUBERIA FLEXIBLE 1&quot; CON FORRO DE PVC"/>
        <filter val="BORNE DE CONEXIÓN 35MM2 PARA 1 CONEXIÓN SIMPLE VIKING3"/>
        <filter val="TERMINAL DE COMPRESION CAÑON LARGO 1 HUECO  DE 600 MCM OJAL DE 13 MM"/>
        <filter val="DADO DE IMPACTO CORTO HEXAGONAL ENCASTRE 1/2&quot; DE 15 MM"/>
        <filter val="UNION SIMPLE FIERRO GALVANIZADO 3&quot; CLASE 150 UL/FM"/>
        <filter val="TORNILLO STOVE-BOLT DE A°G° DE 1/4&quot; X 2&quot;  C/ TUERCA, ARAND PLANA RED Y PRES"/>
        <filter val="TACHO DE PLASTICO DE BASURA COLOR BLANCO &quot;RESIDUOS PLASTICOS PET&quot; DE 25 LTS"/>
        <filter val="CAMISA P/CABALLERO MANGA LARGA COLOR CELESTE LOGO: STP TALLA: XS"/>
        <filter val="CAJA CONDULET DE 1 1/2&quot; TP. LR CON TAPA Y EMPAQUE"/>
        <filter val="TOMA AEREA PLANO 2X15A+T NEMA 5-15R PVC AMARILLO"/>
        <filter val="CAMISA P/CABALLERO MANGA LARGA COLOR CELESTE LOGO: STP TALLA: XL"/>
        <filter val="INTERRUPTOR DIFERENCIAL 4X25A 300MA 230/400VAC"/>
        <filter val="REMACHE POP 1/8&quot; X 3/4&quot; X 100 UND"/>
        <filter val="MALLA RASCHEL 90% 4 M X 100 M VERDE"/>
        <filter val="MOCHILA PORTA LAPTOP COLOR NEGRO LOGO STP"/>
        <filter val="CONDUCTOR CU DESNUDO, CABLEADO 95 MM2 (3/0 AWG), 19 HILOS TEMPLE BLANDO"/>
        <filter val="CAJA CONDULET CIRCULAR DE 3/4&quot; DE 03 ENTRADAS C/TAPA. Y EMPAQUE C/FORRO DE PVC"/>
        <filter val="ESPARRAGO ACERO ZINCADO DE 1&quot; X 1 M"/>
        <filter val="MADERA DE 4&quot; X 4&quot; X 10'"/>
        <filter val="PERNO CAB. HEXAGONAL A°G° 3/8&quot; X 3 1/2&quot; C/ TUERCA Y ARANDELA PLANA Y PRESION"/>
        <filter val="BANDERITAS POST-IT COLORES TRADICIONALES (4 X 35) 11,9MMX43,1MM"/>
        <filter val="BROCA DE 1/2&quot; X 6&quot; ENCASTRE DE 1/2&quot; SDS PLUS (CONCRETO)"/>
        <filter val="DADO DE IMPACTO CORTO HEXAGONAL ENCASTRE 3/4&quot; DE 1 1/2&quot;"/>
        <filter val="REDUCCION CAMPANA FIERRO NEGRO CLASS150 UL/FM 1 1/4&quot; X 1/2&quot;"/>
        <filter val="DESTORNILLADORES DE PRECISION X 6 UND STANLEY MOD: 66-052"/>
        <filter val="BOQUILLA DE CERAMICA PARA SOLDAR TIG N° 4 X 10 UND"/>
        <filter val="U-BOLT F°G° DE 1/2&quot; PARA TUBO DE 6&quot; C/ TUERCA Y ARANDELA PLANA Y PRESION"/>
        <filter val="DADO DE IMPACTO TUBULAR HEXAGONAL ENCASTRE 3/4&quot; DE 1 5/8&quot;"/>
        <filter val="MÁQUINA DE SOLDAR INVERSORA 250A MODELO: ARC 280C"/>
        <filter val="TORNILLO VOLCANITA (PARA DRYWALL) PUNTA FINA 6 X 1 1/4&quot; X 250 UND (COLOR NEGRO)"/>
        <filter val="DADO DE IMPACTO TUBULAR HEXAGONAL ENCASTRE 3/4&quot; DE 1&quot;"/>
        <filter val="LENTE LUNA CLARA POLICARBONATO  MODELO: VENTURE II P Z87 + U6L1.7"/>
        <filter val="BEBIDA REHIDRATANTE X 500 ML (EMPAQUE PLÁSTICO) X 12 UND"/>
        <filter val="LLAVE MIXTA BOCA/CORONA DE 1 15/16&quot;"/>
        <filter val="CANDADO DE BRONCE ARCO NORMAL DE 50MM"/>
        <filter val="GRASA MULTIUSOS MODELO: EP-2 X 453 G"/>
        <filter val="HUBS MYERS DE 1&quot; UL ZINC PESADO"/>
        <filter val="CINTA DE ACERO INOXIDABLE DE 1/2&quot; X 30 M"/>
        <filter val="TUBO RECTANGULAR LAC A500 X 4.5 MM X 6 MT. (3&quot; X 4&quot;) 75 X 100"/>
        <filter val="UNION UNIVERSAL PARA CONDUIT F°G° DE 1/2&quot; HEMBRA - HEMBRA"/>
        <filter val="CINTA DE FIBRA DE VIDRIO PARA DRYWALL 2&quot; X 75 M"/>
        <filter val="REDUCCION BUSHING P/CONDUIT DE 1 1/2&quot; A 1 1/4&quot;"/>
        <filter val="ALAMBRE DE F°N° RECOCIDO N° 16"/>
        <filter val="BOLSA DE BASURA X 100 UND DE 50 LITROS COLOR VERDE"/>
        <filter val="TERMINAL AISLADO T/ HORQUILLA DE 8 AWG X 100 UND"/>
        <filter val="REDUCCION CAMPANA FIERRO NEGRO CLASS150 UL/FM 8'' X 4''"/>
        <filter val="PERNO CAB. HEXAGONAL INOX 304 1/2&quot; X 1 1/4&quot; C/ TUERCA Y ARANDELA PLANA Y PRESION"/>
        <filter val="MECHA PARA BERBIQUI DE 3/8&quot;"/>
        <filter val="DADO DE IMPACTO TUBULAR HEXAGONAL ENCASTRE 3/4&quot; DE 2&quot;"/>
        <filter val="TERMINAL DE COMPRESION CAÑON LARGO 2 HUECOS DE 1/0 AWG OJAL DE 1/2&quot; (12.5 MM )"/>
        <filter val="DADO DE IMPACTO CORTO HEXAGONAL ENCASTRE 1/2&quot; DE 11/16&quot;"/>
        <filter val="CINTILLO AMARRACABLE 200 X 4.0MM X 100 UND - COLOR BLANCO"/>
        <filter val="SOLDADURA SUPERCITO E-7018 DE 5/32&quot;"/>
        <filter val="DADO DE IMPACTO CORTO HEXAGONAL ENCASTRE 1/2&quot; DE 27 MM"/>
        <filter val="REDUCCION EXCENTRICA DE 5&quot; - 4&quot; DE ACERO NEGRO SOLDABLE SCH-40"/>
        <filter val="DESINFECTANTE DE 3.7 L"/>
        <filter val="BOLÍGRAFO 031 PUNTA FINA TRI/HEX - AZUL (LAPICERO)"/>
        <filter val="ALAMBRE DE F°N° RECOCIDO N° 08"/>
        <filter val="UNION SIMPLE FIERRO NEGRO 1 1/2&quot; CLASE 300 UL/FM"/>
        <filter val="BROCA DE 1/2&quot; X 10&quot; ENCASTRE DE 1/2&quot; SDS PLUS (CONCRETO)"/>
        <filter val="CARTULINA T-A4 COLOR AZUL"/>
        <filter val="CONECTOR CURVO 45° HERMETICO PARA TUBERIA FLEXIBLE 1 1/2&quot; LIQUID TIGHT"/>
        <filter val="CORTADORA DE CERAMICA"/>
        <filter val="ACERO CORRUGADO G60 FY=4200 KG/CM2 1/4&quot; X 9 M"/>
        <filter val="TAPON MACHO ROSCADO P/TUBO CONDUIT DE 1&quot;"/>
        <filter val="LLAVE MIXTA BOCA/CORONA DE 5/16&quot;"/>
        <filter val="TUBO FIERRO GALVANIZADO DE 4&quot; STANDAR"/>
        <filter val="LETRERO SEÑALIZACION ACRILICO 0.60 M X 0.40 M &quot;PELIGRO CAIDA A DISTINTO NIVEL&quot;"/>
        <filter val="PINTURA EPOXICA 70 MP 2 COMPONENTES (EPOXICO + CATALIZADOR)"/>
        <filter val="DADO DE IMPACTO TUBULAR HEXAGONAL ENCASTRE 1/2&quot; DE 19 MM"/>
        <filter val="INTERRUPTOR TERMOMAGNÉTICO 2X6A 10/6KA 230/400V TIPO C DIN"/>
        <filter val="TUBO ACERO INOX. S/C SCH-40 C-304L X 6 MT. 3/4&quot; SOLDABLE"/>
        <filter val="TORNILLO AUTOPERFORANTE PUNTA BROCA #8 X 1&quot; CON ARANDELA DE NEOPRENO"/>
        <filter val="VARILLA DE COPPERWELD DE 3/4&quot; X 3 M"/>
        <filter val="SELLADOR CERA PARA PISO VINILICO X 1 GLN"/>
        <filter val="PEINE PARA TARRAJA 12 R DE 1 1/2&quot;"/>
        <filter val="DADO DE IMPACTO CARDANICO ENCASTRE DE 3/4&quot; DE 3/4&quot;"/>
        <filter val="MANG.TERMOCONTRAIBLE 6/3MM AM/VER"/>
        <filter val="UNION SIMPLE FIERRO NEGRO 2 1/2&quot; CLASE 300 UL/FM"/>
        <filter val="HOJA DE SIERRA 12&quot; X 1/2&quot; X 18D"/>
        <filter val="REPUESTO PARA CHISPERO TRIANGULAR"/>
        <filter val="ESPATULA TAPIZADORA DE 10&quot; ACERO AL MEDIO CARBONO"/>
        <filter val="RODILLO DE 8&quot; PARA PINTURA"/>
        <filter val="REDUCCION BUSHING FIERRO GALV 1 1/2&quot; X 1/4&quot; ROSCA NPT X 150 LIBRAS UL/FM"/>
        <filter val="INTERRUPTOR TERMOMAGNÉTICO 2X50A 20/6KA 230/400V TIPO C DIN"/>
        <filter val="CHALECO DRILL 05 BOL CINTA REF LOGO BORD PECHO ESP COLOR AMARILLO VIGIA TALLA XL"/>
        <filter val="ARANDELA DE PRESION ZINCADO DE 7/8&quot;"/>
        <filter val="PLANCHA DE BATIR"/>
        <filter val="UNION A PRESION DE 1 1/2&quot; DE PVC"/>
        <filter val="PEGAMENTO CEMENTO PARA CPVC EXTRA X 8 ONZ 237 ML"/>
        <filter val="CINTA MASKING TAPE 1 1/2&quot; X 37 MT"/>
        <filter val="RODILLO DE 6&quot; PARA PINTURA"/>
        <filter val="TUBO DE CPVC DE 1&quot; X 5 M"/>
        <filter val="STRETCH FILM MANUAL 18&quot; X 20 MICRAS"/>
        <filter val="TERMINAL TUBULAR SOBREMOLDEADO, MANGUITO AISLADO - 6 AWG o 16mm2 X 100 UND"/>
        <filter val="LLAVE DE BOCA DE 3/4&quot; CON MANGO DE COLA"/>
        <filter val="UNION UNIVERSAL PARA CONDUIT F°G° DE 1&quot; HEMBRA - HEMBRA"/>
        <filter val="PERNO CAB. HEXAGONAL A°G° 7/8&quot; X 3 1/2&quot; C/ TUERCA Y ARANDELA PLANA Y PRESION"/>
        <filter val="PERNO CAB. HEXAGONAL F°N° 7/16&quot; X 3 1/2&quot; C/ TUERCA Y ARANDELA PLANA Y PRESION"/>
        <filter val="HOJA CALADORA BIMETAL"/>
        <filter val="TUERCA HEXAGONAL INOX 304 DE 5/8&quot;"/>
        <filter val="CORDEL DE PESCAR VERDE TRANSPARENTE 0.70 (HILO DE PESCAR) X 100M"/>
        <filter val="INTERRUPTOR DIFERENCIAL 2X40A 300MA 230 VAC"/>
        <filter val="PEINE PARA TARRAJA 12 R DE 1 1/4&quot;"/>
        <filter val="CODO ACERO AL CARBONO DE 1 1/2&quot; X 90° SOLDABLE SCH-40"/>
        <filter val="BOLSA DE BASURA X 100 UND DE 50 LITROS COLOR AZUL"/>
        <filter val="CODO FIERRO GALVANIZADO DE 1 1/2&quot; X 45° X 150LB UL/FM"/>
        <filter val="LÍQUIDOS PENETRANTES KIT ENSAYO ND P/ SOLDADURAS (TINTA, REVELADOR Y LIMPIADOR)"/>
        <filter val="TAPON MACHO ROSCADO P/TUBO CONDUIT DE 2&quot;"/>
        <filter val="INTERRUPTOR TERMOMAGNÉTICO 2X63A 10/6KA 230/400V TIPO C DIN"/>
        <filter val="REDUCCION BUSHING ACERO INOXIDABLE 1/2&quot; X 1/4&quot; ROSCA NPT C-304 X 150 LIB"/>
        <filter val="LLAVE MIXTA BOCA/CORONA DE 1 3/16&quot;"/>
        <filter val="CURVA PVC SAP A CAJA DE 1/2&quot; X 90°"/>
        <filter val="BROCA DE 1/2&quot; X 12&quot; ENCASTRE DE 1/2&quot; SDS PLUS (CONCRETO)"/>
        <filter val="BARRA RETRÁCTIL DE SEÑALIZACIÓN COLOR NEGRO/AMARILLO 1.3 M - 2.2 M"/>
        <filter val="MASCARILLA DESCARTABLE KN95"/>
        <filter val="BARRA REDONDA LISA 1&quot; X 6M, A-36"/>
        <filter val="MANGA TERMOCONTRAIBLE 35 MM - COLOR AZUL X 50 M"/>
        <filter val="ACOPLE TIPO GARRA ROSCADO EXTERIOR DE 1/2&quot;"/>
        <filter val="BROCA HSS DE COBALTO PARA INOX DE 18 MM"/>
        <filter val="CODO FIERRO NEGRO 1 1/2&quot; X 45° ROSCA NPT CLASE150"/>
        <filter val="ENCHUFE INDUST. 3X60A+T 600V, HEAVY DUTY NEMA 4, UL MODELO: APJ6485"/>
        <filter val="GUANTE P/SOLDAR CAÑA LARGA"/>
        <filter val="SOGA NYLON T/ DRIZA DE 5/8&quot; X 7 M"/>
        <filter val="UNION CONDUIT O ACOPLADOR DE 2&quot; C/FORRO DE PVC"/>
        <filter val="VALVULA DE BOLA DE 1/2&quot; ACERO INOX ROSCA NPT CON SISTEMA PARA BLOQUEO"/>
        <filter val="OCHAVO DE MADERA 1/2&quot; X 1/2&quot; X 3 M"/>
        <filter val="TEE ACERO INOXIDABLE DE 3/4&quot; ROSCA NPT"/>
        <filter val="FOCO 12 V 21/5W (LAGRIMAS)"/>
        <filter val="VALVULA DE BOLA DE 3&quot; ACERO AL CARBONO ROSCA NPT CON SISTEMA PARA BLOQUEO"/>
        <filter val="BROCHA ANTIESTATICA DE 2&quot;"/>
        <filter val="VALVULA DE BOLA DE 1 1/2&quot; ACERO AL CARBONO ROSCA NPT CON SISTEMA PARA BLOQUEO"/>
        <filter val="TAPON MACHO ROSCADO P/TUBO CONDUIT DE 3/4&quot;"/>
        <filter val="LIJA DE FIERRO #80"/>
        <filter val="LANCHA PARA EMPASTAR DENTADA CON MANGO DE PLASTICO 11&quot;X5&quot;(RASPIN)"/>
        <filter val="CONTRATUERCA PARA TUBO CONDUIT DE 4&quot;"/>
        <filter val="ABRAZADERA METALICA C/ 2 OREJAS P TUBO 1&quot;"/>
        <filter val="CINTILLO AMARRACABLE 200 X 2.5MM X 100 UND - COLOR BLANCO"/>
        <filter val="PRENSAESTOPA NIQUELADA GRIS CON UL DE 10-14MM"/>
        <filter val="CURVA PVC SCH 40 3/4″ 90°"/>
        <filter val="PERNO CAB. HEXAGONAL F°N° 5/8&quot; X 3 1/2&quot; C/ TUERCA Y ARANDELA PLANA Y PRESION"/>
        <filter val="DISCO DE CORTE DE 14&quot; PARA MADERA"/>
        <filter val="RESALTADOR COLOR VERDE"/>
        <filter val="CINTA AISLANTE VINILICA TEMFLEX DE 3/4&quot; X 18 MT MOD: 165 - COLOR AZUL"/>
        <filter val="CABLE A°G° DE 3/16&quot;Ø, 7 HILOS TIPO BOA"/>
        <filter val="TUERCA BUSHING HIERRO C/AISL. C/PUESTA A TIERRA UL DE 1/2&quot;"/>
        <filter val="PORTA USB MULTIPLE"/>
        <filter val="ABRAZADERA METALICA C/ 2 OREJAS P TUBO 2&quot;"/>
        <filter val="INTERRUPTOR TERMOMAGNÉTICO 2X10A 10/6KA 230/400V TIPO C DIN"/>
        <filter val="CONTRATUERCA PARA TUBO CONDUIT DE 3&quot;"/>
        <filter val="TRIPLAY FENOLICO DE 15 MM X 1.22 X 2.44M CON FILM"/>
        <filter val="ESPARRAGO A°G° DE 5/8&quot; X 1 M"/>
        <filter val="TRAJE ANTIFLAMA 25 A 33 CAL/CM2"/>
        <filter val="PERNO CAB. HEXAGONAL INOX 304 7/8&quot; X 4&quot; C/ TUERCA Y ARANDELA PLANA Y PRESION"/>
        <filter val="LLAVE FRANCESA AJUSTABLE CROMADA 6&quot;"/>
        <filter val="CURVA PVC SAP A CAJA DE 1&quot; X 90°"/>
        <filter val="REDUCCION BUSHING ACERO INOXIDABLE 2&quot; X 1/2&quot; ROSCA NPT C-304 X 150 LIB"/>
        <filter val="LLAVE DE BOCA DE 1 1/8&quot; CON MANGO DE COLA"/>
        <filter val="MOLDE PARA SOLDADURA ESOTERMICA TIPO X DE 4/0-4/0 AWG"/>
        <filter val="LIJA DE FIERRO #60"/>
        <filter val="CABLE UNIPOLAR THW DE 14 AWG 750VCA AISLAMIENTO PVC COLOR: BLANCO"/>
        <filter val="REDUCCION CAMPANA FIERRO GALVANIZADO 3/4&quot; X 1/4&quot; X 150 LIBRAS UL/FM"/>
        <filter val="TAPON HEMBRA DE PVC A PRESION DE 3/4&quot;"/>
        <filter val="DISCO DE DESBASTE METAL 7&quot; X 1/4&quot; X 7/8&quot;"/>
        <filter val="PERNO CAB. HEXAGONAL A°G° 5/8&quot; X 3 3/4&quot; C/ TUERCA Y ARANDELA PLANA Y PRESION"/>
        <filter val="LLAVE MIXTA BOCA/CORONA DE 5/8&quot;"/>
        <filter val="REDUCCION CAMPANA FIERRO NEGRO CLASS150 UL/FM 1 1/2&quot; X 1 1/4&quot;"/>
        <filter val="UNION UNIVERSAL PVC 2&quot; C/ ROSCA"/>
        <filter val="CAJA CONDULET C/FORRO DE PVC DE 2&quot; TP. LB C/TAPA. Y EMPAQUE"/>
        <filter val="REDUCCION PVC A PRESION DE 1&quot; A 1/2&quot;"/>
        <filter val="VENDA ELASTICA 4&quot; X 5 YDAS"/>
        <filter val="LIJA DE FIERRO #50"/>
        <filter val="TAPON HEMBRA ROSCADO P/TUBO CONDUIT DE 3/4&quot;"/>
        <filter val="LENTE LUNA OSCURA POLICARBONATO MODELO: VENTURE II P Z87 + U6L1.7"/>
        <filter val="REDUCCION BUSHING F°N° DE 3/4&quot; A 3/8&quot; ROSCA NPT X 150/300 LIB"/>
        <filter val="LLAVE FRANCESA AJUSTABLE CROMADA 8&quot;"/>
        <filter val="ESLINGA DE POLYESTER DE 2&quot; X 2 M"/>
        <filter val="EXTENSION ELECTRICA 1X4X14 AWG 220V - TIPO PULPO"/>
        <filter val="PEGAMENTO CEMENTO PARA PVC COLOR DORADO X 4 ONZ 118 ML"/>
        <filter val="REMACHADOR TIPO ACORDEON"/>
        <filter val="PILA O BATERIA 9V"/>
        <filter val="ALICATE DE PRESION CURVO 10&quot;"/>
        <filter val="LIJA DE FIERRO #40"/>
        <filter val="TERMINAL DE COMPRESION CAÑON CORTO 1 HUECO DE 500 MCM OJAL DE 5/8&quot; (16 MM )"/>
        <filter val="FOCO NEBLINERO H2 12V 55W"/>
        <filter val="TUERCA HEXAGONAL DE F°G° DE 7/8&quot;"/>
        <filter val="GUANTES DE JEBE C-35 12&quot; TALLA 8"/>
        <filter val="YESO BLANCO P/OBRA X 1 KG"/>
        <filter val="DADO DE IMPACTO TUBULAR HEXAGONAL ENCASTRE 3/4&quot; DE 1 15/16&quot;"/>
        <filter val="GUANTE ANTICORTE CON PALMA DE PU MODELO: A622 TALLA: L"/>
        <filter val="BUSO DE LANA (CALENTADOR) TALLA: XXL"/>
        <filter val="GUANTE ANTICORTE CON PALMA DE PU MODELO: A622 TALLA: M"/>
        <filter val="GUANTE ANTICORTE CON PALMA PLUS MODELO: CUT5 TALLA: M"/>
        <filter val="UNION A PRESION DE 1/2&quot; DE PVC"/>
        <filter val="PERNO CAB. HEXAGONAL F°N° 1/4&quot; X 3/4&quot; C/ TUERCA Y ARANDELA PLANA Y PRESION"/>
        <filter val="GUANTE ANTICORTE CON PALMA DE PU MODELO: A622 TALLA: S"/>
        <filter val="GUANTE ANTICORTE CON PALMA PLUS MODELO: CUT5 TALLA: L"/>
        <filter val="GUANTE ANTICORTE CON PALMA PLUS MODELO: CUT5 TALLA: S"/>
        <filter val="TENAZA PORTAELECTRODO DE 500 AMP"/>
        <filter val="LAPICERO PUBLICITARIO LOGO STP"/>
        <filter val="UNION DE PVC PRESION-ROSCA DE 3&quot; SCH-40"/>
        <filter val="ENMICADORA A4"/>
        <filter val="PAÑITOS ANTISÉPTICOS (TOALLITA HUMEDA)"/>
        <filter val="TAPON HEMBRA ROSCADO P/TUBO CONDUIT DE 2&quot;"/>
        <filter val="NIPLE A°G° DE 1/2&quot; X 1&quot; ISO 65"/>
        <filter val="PLATINA DE COBRE DURO DESNUDO 3X40MM 6MTS"/>
        <filter val="DESARMADOR PLANO AISLADO 1000V 5.5 MM X 125MM [44] 65-968"/>
        <filter val="CHALECO DRILL 05 BOL CINTA REF LOGO BORD PECHO ESP COL ROJO/VERDE RIGGER T: L"/>
        <filter val="TENZADORA PARA ZUNCHO METALICO 3/4&quot;"/>
        <filter val="CONTRATUERCA PARA TUBO CONDUIT DE 2&quot;"/>
        <filter val="CAPUCHONES DE SEGURIDAD DE PVC DE 3/8&quot; - 3/4&quot;"/>
        <filter val="BUSO DE LANA (CALENTADOR) TALLA: XL"/>
        <filter val="PERNO CAB. HEXAGONAL A°G° 5/8&quot; X 1&quot; C/ TUERCA Y ARANDELA PLANA Y PRESION"/>
        <filter val="MARTILLO DEMOLEDOR GSH 11 E-1500W"/>
        <filter val="CABLE VULCANIZADO NMT 3X12AWG 500VAC X 100 M"/>
        <filter val="LENTES DE SEGURIDAD OBRERO CUADRADO CLARO"/>
        <filter val="U-BOLT F°G° DE 1/4&quot; PARA TUBO DE 3/4&quot; C/ TUERCA Y ARANDELA PLANA Y PRESION"/>
        <filter val="LACA DESMOLDANTE X 1 GLN SIKALAC"/>
        <filter val="PLANCHA ESTRUCTURAL A-36 12.0 X 1200 X 2400 MM (1/2&quot;)"/>
        <filter val="GRAPA DE 1/4&quot; DE ACERO FORJADO MODELO: G-450"/>
        <filter val="HIGIENIZANTE DE MANOS EN SACHET"/>
        <filter val="CONTRATUERCA PARA TUBO CONDUIT DE 1&quot;"/>
        <filter val="TUBERIA FLEXIBLE DE 1/2&quot; HERMETICO C/FORRO PVC LIQUID TIGHT"/>
        <filter val="ESTACION EMERGENCIA 1.2 X 1.8 M CAMILLA, FRAZADA, BOTIQUIN, LAVAOJOS, EXTINTOR"/>
        <filter val="CODO FIERRO GALVANIZADO DE 2&quot; X 90° X 150LB UL/FM"/>
        <filter val="BLUSA PARA DAMA MANGA LARGA C/ CELESTE LOGO: STP TALLA: S"/>
        <filter val="FORMON PARA MADERA DE 1 1/4&quot;"/>
        <filter val="FORMON PARA MADERA DE 5/8&quot;"/>
        <filter val="TUBO CUADRADO LAC 4&quot; X 4&quot; X 3 MM X 6 M"/>
        <filter val="CAJA CONDULET C/FORRO DE PVC DE 3/4&quot; TP. LB C/TAPA. Y EMPAQUE"/>
        <filter val="BLUSA PARA DAMA MANGA LARGA C/ CELESTE LOGO: STP TALLA: M"/>
        <filter val="BLUSA PARA DAMA MANGA LARGA C/ CELESTE LOGO: STP TALLA: L"/>
        <filter val="CATALIZADOR JET 70 MP"/>
        <filter val="HEBILLA DE ACERO INOX DE 1/2&quot; PARA CINTA DE ACERO INOX X 100 UND"/>
        <filter val="PINTURA EN SPRAY COLOR: VERDE"/>
        <filter val="GUANTE DE NITRILO MODELO: SOLVEX 37-165 TALLA: M"/>
        <filter val="CHINCHES DE COLORES PLASTIFICADO X 100 UND"/>
        <filter val="PAÑO ABSORVENTE DE 15&quot; X 19&quot;"/>
        <filter val="ADHESIVO SIKADUR 32 GEL (A+B) X 5 KG"/>
        <filter val="DADO DE IMPACTO CORTO HEXAGONAL ENCASTRE 1/2&quot; DE 9/16&quot;"/>
        <filter val="ACEITE DE USO MULTIPLE MODELO: 3EN1 DE 90 ML"/>
        <filter val="CONTRATUERCA PARA TUBO CONDUIT DE 3/4&quot;"/>
        <filter val="BROCA HSS PARA ACERO DE 1/2&quot;"/>
        <filter val="BOLSA DE PLASTICO GRUESA TRANSPARENTE DE 20&quot; x 30&quot; x 8 MIC"/>
        <filter val="FOCO R5W 12V 5W"/>
        <filter val="PERNO CAB. HEXAGONAL INOX 304 1/4&quot; X 3&quot; C/ TUERCA Y ARANDELA PLANA Y PRESION"/>
        <filter val="TUERCA HEXAGONAL INOX 316 DE 1/4&quot;"/>
        <filter val="TOPE DE FIJACIÓN PARA BORNES VIKING"/>
        <filter val="PORTACINTILLO AUTOADHES 19 X 19 X 100 UND"/>
        <filter val="INTERRUPTOR TERMOMAGNÉTICO 2X40A 10/6KA 230/400V TIPO C DIN"/>
        <filter val="LLAVE MIXTA BOCA/CORONA DE 1 11/16&quot;"/>
        <filter val="MOLDE PARA SOLDADURA EXOTERMICA TIPO T DE 2/0-2/0 AWG"/>
        <filter val="MARTILLO DE BOLA C/MANGO MADERA 32 OZ."/>
        <filter val="TUBO DE PVC SCH-40 DE 2&quot; X 3 M"/>
        <filter val="TACHO DE PLASTICO DE BASURA COLOR ROJO &quot;RESIDUOS PELIGROSOS&quot; DE 51 LTS"/>
        <filter val="BROCA HSS PARA ACERO DE 15/16&quot;"/>
        <filter val="INTERRUPTOR DIFERENCIAL SUPERINMUNIZADO 2X40A 30MA A APR"/>
        <filter val="BOTELLA DE TINTA COLOR: BLACK MODELO: T664120"/>
        <filter val="LIJA DE AGUA #100"/>
        <filter val="CONECTOR RECTO HERMETICO PARA TUBERIA FLEXIBLE 1/2&quot; LIQUID-TIGHT"/>
        <filter val="LACA SELLADORA PARA MADERA"/>
        <filter val="PERNO CAB. HEXAGONAL INOX 304 3/8&quot; X 3&quot; C/ TUERCA Y ARANDELA PLANA Y PRESION"/>
        <filter val="UNION SIMPLE FIERRO NEGRO 3/4&quot; CLASE 300 UL/FM"/>
        <filter val="TAPON HEMBRA ROSCADO P/TUBO CONDUIT DE 1&quot;"/>
        <filter val="PERNO CAB. HEXAGONAL F°N° 3/4&quot; X 3 1/2&quot; C/ TUERCA Y ARANDELA PLANA Y PRESION"/>
        <filter val="CABLE PUESTA A TIERRA CPT 2/0 AWG 70 MM2 COLOR: AMAR-VERDE"/>
        <filter val="ARANDELA PLANA REDONDA ZINCADO DE 1/8&quot;"/>
        <filter val="PERNO CAB. HEXAGONAL A°G° 7/16&quot; X 2 1/2&quot; C/ TUERCA Y ARANDELA PLANA Y PRESION"/>
        <filter val="UNION UNIVERSAL PARA CONDUIT F°G° DE 2&quot; HEMBRA - HEMBRA"/>
        <filter val="TERMINAL DE COMPRESION CAÑON LARGO 2 HUECOS DE 300 MCM OJAL DE 1/2&quot; (12.5 MM )"/>
        <filter val="CONECTOR DE ANCLAJE DE 1 M C/ ANILLO EN &quot;D&quot;"/>
        <filter val="TORNILLO STOVE-BOLT DE A°G° DE 3/16&quot; X 2&quot;  C/ TUERCA, ARAND PLANA RED Y PRES"/>
        <filter val="DADO DE IMPACTO TUBULAR HEXAGONAL ENCASTRE 1/2&quot; DE 14 MM"/>
        <filter val="LLAVE MIXTA BOCA/CORONA DE 6 MM"/>
        <filter val="CHALECO DRILL 05 BOL CINTA REF LOGO BORD STP PECHO ESP COLOR NARANJA TALLA: XL"/>
        <filter val="PRENSAESTOPA DE NYLON GRIS CON UL DE 32-38MM"/>
        <filter val="PEGAMENTO ADHESIVO ENCHAPE TEROCHAP X 1/4 GL"/>
        <filter val="TUBING INOX S/C DE 1/2&quot; X 6.1 M"/>
        <filter val="PERNO CAB. HEXAGONAL INOX 304 3/8&quot; X 4&quot; C/ TUERCA Y ARANDELA PLANA Y PRESION"/>
        <filter val="TOPEX MORTERO FÁCIL 40 KG"/>
        <filter val="ARANDELA PLANA REDONDA ZINCADO DE 1/2&quot;"/>
        <filter val="CALIBRADOR DE SOLDADURA GAL GAGE CO."/>
        <filter val="REDUCCION BUSHING F°N° DE 1&quot; A 1/2&quot; ROSCA NPT X 150/300 LIB"/>
        <filter val="PLANCHA ESTRUCTURAL A-36 16.0 X 1200 X 2400 MM (5/8&quot;)"/>
        <filter val="BOTIN PUNTA ACERO RESISTENCIA ANTIPERFORANTE NTP-ISO-20345-2008 TALLA: 44"/>
        <filter val="BOTIN PUNTA ACERO RESISTENCIA ANTIPERFORANTE NTP-ISO-20345-2008 TALLA: 45"/>
        <filter val="CAJA CONDULET C/FORRO DE PVC DE 3/4&quot; TP. T C/TAPA. Y EMPAQUE"/>
        <filter val="FACE PLATE HORIZONTAL DE 2 PUERTO"/>
        <filter val="TORNILLO STOVE-BOLT DE A°G° DE 1/4&quot; X 1&quot; C/ TUERCA, ARAND PLANA RED Y PRES"/>
        <filter val="TUERCA HEXAGONAL DE F°N° DE 5/8&quot;"/>
        <filter val="BORNERA DE REGLETA 2.5MM2 12 BORNES NYLBLOC NEGRO"/>
        <filter val="PLUMON DELGADO INDELEBLE #421 COLOR ROJO"/>
        <filter val="LLAVE RACHET ENCASTRE DE 1/2&quot; X 12&quot;"/>
        <filter val="CAJA DE PASO DE POLICARBONATO C/ CHAPA MEDIA VUELTA DE 340MM X 290MM X 150MM"/>
        <filter val="REDUCCION BUSHING P/CONDUIT DE 1 1/2&quot; A 1&quot;"/>
        <filter val="FOLDER DE MANILA T/ A4 X 25 UND"/>
        <filter val="DISPOSITIVO DE BLOQUEO UNIVERSAL PARA INTERRUPTOR TERMOMAGNETICO"/>
        <filter val="PILA ALCALINA &quot;AAA&quot;"/>
        <filter val="ANGULO DE F°N° 1/8&quot; x 2&quot; x 6 M"/>
        <filter val="SILICONA TRANSPARENTE SIKASIL - C X 300 ML"/>
        <filter val="BRIDA CIEGA DE 2&quot; ACERO NEGRO SOLDABLE SCH-40"/>
        <filter val="DADO DE IMPACTO PUNTA (ALLEN) ENCASTRE 1/2&quot;) DE 19 MM"/>
        <filter val="TERMINAL DE COMPRESION CAÑON LARGO 1 HUECO  DE 1000 MCM OJAL DE 13 MM"/>
        <filter val="ACOPLE TIPO GARRA ROSCADO EXTERIOR DE 1&quot;"/>
        <filter val="UNION UNIVERSAL O TUERCA UNION FIERRO NEGRO 1 1/2&quot; CLASE 300"/>
        <filter val="BROCA DE 1/2&quot; X 18&quot; ENCASTRE DE 1/2&quot; SDS PLUS (CONCRETO)"/>
        <filter val="CASACA DE CUERO RES AMARILLO P/ SOLDADOR (100% CUERO)"/>
        <filter val="ARCO DE SIERRA FIJO DE 12&quot;"/>
        <filter val="BOTELLA DE TINTA COLOR: YELLOW MODELO: T664420"/>
        <filter val="ARANDELA PLANA REDONDA ZINCADO DE 1/4&quot;"/>
        <filter val="LLAVE DE BOCA DE 5/8&quot; CON MANGO DE COLA"/>
        <filter val="ACOPLE FLEXIBLE DE 1&quot; ESTILO 77"/>
        <filter val="LIJA DE FIERRO #180"/>
        <filter val="LIJA AL SECO #600"/>
        <filter val="DISCO POLIFAN 4 1/2&quot; GRANO 100"/>
        <filter val="UNION CONDUIT O ACOPLADOR DE 1/2&quot; C/FORRO DE PVC"/>
        <filter val="CASACA CINTA REF FORRO POLAR CAPUCHA COLOR NARANJA LOGO STP TALLA: L"/>
        <filter val="TUERCA HEXAGONAL INOX 316 DE 1/2&quot;"/>
        <filter val="CASACA CINTA REF FORRO POLAR CAPUCHA COLOR NARANJA LOGO STP TALLA: M"/>
        <filter val="DADO DE IMPACTO CORTO HEXAGONAL ENCASTRE 1/2&quot; DE 5/8&quot;"/>
        <filter val="BOTIN PUNTA ACERO RESISTENCIA ANTIPERFORANTE NTP-ISO-20345-2008 TALLA: 40"/>
        <filter val="BOTIN PUNTA ACERO RESISTENCIA ANTIPERFORANTE NTP-ISO-20345-2008 TALLA: 41"/>
        <filter val="BOTIN PUNTA ACERO RESISTENCIA ANTIPERFORANTE NTP-ISO-20345-2008 TALLA: 42"/>
        <filter val="PERNO CAB. HEXAGONAL INOX 304 1/4&quot; X 2&quot; C/ TUERCA Y ARANDELA PLANA Y PRESION"/>
        <filter val="BOTIN PUNTA ACERO RESISTENCIA ANTIPERFORANTE NTP-ISO-20345-2008 TALLA: 43"/>
        <filter val="CINTILLO AMARRACABLE 300 X 6.0MM X 100 UND - COLOR BLANCO"/>
        <filter val="CODO PVC 3/4&quot; X 90° SP"/>
        <filter val="PERNO CAB. HEXAGONAL INOX 304 7/8&quot; X 3&quot; C/ TUERCA Y ARANDELA PLANA Y PRESION"/>
        <filter val="PORTA HERRAMIENTA CON CINTURON CARNAZA MODELO: 11533"/>
        <filter val="ESCUADRA PLANA PROFESIONAL DE 24&quot;"/>
        <filter val="LLAVE MIXTA BOCA/CORONA DE 1 5/8&quot;"/>
        <filter val="TAPON HEMBRA DE PVC A PRESION DE 1 1/2&quot;"/>
        <filter val="CEMENTO CONDUCTIVO X 25 KG"/>
        <filter val="CURVA CONDUIT DE 2&quot; X 90°"/>
        <filter val="REDUCCION BUSHING FIERRO GALV 1/2&quot; X 1/4&quot; ROSCA NPT X 150 LIBRAS UL/FM"/>
        <filter val="CASACA CINTA REF FORRO POLAR CAPUCHA COLOR NARANJA LOGO STP TALLA: S"/>
        <filter val="BOTIN PUNTA ACERO RESISTENCIA ANTIPERFORANTE NTP-ISO-20345-2008 TALLA: 35"/>
        <filter val="CONECTOR UNION CODO DE 90° PARA TUBING DE 1/4&quot; NPT A 1/4&quot; OD"/>
        <filter val="BOTIN PUNTA ACERO RESISTENCIA ANTIPERFORANTE NTP-ISO-20345-2008 TALLA: 36"/>
        <filter val="PLANCHA ESTRUCTURAL A-36 19.0 X 1200 X 2400 MM (3/4&quot;)"/>
        <filter val="BOTIN PUNTA ACERO RESISTENCIA ANTIPERFORANTE NTP-ISO-20345-2008 TALLA: 37"/>
        <filter val="BOTIN PUNTA ACERO RESISTENCIA ANTIPERFORANTE NTP-ISO-20345-2008 TALLA: 38"/>
        <filter val="BOTIN PUNTA ACERO RESISTENCIA ANTIPERFORANTE NTP-ISO-20345-2008 TALLA: 39"/>
        <filter val="LLAVE MIXTA BOCA/CORONA DE 2&quot;"/>
        <filter val="TUERCA CON RESORTE PARA CANAL N224 3/8&quot;"/>
        <filter val="FILTRO P/ RESPIRADOR P-100 ALTA EFICIENCIA P/ PARTICULAS MODELO: 7093"/>
        <filter val="UNION UNIVERSAL PVC 3/4&quot; C/ ROSCA"/>
        <filter val="UNION UNIVERSAL PARA CONDUIT F°G° DE 2&quot; MACHO-HEMBRA"/>
        <filter val="MOLDE PARA SOLDADURA ESOTERMICA TIPO T DE 4/0-2/0 AWG"/>
        <filter val="PERNO CAB. HEXAGONAL A°G° 5/8&quot; X 2&quot; C/ TUERCA Y ARANDELA PLANA Y PRESION"/>
        <filter val="LIJA DE FIERRO #120"/>
        <filter val="BOLSA DE BASURA X 100 UND DE 50 LITROS COLOR NEGRO"/>
        <filter val="DADO DE IMPACTO TUBULAR HEXAGONAL ENCASTRE 1/2&quot; DE 1 1/2&quot;"/>
        <filter val="CINTA DE PAPEL PARA DRYWALL 2&quot; X 75 M"/>
        <filter val="UNION DE PVC PRESION-ROSCA DE 4&quot; SCH-40"/>
        <filter val="APOSITOS DE GASA Y ALGODON 10X10CM"/>
        <filter val="VALVULA CHECK DE BRONCE 2&quot;"/>
        <filter val="LLAVE MIXTA BOCA/CORONA DE 1&quot;"/>
        <filter val="CINTILLO AMARRACABLE 250 X 4.8MM X 100 UND - COLOR BLANCO"/>
        <filter val="LINTERNA PARA ADAPTAR AL CASCO"/>
        <filter val="REDUCCION BUSHING FIERRO GALV 1 1/2&quot; X 1/2&quot; ROSCA NPT X 150 LIBRAS UL/FM"/>
        <filter val="LIJA DE AGUA #150"/>
        <filter val="TERMINAL TUBULAR SOBREMOLDEADO, MANGUITO AISLADO - 12 AWG X 100 UND"/>
        <filter val="SELLO FECHADOR"/>
        <filter val="INTERRUPTOR TERMOMAGNÉTICO 2X10A 25/10KA 220DC/440AC/DC TIPO K DIN"/>
        <filter val="TUBO FIERRO GALVANIZADO DE 3&quot; STANDAR"/>
        <filter val="ARANDELA DE PRESION DE F°G° DE 1/4&quot;"/>
        <filter val="ARCHIVADOR TAMAÑO 1/2 OFICIO LOMO ANCHO"/>
        <filter val="SIERRA DE COPA BIMETALICA DE 1/2&quot;"/>
        <filter val="ESCUADRA DE TOPE DE 12&quot;"/>
        <filter val="VALVULA CHECK DE BRONCE 1&quot;"/>
        <filter val="LIJA DE AGUA #180"/>
        <filter val="PERNO CAB. HEXAGONAL A°G° 3/4&quot; X 1&quot; C/ TUERCA Y ARANDELA PLANA Y PRESION"/>
        <filter val="INTERRUPTOR TERMOMAGNÉTICO 3X2A 10/6KA 230/400V TIPO C DIN"/>
        <filter val="LLAVE DE TUBO STILLSON DE 24&quot;"/>
        <filter val="ABRAZADERA P/RIEL UNISTRUT C/FORRO DE PVC DE 1&quot;"/>
        <filter val="BROCA HSS PARA ACERO DE 1/8&quot;"/>
        <filter val="VALVULA DE BOLA DE 2 1/2&quot; ACERO AL CARBONO ROSCA NPT CON SISTEMA PARA BLOQUEO"/>
        <filter val="DADO DE IMPACTO TUBULAR HEXAGONAL ENCASTRE 1/2&quot; DE 1 1/4&quot;"/>
        <filter val="PLATINA F°N° DE 3/16&quot; X 6&quot; X 5 M"/>
        <filter val="LIMA TRIANGULAR C/ MANGO DE PLASTICO"/>
        <filter val="TABLERO ACERO INOX 304 200X200X150MM PLACA MONTAJE 2.0 MM ESP PARED 1.5MM"/>
        <filter val="CAJA DE PASO A°G° DE 150 X 150 X 100 MM"/>
        <filter val="REDUCCION BUSHING FIERRO GALV 2&quot; X 1&quot; ROSCA NPT X 150 LIBRAS UL/FM"/>
        <filter val="SOLDADURA CHAMFERCORD E-900 1/8&quot;"/>
        <filter val="TERMINAL TUBULAR SOBREMOLDEADO, MANGUITO AISLADO - 8 AWG X 100 UND"/>
        <filter val="UNION UNIVERSAL O TUERCA UNION FIERRO GALVANIZADO 1'' CLASE 150 UL/FM"/>
        <filter val="ABRAZADERA P/RIEL UNISTRUT C/FORRO DE PVC DE 2&quot;"/>
        <filter val="ARANDELA DE PRESION DE F°G° DE 1&quot;"/>
        <filter val="CAMAROTE DE MADERA 1 1/2 PLAZA 1.50 ALTO X 1.90 LARGO"/>
        <filter val="REDUCCION BUSHING P/CONDUIT DE 2&quot; A 1&quot;"/>
        <filter val="PIONER A-4 DE 2 ANILLOS (LOMO DELGADO 25MM) COLOR AZUL"/>
        <filter val="DADO DE IMPACTO CORTO HEXAGONAL ENCASTRE 3/4&quot; DE 24 MM"/>
        <filter val="PERNO CAB. HEXAGONAL INOX 304 3/4&quot; X 1 1/2&quot; C/ TUERCA Y ARANDELA PLANA Y PRESION"/>
        <filter val="PRENSAESTOPA DE NYLON GRIS CON UL DE 18-25MM"/>
        <filter val="VALVULA COMPUERTA DE BRONCE 2&quot;"/>
        <filter val="ARANDELA DE PRESION DE F°G° DE 1/8&quot;"/>
        <filter val="UNION UNIVERSAL PARA CONDUIT DE 1&quot; C/ FORRO DE PVC HEMBRA-HEMBRA"/>
        <filter val="LINEA DE VIDA &quot;Y&quot; NYLON S/ ABS IMPACTO 1 GANCHO 3/4&quot; Y 2 GANC 2 1/4&quot;"/>
        <filter val="PAPEL BOND T-A4 P/ FOTOCOPIA 75 g/m2"/>
        <filter val="CHALECO DRILL 05 BOL CIN REF LOG PECHO ESP VERDE LIMON SUPERVISOR SSOMA T: XL"/>
        <filter val="ANGULO DE F°N° 3/8&quot; x 3&quot; x 6 M"/>
        <filter val="JUEGO DE DADOS DE 29 PZS MILIMETRICAS MODELO: 86-504"/>
        <filter val="ARANDELA DE PRESION DE F°N° DE 7/8&quot;"/>
        <filter val="JUEGO DE DADOS SEXTAVADOS AISLADOS DE 1/2&quot; X 13 PZS DE 10-24MM MODELO: 60900"/>
        <filter val="CINCEL ACERO HEXAGONAL PUNTA CON CAPUCHON DE 3/4&quot; X 10&quot;"/>
        <filter val="REMACHE POP 1/4&quot; X 3/4&quot; X 100 UND"/>
        <filter val="DADO DE IMPACTO TUBULAR HEXAGONAL ENCASTRE 3/4&quot; DE 41 MM"/>
        <filter val="PRENSA NODULAR PARA CARPINTERO TIPO &quot;C&quot; DE 12&quot;"/>
        <filter val="COMBA DE ACERO FORJADO DE 4 LBS C/ MANGO DE MADERA"/>
        <filter val="ARNES DE SEGURIDAD TIPO PARACAIDISTA DE 4 ANILLOS"/>
        <filter val="TUERCA HEXAGONAL INOX 316 DE 1/8&quot;"/>
        <filter val="INTERRUPTOR TERMOMAGNÉTICO 3X63A 20/6KA 230/400V TIPO C DIN"/>
        <filter val="GRILLETE DE ACERO FORJADO T/ LIRA DE 3/4&quot;"/>
        <filter val="MALETA DE HERRAMIENTAS PARA INSTRUMENTISTA"/>
        <filter val="FAJA RACHET PARA SUJECION CON GANCHOS TIPO GARRA DE 3&quot; X 9 M"/>
        <filter val="DADO DE IMPACTO TUBULAR HEXAGONAL ENCASTRE 1/2&quot; DE 13/16&quot;"/>
        <filter val="ADAPTADOR MAGNETICO (COPA) PARA AUTOPERFORANTE DE 3/8&quot;"/>
        <filter val="PERNO CAB. HEXAGONAL F°N° 7/16&quot; X 3&quot; C/ TUERCA Y ARANDELA PLANA Y PRESION"/>
        <filter val="BROCHA DE 6&quot; MANGO MADERA Y CERDA"/>
        <filter val="CORRECTOR LIQUID PAPER"/>
        <filter val="PRENSAESTOPA SIMÉTRICA PARA 125A GRIS"/>
        <filter val="LIJA DE FIERRO #100"/>
        <filter val="BROCA HSS PARA ACERO DE 1/4&quot;"/>
        <filter val="ADAPTADOR DE IMPACTO 1/2&quot; MACHO X 3/4&quot; HEMBRA"/>
        <filter val="TEE FIERRO NEGRO CLASS150 DE 1 1/2&quot;"/>
        <filter val="DADO DE IMPACTO TUBULAR HEXAGONAL ENCASTRE 1/2&quot; DE 7/8&quot;"/>
        <filter val="DADO DE IMPACTO TUBULAR HEXAGONAL ENCASTRE 3/4&quot; DE 1 11/16&quot;"/>
        <filter val="LAPICERO (BOLIGRAFO) TRILUX AZUL 032-M"/>
        <filter val="EXTINTOR DE POLVO QUIMICO SECO DE 12 KG"/>
        <filter val="TERMINAL DE COMPRESION CAÑON LARGO 2 HUECOS DE 250 MCM OJAL DE 1/2&quot; (12.5 MM )"/>
        <filter val="LETRERO SEÑALIZACION ACRILICO 0.60 M X 0.40 M &quot;RIESGO DE CAIDA DE OBJETOS&quot;"/>
        <filter val="MASILLA DE VEDACION PARA SOLDADURA ESOTERMICA DE 5 LIBRAS"/>
        <filter val="DADO DE IMPACTO TUBULAR HEXAGONAL ENCASTRE 1/2&quot; DE 1 1/8&quot;"/>
        <filter val="MANOMETRO DE AIRE 200 PSI"/>
        <filter val="PAPEL ADHESIVO A-4 BLANCO BRILLANTE 180GR"/>
        <filter val="PORTA MARTILLO DE CUERO SIN CINTURON"/>
        <filter val="TOMA AEREO 32AMP 3P+T 415V ROJO 6H IP67"/>
        <filter val="PERNO CAB. HEXAGONAL F°N° 7/16&quot; X 2&quot; C/ TUERCA Y ARANDELA PLANA Y PRESION"/>
        <filter val="PINTURA PARA TRAFICO MAESTRO TTP 115 F COLOR: NARANJA"/>
        <filter val="PELOTA DE PLASTICO GRANDE"/>
        <filter val="BROCA HSS DE COBALTO PARA INOX DE 11/16&quot;"/>
        <filter val="CODO FIERRO NEGRO 3/4&quot; X 90° ROSCA NPT CLASE150"/>
        <filter val="LETRERO SEÑALIZACION ACRILICO 0.60 M X 0.40 M &quot;ALMACEN TEMPORAL&quot;"/>
        <filter val="TEE FIERRO GALVANIZADO 1/2&quot; ROSCA NPT X 150 LIBRAS UL/FM"/>
        <filter val="UNION UNIVERSAL PARA CONDUIT DE 1/2&quot; C/ FORRO DE PVC HEMBRA-HEMBRA"/>
        <filter val="TORNILLO AUTOPERFORANTE PUNTA BROCA #10 X 1&quot; CON ARANDELA DE NEOPRENO"/>
        <filter val="CINTA AISLANTE VINIL SUPER 35 DE 3/4&quot; X 20 MT - COLOR: AZUL"/>
        <filter val="CABLE VULCANIZADO NMT 2X12AWG 500VAC X 100 M"/>
        <filter val="PERNO CAB. HEXAGONAL INOX 304 5/8&quot; X 1 1/2&quot; C/ TUERCA Y ARANDELA PLANA Y PRESION"/>
        <filter val="LIMA PLANA C/ MANGO DE PLASTICO"/>
        <filter val="UNION UNIVERSAL O TUERCA UNION ACERO INOXIDABLE 1/2&quot; ROSCA NPT X 150 LIB"/>
        <filter val="INTERRUPTOR DIFERENCIAL SUPERINMUNIZADO.4X25A 30MA A APR"/>
        <filter val="REDUCCION CONCENTRICA SOLDABLE SCH-40 3&quot; X 2 1/2&quot;"/>
        <filter val="ABRAZADERA P/RIEL UNISTRUT C/FORRO DE PVC DE 1/2&quot;"/>
        <filter val="RESPIRADOR DE MEDIA CARA C/ DOS VIAS MODELO: 7502"/>
        <filter val="PERNO CAB. HEXAGONAL F°N° 7/16&quot; X 1&quot; C/ TUERCA Y ARANDELA PLANA Y PRESION"/>
        <filter val="FOCO NEBLINERO H3 12V 55W"/>
        <filter val="BROCA HSS PARA ACERO DE 5/32&quot;"/>
        <filter val="PERNO CAB. HEXAGONAL A°G° 1/2&quot; X 1 1/2&quot; C/ TUERCA Y ARANDELA PLANA Y PRESION"/>
        <filter val="ALICATE PUNTA Y CORTE 6&quot; 1000 VOLT."/>
        <filter val="BROCA HSS DE COBALTO PARA INOX DE 5/16&quot;"/>
        <filter val="REDUCCION BUSHING FIERRO GALV 1/4&quot; X 1/2&quot; ROSCA NPT X 150 LIBRAS UL/FM"/>
        <filter val="TAPA TERMINAL PARA BORNES: 37164-165, 37104-105, 37174-175"/>
        <filter val="LLAVE FRANCESA AJUSTABLE CROMADA 36&quot;"/>
        <filter val="ABRAZADERA AJUSTABLE ACERO INOX DE 1/2&quot;"/>
        <filter val="MANGA TERMOCONTRAIBLE 25 MM - COLOR BLANCO X 50 M"/>
        <filter val="CANALETA DE PVC CON ADHESIVO 20 MM X 20 MM X 2 M"/>
        <filter val="MARTILLO PARA ANDAMIERO ANTIVIBRATORIO DE 600 G X 340 MM"/>
        <filter val="CINTILLO AMARRACABLE 300 X 7.6MM X 100 UND - COLOR BLANCO"/>
        <filter val="LLAVE MIXTA BOCA/CORONA DE 21 MM"/>
        <filter val="BARRA REDONDA LISA 3/4&quot; X 6M, A-36"/>
        <filter val="SOGA NYLON T/ DRIZA DE 3/8&quot; X 21 M"/>
        <filter val="TUERCA BUSHING HIERRO C/AISL. C/PUESTA A TIERRA UL DE 3/4&quot; C/FORRO DE PVC"/>
        <filter val="UNIFORME DRILL CON FORRO POLAR COLOR AZUL (CASACA+PANTALON) TALLA: S"/>
        <filter val="UNIFORME DRILL CON FORRO POLAR COLOR AZUL (CASACA+PANTALON) TALLA: L"/>
        <filter val="TAPA PARA CAJAS OCTOGONALES DE PVC"/>
        <filter val="UNIFORME DRILL CON FORRO POLAR COLOR AZUL (CASACA+PANTALON) TALLA: M"/>
        <filter val="TORNILLO AUTOPERFORANTE PUNTA BROCA #10 X 3/4&quot; CON ARANDELA DE NEOPRENO"/>
        <filter val="SIERRA COPA BIMETALICA (3/4&quot;, 7/8&quot;, 1 1/8&quot;, 1 1/2&quot;, 1 3/4&quot; y 2 1/4&quot;) MOD: 15405"/>
        <filter val="AMBIENTADOR EN SPRAY SAPOLIO X 360 ML"/>
        <filter val="FOCO H7 12V 5W - NARVA"/>
        <filter val="LETRERO SEÑALIZACION ACRILICO 0.60 M X 0.40 M &quot;ESPACIO CONFINADO&quot;"/>
        <filter val="CURVA PVC 4&quot; X 90° SAP"/>
        <filter val="TUERCA CON RESORTE PARA CANAL N224 3/4&quot;"/>
        <filter val="CHOMPA DE LANA MODELO: JORGE CHAVEZ LOGO STP COLOR NEGRO TALLA: XL"/>
        <filter val="PERNO CAB. HEXAGONAL A°G° 5/8&quot; X 4&quot; C/ TUERCA Y ARANDELA PLANA Y PRESION"/>
        <filter val="PLUMON GRUESO INDELEBLE #23 COLOR ROJO"/>
        <filter val="TAPON MACHO ROSCADO P/TUBO CONDUIT DE 1 1/2&quot;"/>
        <filter val="TUBO FIERRO GALVANIZADO DE 3&quot; SCH-40"/>
        <filter val="REDUCCION BUSHING F°N° DE 2&quot; A 1&quot; ROSCA NPT X 150/300 LIB"/>
        <filter val="PLUMON GRUESO INDELEBLE #23 COLOR NEGRO"/>
        <filter val="TERMINAL AISLADO T/HORQUILLA AMARILLO 10 - 12 AWG X 100 UND"/>
        <filter val="VALVULA DE BOLA DE 3/4&quot; CON SISTEMA PARA BLOQUEO"/>
        <filter val="ESCUADRA DE COMBINACION DE 12&quot;"/>
        <filter val="VALVULA ANTIRRETORNO DE ACETILENO P/ MANOMETRO"/>
        <filter val="CHALECO DRILL 05 BOL CINTA REF LOGO BORD PECHO ESP COLOR AMARILLO VIGIA TALLA M"/>
        <filter val="CHALECO DRILL 05 BOL CINTA REF LOGO BORD PECHO ESP COLOR AMARILLO VIGIA TALLA L"/>
        <filter val="PAPEL BOND T-A3 P/ FOTOCOPIA 75 g/m2"/>
        <filter val="PERNO CAB. HEXAGONAL A°G° 3/4&quot; X 4&quot; C/ TUERCA Y ARANDELA PLANA Y PRESION"/>
        <filter val="CONDUCTOR CU DESNUDO, CABLEADO 25 MM2, 7 HILOS TEMPLE BLANDO"/>
        <filter val="ANGULO DE F°N° 1/4&quot; x 1 1/2&quot; x 6 M"/>
        <filter val="SEPARADORES PLASTICOS (1-31) T/ A-4"/>
        <filter val="TUERCA BUSHING HIERRO C/AISL. C/PUESTA A TIERRA UL DE 1 1/2&quot; C/FORRO DE PVC"/>
        <filter val="ELECTRODO DE TUNGSTENO PURO DE 3/32&quot; X 7&quot; (GREEN)"/>
        <filter val="MOLDE PARA SOLDADURA ESOTERMICA TIPO T DE 4/0-4/0 AWG"/>
        <filter val="CODO PVC 4&quot; X 90° SP"/>
        <filter val="VALVULA DE BOLA DE PVC DE 1 1/2&quot; C/ ROSCA"/>
        <filter val="TUERCA BUSHING HIERRO C/AISL. C/PUESTA A TIERRA UL DE 1&quot; C/FORRO DE PVC"/>
        <filter val="DADO DE IMPACTO CORTO HEXAGONAL ENCASTRE 3/4&quot; DE 36 MM"/>
        <filter val="TABLERO DE MADERA PORTAPAPELES T/OFICIO CON CLIP"/>
        <filter val="PERNO CAB. HEXAGONAL A°G° 1/2&quot; X 1 1/4&quot; C/ TUERCA Y ARANDELA PLANA Y PRESION"/>
        <filter val="SOLDADURA CITOFONTE E NI-CI DE 1/8&quot;"/>
        <filter val="COMBA DE ACERO FORJADO DE 20 LBS C/ MANGO DE MADERA"/>
        <filter val="DADO DE IMPACTO CORTO HEXAGONAL ENCASTRE 1/2&quot; DE 18 MM"/>
        <filter val="PLUMON PARA PIZARRA ACRILICA #152 COLOR VERDE"/>
        <filter val="TUBO CONDUIT C/FORRO DE PVC DE 1&quot; X 3 M"/>
        <filter val="RESPIRADOR DE MEDIA CARA C/ DOS VIAS MODELO: 6200"/>
        <filter val="CONTRATUERCA PARA TUBO CONDUIT DE 1 1/2&quot;"/>
        <filter val="NIPLE A°G° DE 1/2&quot; X 2&quot; ISO 65"/>
        <filter val="PERNO CAB. HEXAGONAL A°G° 3/4&quot; X 3&quot; C/ TUERCA Y ARANDELA PLANA Y PRESION"/>
        <filter val="CASCO DIELECTRICO ROJO C/SUSPENSION MODELO: H700"/>
        <filter val="DADO DE IMPACTO CORTO HEXAGONAL ENCASTRE 3/4&quot; DE 1 7/8&quot;"/>
        <filter val="ARANDELA DE PRESION DE F°G° DE 1/2&quot;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7.86"/>
    <col customWidth="1" min="9" max="26" width="9.14"/>
  </cols>
  <sheetData>
    <row r="1">
      <c r="A1" s="28" t="s">
        <v>6847</v>
      </c>
      <c r="B1" s="29"/>
      <c r="C1" s="29"/>
      <c r="D1" s="29"/>
      <c r="E1" s="29"/>
      <c r="F1" s="29"/>
      <c r="G1" s="29"/>
      <c r="H1" s="30"/>
    </row>
    <row r="2">
      <c r="A2" s="31" t="s">
        <v>16</v>
      </c>
      <c r="B2" s="31" t="s">
        <v>1606</v>
      </c>
      <c r="C2" s="32" t="s">
        <v>708</v>
      </c>
      <c r="D2" s="32" t="s">
        <v>6848</v>
      </c>
      <c r="E2" s="32" t="s">
        <v>6849</v>
      </c>
      <c r="F2" s="32" t="s">
        <v>474</v>
      </c>
      <c r="G2" s="32" t="s">
        <v>6850</v>
      </c>
      <c r="H2" s="32" t="s">
        <v>6851</v>
      </c>
    </row>
    <row r="3">
      <c r="A3" s="33" t="s">
        <v>13</v>
      </c>
      <c r="B3" s="33" t="s">
        <v>1604</v>
      </c>
      <c r="C3" s="27" t="s">
        <v>706</v>
      </c>
      <c r="D3" s="33" t="s">
        <v>6852</v>
      </c>
      <c r="E3" s="27" t="s">
        <v>6853</v>
      </c>
      <c r="F3" s="27" t="s">
        <v>471</v>
      </c>
      <c r="G3" s="27" t="s">
        <v>688</v>
      </c>
      <c r="H3" s="27" t="s">
        <v>6854</v>
      </c>
    </row>
    <row r="4">
      <c r="A4" s="33" t="s">
        <v>20</v>
      </c>
      <c r="B4" s="33" t="s">
        <v>1609</v>
      </c>
      <c r="C4" s="27" t="s">
        <v>711</v>
      </c>
      <c r="D4" s="33" t="s">
        <v>6855</v>
      </c>
      <c r="E4" s="27" t="s">
        <v>6856</v>
      </c>
      <c r="F4" s="27" t="s">
        <v>478</v>
      </c>
      <c r="G4" s="27" t="s">
        <v>694</v>
      </c>
      <c r="H4" s="27" t="s">
        <v>6857</v>
      </c>
    </row>
    <row r="5">
      <c r="A5" s="33" t="s">
        <v>25</v>
      </c>
      <c r="B5" s="33" t="s">
        <v>1611</v>
      </c>
      <c r="C5" s="27" t="s">
        <v>713</v>
      </c>
      <c r="D5" s="33" t="s">
        <v>6858</v>
      </c>
      <c r="E5" s="27" t="s">
        <v>6859</v>
      </c>
      <c r="F5" s="27" t="s">
        <v>482</v>
      </c>
      <c r="G5" s="27" t="s">
        <v>697</v>
      </c>
      <c r="H5" s="27" t="s">
        <v>6860</v>
      </c>
    </row>
    <row r="6" ht="7.5" customHeight="1">
      <c r="A6" s="25"/>
      <c r="B6" s="25"/>
      <c r="C6" s="25"/>
      <c r="D6" s="25"/>
      <c r="E6" s="25"/>
      <c r="F6" s="25"/>
      <c r="G6" s="25"/>
      <c r="H6" s="25"/>
    </row>
    <row r="7">
      <c r="A7" s="34" t="s">
        <v>6861</v>
      </c>
      <c r="B7" s="25"/>
      <c r="C7" s="25"/>
      <c r="D7" s="25"/>
      <c r="E7" s="25"/>
      <c r="F7" s="25"/>
      <c r="G7" s="25"/>
      <c r="H7" s="25"/>
    </row>
    <row r="8" ht="7.5" customHeight="1">
      <c r="A8" s="34"/>
      <c r="B8" s="25"/>
      <c r="C8" s="25"/>
      <c r="D8" s="25"/>
      <c r="E8" s="25"/>
      <c r="F8" s="25"/>
      <c r="G8" s="25"/>
      <c r="H8" s="25"/>
    </row>
    <row r="9">
      <c r="A9" s="31" t="s">
        <v>16</v>
      </c>
      <c r="B9" s="33" t="s">
        <v>16</v>
      </c>
      <c r="C9" s="25"/>
      <c r="D9" s="25"/>
      <c r="E9" s="25"/>
      <c r="F9" s="25"/>
      <c r="G9" s="25"/>
      <c r="H9" s="25"/>
    </row>
    <row r="10">
      <c r="A10" s="31" t="s">
        <v>1606</v>
      </c>
      <c r="B10" s="33" t="s">
        <v>6862</v>
      </c>
      <c r="C10" s="25"/>
      <c r="D10" s="25"/>
      <c r="E10" s="25"/>
      <c r="F10" s="25"/>
      <c r="G10" s="25"/>
      <c r="H10" s="25"/>
    </row>
    <row r="11">
      <c r="A11" s="31" t="s">
        <v>708</v>
      </c>
      <c r="B11" s="33" t="s">
        <v>6863</v>
      </c>
      <c r="C11" s="25"/>
      <c r="D11" s="25"/>
      <c r="E11" s="25"/>
      <c r="F11" s="25"/>
      <c r="G11" s="25"/>
      <c r="H11" s="25"/>
    </row>
    <row r="12">
      <c r="A12" s="31" t="s">
        <v>6848</v>
      </c>
      <c r="B12" s="33" t="s">
        <v>6864</v>
      </c>
      <c r="C12" s="25"/>
      <c r="D12" s="25"/>
      <c r="E12" s="25"/>
      <c r="F12" s="25"/>
      <c r="G12" s="25"/>
      <c r="H12" s="25"/>
    </row>
    <row r="13">
      <c r="A13" s="31" t="s">
        <v>6849</v>
      </c>
      <c r="B13" s="33" t="s">
        <v>6865</v>
      </c>
      <c r="C13" s="25"/>
      <c r="D13" s="25"/>
      <c r="E13" s="25"/>
      <c r="F13" s="25"/>
      <c r="G13" s="25"/>
      <c r="H13" s="25"/>
    </row>
    <row r="14">
      <c r="A14" s="31" t="s">
        <v>474</v>
      </c>
      <c r="B14" s="33" t="s">
        <v>6866</v>
      </c>
      <c r="C14" s="25"/>
      <c r="D14" s="25"/>
      <c r="E14" s="25"/>
      <c r="F14" s="25"/>
      <c r="G14" s="25"/>
      <c r="H14" s="25"/>
    </row>
    <row r="15">
      <c r="A15" s="31" t="s">
        <v>6867</v>
      </c>
      <c r="B15" s="33" t="s">
        <v>6868</v>
      </c>
    </row>
    <row r="16">
      <c r="A16" s="31" t="s">
        <v>6851</v>
      </c>
      <c r="B16" s="33" t="s">
        <v>6869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3" width="17.0"/>
    <col customWidth="1" min="4" max="26" width="9.14"/>
  </cols>
  <sheetData>
    <row r="1">
      <c r="A1" s="35" t="s">
        <v>6870</v>
      </c>
      <c r="B1" s="35" t="s">
        <v>6871</v>
      </c>
    </row>
    <row r="2">
      <c r="A2" s="4" t="s">
        <v>6872</v>
      </c>
      <c r="B2" s="4" t="s">
        <v>1717</v>
      </c>
    </row>
    <row r="3">
      <c r="A3" s="4" t="s">
        <v>6873</v>
      </c>
      <c r="B3" s="4" t="s">
        <v>1764</v>
      </c>
    </row>
    <row r="4">
      <c r="A4" s="4" t="s">
        <v>6874</v>
      </c>
      <c r="B4" s="4" t="s">
        <v>1772</v>
      </c>
    </row>
    <row r="5">
      <c r="A5" s="4" t="s">
        <v>6875</v>
      </c>
      <c r="B5" s="4" t="s">
        <v>3661</v>
      </c>
    </row>
    <row r="6">
      <c r="A6" s="4" t="s">
        <v>6876</v>
      </c>
      <c r="B6" s="4" t="s">
        <v>1694</v>
      </c>
    </row>
    <row r="7">
      <c r="A7" s="4" t="s">
        <v>6877</v>
      </c>
      <c r="B7" s="4" t="s">
        <v>371</v>
      </c>
    </row>
    <row r="8">
      <c r="A8" s="4" t="s">
        <v>6878</v>
      </c>
      <c r="B8" s="4" t="s">
        <v>1779</v>
      </c>
    </row>
    <row r="9">
      <c r="A9" s="4" t="s">
        <v>3522</v>
      </c>
      <c r="B9" s="4" t="s">
        <v>3522</v>
      </c>
    </row>
    <row r="10">
      <c r="A10" s="4" t="s">
        <v>6879</v>
      </c>
      <c r="B10" s="4" t="s">
        <v>2391</v>
      </c>
    </row>
    <row r="11">
      <c r="A11" s="4" t="s">
        <v>6880</v>
      </c>
      <c r="B11" s="4" t="s">
        <v>6881</v>
      </c>
    </row>
    <row r="12">
      <c r="A12" s="4" t="s">
        <v>6882</v>
      </c>
      <c r="B12" s="4" t="s">
        <v>2003</v>
      </c>
    </row>
    <row r="13">
      <c r="A13" s="4" t="s">
        <v>6883</v>
      </c>
      <c r="B13" s="4" t="s">
        <v>3633</v>
      </c>
    </row>
    <row r="14">
      <c r="A14" s="4" t="s">
        <v>6884</v>
      </c>
      <c r="B14" s="4" t="s">
        <v>2078</v>
      </c>
    </row>
    <row r="15">
      <c r="A15" s="4" t="s">
        <v>15</v>
      </c>
      <c r="B15" s="4" t="s">
        <v>15</v>
      </c>
    </row>
    <row r="16">
      <c r="A16" s="4" t="s">
        <v>6885</v>
      </c>
      <c r="B16" s="4" t="s">
        <v>1791</v>
      </c>
    </row>
    <row r="17">
      <c r="A17" s="4" t="s">
        <v>6886</v>
      </c>
      <c r="B17" s="4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7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6" width="9.14"/>
  </cols>
  <sheetData>
    <row r="1">
      <c r="A1" s="35" t="s">
        <v>7</v>
      </c>
    </row>
    <row r="2">
      <c r="A2" s="4" t="s">
        <v>6849</v>
      </c>
    </row>
    <row r="3">
      <c r="A3" s="4" t="s">
        <v>6848</v>
      </c>
    </row>
    <row r="4">
      <c r="A4" s="4" t="s">
        <v>16</v>
      </c>
    </row>
    <row r="5">
      <c r="A5" s="4" t="s">
        <v>474</v>
      </c>
    </row>
    <row r="6">
      <c r="A6" s="4" t="s">
        <v>691</v>
      </c>
    </row>
    <row r="7">
      <c r="A7" s="4" t="s">
        <v>708</v>
      </c>
    </row>
    <row r="8">
      <c r="A8" s="4" t="s">
        <v>6887</v>
      </c>
    </row>
    <row r="9">
      <c r="A9" s="4" t="s">
        <v>1606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6" width="9.14"/>
  </cols>
  <sheetData>
    <row r="1">
      <c r="A1" s="35" t="s">
        <v>8</v>
      </c>
    </row>
    <row r="2">
      <c r="A2" s="5" t="s">
        <v>2702</v>
      </c>
    </row>
    <row r="3">
      <c r="A3" s="36" t="s">
        <v>1746</v>
      </c>
    </row>
    <row r="4">
      <c r="A4" s="5" t="s">
        <v>1623</v>
      </c>
    </row>
    <row r="5">
      <c r="A5" s="5" t="s">
        <v>2941</v>
      </c>
    </row>
    <row r="6">
      <c r="A6" s="5" t="s">
        <v>6888</v>
      </c>
    </row>
    <row r="7">
      <c r="A7" s="5" t="s">
        <v>1773</v>
      </c>
    </row>
    <row r="8">
      <c r="A8" s="5" t="s">
        <v>17</v>
      </c>
    </row>
    <row r="9">
      <c r="A9" s="5" t="s">
        <v>2392</v>
      </c>
    </row>
    <row r="10">
      <c r="A10" s="36" t="s">
        <v>1697</v>
      </c>
    </row>
    <row r="11">
      <c r="A11" s="5" t="s">
        <v>6889</v>
      </c>
    </row>
    <row r="12">
      <c r="A12" s="5" t="s">
        <v>2926</v>
      </c>
    </row>
    <row r="13">
      <c r="A13" s="5" t="s">
        <v>1718</v>
      </c>
    </row>
    <row r="14">
      <c r="A14" s="5" t="s">
        <v>1718</v>
      </c>
    </row>
    <row r="15">
      <c r="A15" s="5" t="s">
        <v>6890</v>
      </c>
    </row>
    <row r="16">
      <c r="A16" s="5" t="s">
        <v>2860</v>
      </c>
    </row>
    <row r="17">
      <c r="A17" s="5" t="s">
        <v>3566</v>
      </c>
    </row>
    <row r="18">
      <c r="A18" s="5" t="s">
        <v>590</v>
      </c>
    </row>
    <row r="19">
      <c r="A19" s="5" t="s">
        <v>475</v>
      </c>
    </row>
    <row r="20">
      <c r="A20" s="5" t="s">
        <v>6891</v>
      </c>
    </row>
    <row r="21" ht="15.75" customHeight="1">
      <c r="A21" s="5" t="s">
        <v>621</v>
      </c>
    </row>
    <row r="22" ht="15.75" customHeight="1">
      <c r="A22" s="5" t="s">
        <v>580</v>
      </c>
    </row>
    <row r="23" ht="15.75" customHeight="1">
      <c r="A23" s="5" t="s">
        <v>6892</v>
      </c>
    </row>
    <row r="24" ht="15.75" customHeight="1">
      <c r="A24" s="5" t="s">
        <v>598</v>
      </c>
    </row>
    <row r="25" ht="15.75" customHeight="1">
      <c r="A25" s="5" t="s">
        <v>485</v>
      </c>
    </row>
    <row r="26" ht="15.75" customHeight="1">
      <c r="A26" s="5" t="s">
        <v>584</v>
      </c>
    </row>
    <row r="27" ht="15.75" customHeight="1">
      <c r="A27" s="5" t="s">
        <v>523</v>
      </c>
    </row>
    <row r="28" ht="15.75" customHeight="1">
      <c r="A28" s="5" t="s">
        <v>510</v>
      </c>
    </row>
    <row r="29" ht="15.75" customHeight="1">
      <c r="A29" s="5" t="s">
        <v>6893</v>
      </c>
    </row>
    <row r="30" ht="15.75" customHeight="1">
      <c r="A30" s="5" t="s">
        <v>2015</v>
      </c>
    </row>
    <row r="31" ht="15.75" customHeight="1">
      <c r="A31" s="5" t="s">
        <v>709</v>
      </c>
    </row>
    <row r="32" ht="15.75" customHeight="1">
      <c r="A32" s="5" t="s">
        <v>1688</v>
      </c>
    </row>
    <row r="33" ht="15.75" customHeight="1">
      <c r="A33" s="5" t="s">
        <v>2011</v>
      </c>
    </row>
    <row r="34" ht="15.75" customHeight="1">
      <c r="A34" s="5" t="s">
        <v>1607</v>
      </c>
    </row>
    <row r="35" ht="15.75" customHeight="1">
      <c r="A35" s="5" t="s">
        <v>2085</v>
      </c>
    </row>
    <row r="36" ht="15.75" customHeight="1">
      <c r="A36" s="5" t="s">
        <v>1704</v>
      </c>
    </row>
    <row r="37" ht="15.75" customHeight="1">
      <c r="A37" s="36" t="s">
        <v>1475</v>
      </c>
    </row>
    <row r="38" ht="15.75" customHeight="1">
      <c r="A38" s="5" t="s">
        <v>1574</v>
      </c>
    </row>
    <row r="39" ht="15.75" customHeight="1">
      <c r="A39" s="36" t="s">
        <v>2819</v>
      </c>
    </row>
    <row r="40" ht="15.75" customHeight="1">
      <c r="A40" s="5" t="s">
        <v>5565</v>
      </c>
    </row>
    <row r="41" ht="15.75" customHeight="1">
      <c r="A41" s="5" t="s">
        <v>2028</v>
      </c>
    </row>
    <row r="42" ht="15.75" customHeight="1">
      <c r="A42" s="5" t="s">
        <v>2475</v>
      </c>
    </row>
    <row r="43" ht="15.75" customHeight="1">
      <c r="A43" s="5" t="s">
        <v>6894</v>
      </c>
    </row>
    <row r="44" ht="15.75" customHeight="1">
      <c r="A44" s="36" t="s">
        <v>2646</v>
      </c>
    </row>
    <row r="45" ht="15.75" customHeight="1">
      <c r="A45" s="5" t="s">
        <v>1800</v>
      </c>
    </row>
    <row r="46" ht="15.75" customHeight="1">
      <c r="A46" s="36" t="s">
        <v>6895</v>
      </c>
    </row>
    <row r="47" ht="15.75" customHeight="1">
      <c r="A47" s="36" t="s">
        <v>2044</v>
      </c>
    </row>
    <row r="48" ht="15.75" customHeight="1">
      <c r="A48" s="5" t="s">
        <v>1816</v>
      </c>
    </row>
    <row r="49" ht="15.75" customHeight="1">
      <c r="A49" s="36" t="s">
        <v>1869</v>
      </c>
    </row>
    <row r="50" ht="15.75" customHeight="1">
      <c r="A50" s="5" t="s">
        <v>5842</v>
      </c>
    </row>
    <row r="51" ht="15.75" customHeight="1">
      <c r="A51" s="5" t="s">
        <v>2423</v>
      </c>
    </row>
    <row r="52" ht="15.75" customHeight="1">
      <c r="A52" s="5" t="s">
        <v>2748</v>
      </c>
    </row>
    <row r="53" ht="15.75" customHeight="1">
      <c r="A53" s="5" t="s">
        <v>1794</v>
      </c>
    </row>
    <row r="54" ht="15.75" customHeight="1">
      <c r="A54" s="5" t="s">
        <v>505</v>
      </c>
    </row>
    <row r="55" ht="15.75" customHeight="1">
      <c r="A55" s="5" t="s">
        <v>6126</v>
      </c>
    </row>
    <row r="56" ht="15.75" customHeight="1">
      <c r="A56" s="36" t="s">
        <v>6753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56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86"/>
    <col customWidth="1" min="2" max="26" width="9.14"/>
  </cols>
  <sheetData>
    <row r="1">
      <c r="A1" s="35" t="s">
        <v>9</v>
      </c>
    </row>
    <row r="2">
      <c r="A2" s="5" t="s">
        <v>5526</v>
      </c>
    </row>
    <row r="3">
      <c r="A3" s="36" t="s">
        <v>6896</v>
      </c>
    </row>
    <row r="4">
      <c r="A4" s="36" t="s">
        <v>2016</v>
      </c>
    </row>
    <row r="5">
      <c r="A5" s="36" t="s">
        <v>324</v>
      </c>
    </row>
    <row r="6">
      <c r="A6" s="5" t="s">
        <v>1801</v>
      </c>
    </row>
    <row r="7">
      <c r="A7" s="5" t="s">
        <v>2677</v>
      </c>
    </row>
    <row r="8">
      <c r="A8" s="5" t="s">
        <v>4203</v>
      </c>
    </row>
    <row r="9">
      <c r="A9" s="36" t="s">
        <v>6897</v>
      </c>
    </row>
    <row r="10">
      <c r="A10" s="5" t="s">
        <v>1608</v>
      </c>
    </row>
    <row r="11">
      <c r="A11" s="36" t="s">
        <v>6898</v>
      </c>
    </row>
    <row r="12">
      <c r="A12" s="36" t="s">
        <v>4915</v>
      </c>
    </row>
    <row r="13">
      <c r="A13" s="5" t="s">
        <v>165</v>
      </c>
    </row>
    <row r="14">
      <c r="A14" s="5" t="s">
        <v>6899</v>
      </c>
    </row>
    <row r="15">
      <c r="A15" s="5" t="s">
        <v>2987</v>
      </c>
    </row>
    <row r="16">
      <c r="A16" s="5" t="s">
        <v>2953</v>
      </c>
    </row>
    <row r="17">
      <c r="A17" s="5" t="s">
        <v>2230</v>
      </c>
    </row>
    <row r="18">
      <c r="A18" s="36" t="s">
        <v>6761</v>
      </c>
    </row>
    <row r="19">
      <c r="A19" s="5" t="s">
        <v>1624</v>
      </c>
    </row>
    <row r="20">
      <c r="A20" s="36" t="s">
        <v>6900</v>
      </c>
    </row>
    <row r="21" ht="15.75" customHeight="1">
      <c r="A21" s="5" t="s">
        <v>3172</v>
      </c>
    </row>
    <row r="22" ht="15.75" customHeight="1">
      <c r="A22" s="5" t="s">
        <v>3029</v>
      </c>
    </row>
    <row r="23" ht="15.75" customHeight="1">
      <c r="A23" s="5" t="s">
        <v>4164</v>
      </c>
    </row>
    <row r="24" ht="15.75" customHeight="1">
      <c r="A24" s="36" t="s">
        <v>1723</v>
      </c>
    </row>
    <row r="25" ht="15.75" customHeight="1">
      <c r="A25" s="5" t="s">
        <v>1698</v>
      </c>
    </row>
    <row r="26" ht="15.75" customHeight="1">
      <c r="A26" s="5" t="s">
        <v>2004</v>
      </c>
    </row>
    <row r="27" ht="15.75" customHeight="1">
      <c r="A27" s="5" t="s">
        <v>6901</v>
      </c>
    </row>
    <row r="28" ht="15.75" customHeight="1">
      <c r="A28" s="5" t="s">
        <v>1780</v>
      </c>
    </row>
    <row r="29" ht="15.75" customHeight="1">
      <c r="A29" s="5" t="s">
        <v>736</v>
      </c>
    </row>
    <row r="30" ht="15.75" customHeight="1">
      <c r="A30" s="36" t="s">
        <v>2942</v>
      </c>
    </row>
    <row r="31" ht="15.75" customHeight="1">
      <c r="A31" s="36" t="s">
        <v>476</v>
      </c>
    </row>
    <row r="32" ht="15.75" customHeight="1">
      <c r="A32" s="5" t="s">
        <v>6902</v>
      </c>
    </row>
    <row r="33" ht="15.75" customHeight="1">
      <c r="A33" s="36" t="s">
        <v>6903</v>
      </c>
    </row>
    <row r="34" ht="15.75" customHeight="1">
      <c r="A34" s="36" t="s">
        <v>480</v>
      </c>
    </row>
    <row r="35" ht="15.75" customHeight="1">
      <c r="A35" s="5" t="s">
        <v>1817</v>
      </c>
    </row>
    <row r="36" ht="15.75" customHeight="1">
      <c r="A36" s="36" t="s">
        <v>6904</v>
      </c>
    </row>
    <row r="37" ht="15.75" customHeight="1">
      <c r="A37" s="5" t="s">
        <v>1870</v>
      </c>
    </row>
    <row r="38" ht="15.75" customHeight="1">
      <c r="A38" s="36" t="s">
        <v>6905</v>
      </c>
    </row>
    <row r="39" ht="15.75" customHeight="1">
      <c r="A39" s="36" t="s">
        <v>6906</v>
      </c>
    </row>
    <row r="40" ht="15.75" customHeight="1">
      <c r="A40" s="36" t="s">
        <v>6907</v>
      </c>
    </row>
    <row r="41" ht="15.75" customHeight="1">
      <c r="A41" s="36" t="s">
        <v>6908</v>
      </c>
    </row>
    <row r="42" ht="15.75" customHeight="1">
      <c r="A42" s="5" t="s">
        <v>2225</v>
      </c>
    </row>
    <row r="43" ht="15.75" customHeight="1">
      <c r="A43" s="5" t="s">
        <v>2264</v>
      </c>
    </row>
    <row r="44" ht="15.75" customHeight="1">
      <c r="A44" s="5" t="s">
        <v>2029</v>
      </c>
    </row>
    <row r="45" ht="15.75" customHeight="1">
      <c r="A45" s="5" t="s">
        <v>2404</v>
      </c>
    </row>
    <row r="46" ht="15.75" customHeight="1">
      <c r="A46" s="5" t="s">
        <v>2393</v>
      </c>
    </row>
    <row r="47" ht="15.75" customHeight="1">
      <c r="A47" s="5" t="s">
        <v>2476</v>
      </c>
    </row>
    <row r="48" ht="15.75" customHeight="1">
      <c r="A48" s="5" t="s">
        <v>2501</v>
      </c>
    </row>
    <row r="49" ht="15.75" customHeight="1">
      <c r="A49" s="36" t="s">
        <v>6909</v>
      </c>
    </row>
    <row r="50" ht="15.75" customHeight="1">
      <c r="A50" s="5" t="s">
        <v>2597</v>
      </c>
    </row>
    <row r="51" ht="15.75" customHeight="1">
      <c r="A51" s="36" t="s">
        <v>6910</v>
      </c>
    </row>
    <row r="52" ht="15.75" customHeight="1">
      <c r="A52" s="5" t="s">
        <v>2635</v>
      </c>
    </row>
    <row r="53" ht="15.75" customHeight="1">
      <c r="A53" s="36" t="s">
        <v>6911</v>
      </c>
    </row>
    <row r="54" ht="15.75" customHeight="1">
      <c r="A54" s="5" t="s">
        <v>54</v>
      </c>
    </row>
    <row r="55" ht="15.75" customHeight="1">
      <c r="A55" s="36" t="s">
        <v>2647</v>
      </c>
    </row>
    <row r="56" ht="15.75" customHeight="1">
      <c r="A56" s="36" t="s">
        <v>6912</v>
      </c>
    </row>
    <row r="57" ht="15.75" customHeight="1">
      <c r="A57" s="36" t="s">
        <v>2652</v>
      </c>
    </row>
    <row r="58" ht="15.75" customHeight="1">
      <c r="A58" s="5" t="s">
        <v>2655</v>
      </c>
    </row>
    <row r="59" ht="15.75" customHeight="1">
      <c r="A59" s="5" t="s">
        <v>6913</v>
      </c>
    </row>
    <row r="60" ht="15.75" customHeight="1">
      <c r="A60" s="36" t="s">
        <v>6914</v>
      </c>
    </row>
    <row r="61" ht="15.75" customHeight="1">
      <c r="A61" s="36" t="s">
        <v>2749</v>
      </c>
    </row>
    <row r="62" ht="15.75" customHeight="1">
      <c r="A62" s="5" t="s">
        <v>2755</v>
      </c>
    </row>
    <row r="63" ht="15.75" customHeight="1">
      <c r="A63" s="5" t="s">
        <v>2707</v>
      </c>
    </row>
    <row r="64" ht="15.75" customHeight="1">
      <c r="A64" s="5" t="s">
        <v>2086</v>
      </c>
    </row>
    <row r="65" ht="15.75" customHeight="1">
      <c r="A65" s="36" t="s">
        <v>2773</v>
      </c>
    </row>
    <row r="66" ht="15.75" customHeight="1">
      <c r="A66" s="5" t="s">
        <v>2812</v>
      </c>
    </row>
    <row r="67" ht="15.75" customHeight="1">
      <c r="A67" s="5" t="s">
        <v>2830</v>
      </c>
    </row>
    <row r="68" ht="15.75" customHeight="1">
      <c r="A68" s="5" t="s">
        <v>2927</v>
      </c>
    </row>
    <row r="69" ht="15.75" customHeight="1">
      <c r="A69" s="5" t="s">
        <v>2075</v>
      </c>
    </row>
    <row r="70" ht="15.75" customHeight="1">
      <c r="A70" s="36" t="s">
        <v>486</v>
      </c>
    </row>
    <row r="71" ht="15.75" customHeight="1">
      <c r="A71" s="5" t="s">
        <v>3077</v>
      </c>
    </row>
    <row r="72" ht="15.75" customHeight="1">
      <c r="A72" s="5" t="s">
        <v>2434</v>
      </c>
    </row>
    <row r="73" ht="15.75" customHeight="1">
      <c r="A73" s="5" t="s">
        <v>2742</v>
      </c>
    </row>
    <row r="74" ht="15.75" customHeight="1">
      <c r="A74" s="36" t="s">
        <v>6915</v>
      </c>
    </row>
    <row r="75" ht="15.75" customHeight="1">
      <c r="A75" s="36" t="s">
        <v>1808</v>
      </c>
    </row>
    <row r="76" ht="15.75" customHeight="1">
      <c r="A76" s="36" t="s">
        <v>495</v>
      </c>
    </row>
    <row r="77" ht="15.75" customHeight="1">
      <c r="A77" s="36" t="s">
        <v>490</v>
      </c>
    </row>
    <row r="78" ht="15.75" customHeight="1">
      <c r="A78" s="5" t="s">
        <v>3312</v>
      </c>
    </row>
    <row r="79" ht="15.75" customHeight="1">
      <c r="A79" s="5" t="s">
        <v>2593</v>
      </c>
    </row>
    <row r="80" ht="15.75" customHeight="1">
      <c r="A80" s="36" t="s">
        <v>506</v>
      </c>
    </row>
    <row r="81" ht="15.75" customHeight="1">
      <c r="A81" s="5" t="s">
        <v>3382</v>
      </c>
    </row>
    <row r="82" ht="15.75" customHeight="1">
      <c r="A82" s="5" t="s">
        <v>1575</v>
      </c>
    </row>
    <row r="83" ht="15.75" customHeight="1">
      <c r="A83" s="5" t="s">
        <v>6916</v>
      </c>
    </row>
    <row r="84" ht="15.75" customHeight="1">
      <c r="A84" s="36" t="s">
        <v>6917</v>
      </c>
    </row>
    <row r="85" ht="15.75" customHeight="1">
      <c r="A85" s="36" t="s">
        <v>1163</v>
      </c>
    </row>
    <row r="86" ht="15.75" customHeight="1">
      <c r="A86" s="5" t="s">
        <v>3430</v>
      </c>
    </row>
    <row r="87" ht="15.75" customHeight="1">
      <c r="A87" s="36" t="s">
        <v>3445</v>
      </c>
    </row>
    <row r="88" ht="15.75" customHeight="1">
      <c r="A88" s="36" t="s">
        <v>511</v>
      </c>
    </row>
    <row r="89" ht="15.75" customHeight="1">
      <c r="A89" s="36" t="s">
        <v>6918</v>
      </c>
    </row>
    <row r="90" ht="15.75" customHeight="1">
      <c r="A90" s="5" t="s">
        <v>2490</v>
      </c>
    </row>
    <row r="91" ht="15.75" customHeight="1">
      <c r="A91" s="36" t="s">
        <v>763</v>
      </c>
    </row>
    <row r="92" ht="15.75" customHeight="1">
      <c r="A92" s="5" t="s">
        <v>4169</v>
      </c>
    </row>
    <row r="93" ht="15.75" customHeight="1">
      <c r="A93" s="36" t="s">
        <v>6919</v>
      </c>
    </row>
    <row r="94" ht="15.75" customHeight="1">
      <c r="A94" s="5" t="s">
        <v>3642</v>
      </c>
    </row>
    <row r="95" ht="15.75" customHeight="1">
      <c r="A95" s="36" t="s">
        <v>3645</v>
      </c>
    </row>
    <row r="96" ht="15.75" customHeight="1">
      <c r="A96" s="36" t="s">
        <v>3648</v>
      </c>
    </row>
    <row r="97" ht="15.75" customHeight="1">
      <c r="A97" s="36" t="s">
        <v>6920</v>
      </c>
    </row>
    <row r="98" ht="15.75" customHeight="1">
      <c r="A98" s="5" t="s">
        <v>1719</v>
      </c>
    </row>
    <row r="99" ht="15.75" customHeight="1">
      <c r="A99" s="36" t="s">
        <v>6921</v>
      </c>
    </row>
    <row r="100" ht="15.75" customHeight="1">
      <c r="A100" s="36" t="s">
        <v>524</v>
      </c>
    </row>
    <row r="101" ht="15.75" customHeight="1">
      <c r="A101" s="36" t="s">
        <v>6922</v>
      </c>
    </row>
    <row r="102" ht="15.75" customHeight="1">
      <c r="A102" s="36" t="s">
        <v>719</v>
      </c>
    </row>
    <row r="103" ht="15.75" customHeight="1">
      <c r="A103" s="36" t="s">
        <v>742</v>
      </c>
    </row>
    <row r="104" ht="15.75" customHeight="1">
      <c r="A104" s="36" t="s">
        <v>821</v>
      </c>
    </row>
    <row r="105" ht="15.75" customHeight="1">
      <c r="A105" s="5" t="s">
        <v>1141</v>
      </c>
    </row>
    <row r="106" ht="15.75" customHeight="1">
      <c r="A106" s="36" t="s">
        <v>6923</v>
      </c>
    </row>
    <row r="107" ht="15.75" customHeight="1">
      <c r="A107" s="36" t="s">
        <v>6924</v>
      </c>
    </row>
    <row r="108" ht="15.75" customHeight="1">
      <c r="A108" s="5" t="s">
        <v>3634</v>
      </c>
    </row>
    <row r="109" ht="15.75" customHeight="1">
      <c r="A109" s="36" t="s">
        <v>692</v>
      </c>
    </row>
    <row r="110" ht="15.75" customHeight="1">
      <c r="A110" s="36" t="s">
        <v>3523</v>
      </c>
    </row>
    <row r="111" ht="15.75" customHeight="1">
      <c r="A111" s="5" t="s">
        <v>3983</v>
      </c>
    </row>
    <row r="112" ht="15.75" customHeight="1">
      <c r="A112" s="5" t="s">
        <v>2040</v>
      </c>
    </row>
    <row r="113" ht="15.75" customHeight="1">
      <c r="A113" s="5" t="s">
        <v>5566</v>
      </c>
    </row>
    <row r="114" ht="15.75" customHeight="1">
      <c r="A114" s="5" t="s">
        <v>4065</v>
      </c>
    </row>
    <row r="115" ht="15.75" customHeight="1">
      <c r="A115" s="5" t="s">
        <v>830</v>
      </c>
    </row>
    <row r="116" ht="15.75" customHeight="1">
      <c r="A116" s="5" t="s">
        <v>1688</v>
      </c>
    </row>
    <row r="117" ht="15.75" customHeight="1">
      <c r="A117" s="36" t="s">
        <v>6925</v>
      </c>
    </row>
    <row r="118" ht="15.75" customHeight="1">
      <c r="A118" s="5" t="s">
        <v>4345</v>
      </c>
    </row>
    <row r="119" ht="15.75" customHeight="1">
      <c r="A119" s="5" t="s">
        <v>4086</v>
      </c>
    </row>
    <row r="120" ht="15.75" customHeight="1">
      <c r="A120" s="5" t="s">
        <v>2012</v>
      </c>
    </row>
    <row r="121" ht="15.75" customHeight="1">
      <c r="A121" s="36" t="s">
        <v>6926</v>
      </c>
    </row>
    <row r="122" ht="15.75" customHeight="1">
      <c r="A122" s="5" t="s">
        <v>4099</v>
      </c>
    </row>
    <row r="123" ht="15.75" customHeight="1">
      <c r="A123" s="5" t="s">
        <v>6927</v>
      </c>
    </row>
    <row r="124" ht="15.75" customHeight="1">
      <c r="A124" s="5" t="s">
        <v>1607</v>
      </c>
    </row>
    <row r="125" ht="15.75" customHeight="1">
      <c r="A125" s="36" t="s">
        <v>550</v>
      </c>
    </row>
    <row r="126" ht="15.75" customHeight="1">
      <c r="A126" s="5" t="s">
        <v>2729</v>
      </c>
    </row>
    <row r="127" ht="15.75" customHeight="1">
      <c r="A127" s="5" t="s">
        <v>1544</v>
      </c>
    </row>
    <row r="128" ht="15.75" customHeight="1">
      <c r="A128" s="5" t="s">
        <v>1476</v>
      </c>
    </row>
    <row r="129" ht="15.75" customHeight="1">
      <c r="A129" s="5" t="s">
        <v>2427</v>
      </c>
    </row>
    <row r="130" ht="15.75" customHeight="1">
      <c r="A130" s="5" t="s">
        <v>2082</v>
      </c>
    </row>
    <row r="131" ht="15.75" customHeight="1">
      <c r="A131" s="36" t="s">
        <v>2631</v>
      </c>
    </row>
    <row r="132" ht="15.75" customHeight="1">
      <c r="A132" s="5" t="s">
        <v>6928</v>
      </c>
    </row>
    <row r="133" ht="15.75" customHeight="1">
      <c r="A133" s="36" t="s">
        <v>710</v>
      </c>
    </row>
    <row r="134" ht="15.75" customHeight="1">
      <c r="A134" s="36" t="s">
        <v>6929</v>
      </c>
    </row>
    <row r="135" ht="15.75" customHeight="1">
      <c r="A135" s="36" t="s">
        <v>561</v>
      </c>
    </row>
    <row r="136" ht="15.75" customHeight="1">
      <c r="A136" s="36" t="s">
        <v>565</v>
      </c>
    </row>
    <row r="137" ht="15.75" customHeight="1">
      <c r="A137" s="5" t="s">
        <v>3904</v>
      </c>
    </row>
    <row r="138" ht="15.75" customHeight="1">
      <c r="A138" s="36" t="s">
        <v>6930</v>
      </c>
    </row>
    <row r="139" ht="15.75" customHeight="1">
      <c r="A139" s="36" t="s">
        <v>704</v>
      </c>
    </row>
    <row r="140" ht="15.75" customHeight="1">
      <c r="A140" s="36" t="s">
        <v>6931</v>
      </c>
    </row>
    <row r="141" ht="15.75" customHeight="1">
      <c r="A141" s="5" t="s">
        <v>5148</v>
      </c>
    </row>
    <row r="142" ht="15.75" customHeight="1">
      <c r="A142" s="36" t="s">
        <v>570</v>
      </c>
    </row>
    <row r="143" ht="15.75" customHeight="1">
      <c r="A143" s="36" t="s">
        <v>6932</v>
      </c>
    </row>
    <row r="144" ht="15.75" customHeight="1">
      <c r="A144" s="5" t="s">
        <v>2861</v>
      </c>
    </row>
    <row r="145" ht="15.75" customHeight="1">
      <c r="A145" s="5" t="s">
        <v>5138</v>
      </c>
    </row>
    <row r="146" ht="15.75" customHeight="1">
      <c r="A146" s="5" t="s">
        <v>1580</v>
      </c>
    </row>
    <row r="147" ht="15.75" customHeight="1">
      <c r="A147" s="5" t="s">
        <v>1811</v>
      </c>
    </row>
    <row r="148" ht="15.75" customHeight="1">
      <c r="A148" s="5" t="s">
        <v>2025</v>
      </c>
    </row>
    <row r="149" ht="15.75" customHeight="1">
      <c r="A149" s="5" t="s">
        <v>3726</v>
      </c>
    </row>
    <row r="150" ht="15.75" customHeight="1">
      <c r="A150" s="5" t="s">
        <v>2424</v>
      </c>
    </row>
    <row r="151" ht="15.75" customHeight="1">
      <c r="A151" s="5" t="s">
        <v>1856</v>
      </c>
    </row>
    <row r="152" ht="15.75" customHeight="1">
      <c r="A152" s="5" t="s">
        <v>6933</v>
      </c>
    </row>
    <row r="153" ht="15.75" customHeight="1">
      <c r="A153" s="5" t="s">
        <v>4390</v>
      </c>
    </row>
    <row r="154" ht="15.75" customHeight="1">
      <c r="A154" s="36" t="s">
        <v>6934</v>
      </c>
    </row>
    <row r="155" ht="15.75" customHeight="1">
      <c r="A155" s="5" t="s">
        <v>3477</v>
      </c>
    </row>
    <row r="156" ht="15.75" customHeight="1">
      <c r="A156" s="5" t="s">
        <v>6491</v>
      </c>
    </row>
    <row r="157" ht="15.75" customHeight="1">
      <c r="A157" s="5" t="s">
        <v>3486</v>
      </c>
    </row>
    <row r="158" ht="15.75" customHeight="1">
      <c r="A158" s="5" t="s">
        <v>4662</v>
      </c>
    </row>
    <row r="159" ht="15.75" customHeight="1">
      <c r="A159" s="5" t="s">
        <v>4781</v>
      </c>
    </row>
    <row r="160" ht="15.75" customHeight="1">
      <c r="A160" s="36" t="s">
        <v>6935</v>
      </c>
    </row>
    <row r="161" ht="15.75" customHeight="1">
      <c r="A161" s="5" t="s">
        <v>4380</v>
      </c>
    </row>
    <row r="162" ht="15.75" customHeight="1">
      <c r="A162" s="5" t="s">
        <v>2045</v>
      </c>
    </row>
    <row r="163" ht="15.75" customHeight="1">
      <c r="A163" s="5" t="s">
        <v>4911</v>
      </c>
    </row>
    <row r="164" ht="15.75" customHeight="1">
      <c r="A164" s="36" t="s">
        <v>576</v>
      </c>
    </row>
    <row r="165" ht="15.75" customHeight="1">
      <c r="A165" s="36" t="s">
        <v>546</v>
      </c>
    </row>
    <row r="166" ht="15.75" customHeight="1">
      <c r="A166" s="5" t="s">
        <v>4937</v>
      </c>
    </row>
    <row r="167" ht="15.75" customHeight="1">
      <c r="A167" s="5" t="s">
        <v>4978</v>
      </c>
    </row>
    <row r="168" ht="15.75" customHeight="1">
      <c r="A168" s="36" t="s">
        <v>581</v>
      </c>
    </row>
    <row r="169" ht="15.75" customHeight="1">
      <c r="A169" s="36" t="s">
        <v>585</v>
      </c>
    </row>
    <row r="170" ht="15.75" customHeight="1">
      <c r="A170" s="5" t="s">
        <v>372</v>
      </c>
    </row>
    <row r="171" ht="15.75" customHeight="1">
      <c r="A171" s="5" t="s">
        <v>274</v>
      </c>
    </row>
    <row r="172" ht="15.75" customHeight="1">
      <c r="A172" s="5" t="s">
        <v>32</v>
      </c>
    </row>
    <row r="173" ht="15.75" customHeight="1">
      <c r="A173" s="5" t="s">
        <v>23</v>
      </c>
    </row>
    <row r="174" ht="15.75" customHeight="1">
      <c r="A174" s="5" t="s">
        <v>42</v>
      </c>
    </row>
    <row r="175" ht="15.75" customHeight="1">
      <c r="A175" s="5" t="s">
        <v>18</v>
      </c>
    </row>
    <row r="176" ht="15.75" customHeight="1">
      <c r="A176" s="5" t="s">
        <v>1747</v>
      </c>
    </row>
    <row r="177" ht="15.75" customHeight="1">
      <c r="A177" s="36" t="s">
        <v>591</v>
      </c>
    </row>
    <row r="178" ht="15.75" customHeight="1">
      <c r="A178" s="5" t="s">
        <v>2200</v>
      </c>
    </row>
    <row r="179" ht="15.75" customHeight="1">
      <c r="A179" s="36" t="s">
        <v>6936</v>
      </c>
    </row>
    <row r="180" ht="15.75" customHeight="1">
      <c r="A180" s="36" t="s">
        <v>6937</v>
      </c>
    </row>
    <row r="181" ht="15.75" customHeight="1">
      <c r="A181" s="36" t="s">
        <v>6938</v>
      </c>
    </row>
    <row r="182" ht="15.75" customHeight="1">
      <c r="A182" s="36" t="s">
        <v>6939</v>
      </c>
    </row>
    <row r="183" ht="15.75" customHeight="1">
      <c r="A183" s="5" t="s">
        <v>2037</v>
      </c>
    </row>
    <row r="184" ht="15.75" customHeight="1">
      <c r="A184" s="5" t="s">
        <v>5576</v>
      </c>
    </row>
    <row r="185" ht="15.75" customHeight="1">
      <c r="A185" s="5" t="s">
        <v>4226</v>
      </c>
    </row>
    <row r="186" ht="15.75" customHeight="1">
      <c r="A186" s="5" t="s">
        <v>1795</v>
      </c>
    </row>
    <row r="187" ht="15.75" customHeight="1">
      <c r="A187" s="36" t="s">
        <v>6940</v>
      </c>
    </row>
    <row r="188" ht="15.75" customHeight="1">
      <c r="A188" s="5" t="s">
        <v>3655</v>
      </c>
    </row>
    <row r="189" ht="15.75" customHeight="1">
      <c r="A189" s="5" t="s">
        <v>5630</v>
      </c>
    </row>
    <row r="190" ht="15.75" customHeight="1">
      <c r="A190" s="36" t="s">
        <v>599</v>
      </c>
    </row>
    <row r="191" ht="15.75" customHeight="1">
      <c r="A191" s="36" t="s">
        <v>611</v>
      </c>
    </row>
    <row r="192" ht="15.75" customHeight="1">
      <c r="A192" s="36" t="s">
        <v>6941</v>
      </c>
    </row>
    <row r="193" ht="15.75" customHeight="1">
      <c r="A193" s="36" t="s">
        <v>6942</v>
      </c>
    </row>
    <row r="194" ht="15.75" customHeight="1">
      <c r="A194" s="36" t="s">
        <v>622</v>
      </c>
    </row>
    <row r="195" ht="15.75" customHeight="1">
      <c r="A195" s="5" t="s">
        <v>5782</v>
      </c>
    </row>
    <row r="196" ht="15.75" customHeight="1">
      <c r="A196" s="36" t="s">
        <v>4253</v>
      </c>
    </row>
    <row r="197" ht="15.75" customHeight="1">
      <c r="A197" s="36" t="s">
        <v>631</v>
      </c>
    </row>
    <row r="198" ht="15.75" customHeight="1">
      <c r="A198" s="36" t="s">
        <v>6943</v>
      </c>
    </row>
    <row r="199" ht="15.75" customHeight="1">
      <c r="A199" s="36" t="s">
        <v>5058</v>
      </c>
    </row>
    <row r="200" ht="15.75" customHeight="1">
      <c r="A200" s="36" t="s">
        <v>6944</v>
      </c>
    </row>
    <row r="201" ht="15.75" customHeight="1">
      <c r="A201" s="36" t="s">
        <v>6945</v>
      </c>
    </row>
    <row r="202" ht="15.75" customHeight="1">
      <c r="A202" s="5" t="s">
        <v>3305</v>
      </c>
    </row>
    <row r="203" ht="15.75" customHeight="1">
      <c r="A203" s="36" t="s">
        <v>6946</v>
      </c>
    </row>
    <row r="204" ht="15.75" customHeight="1">
      <c r="A204" s="36" t="s">
        <v>6947</v>
      </c>
    </row>
    <row r="205" ht="15.75" customHeight="1">
      <c r="A205" s="5" t="s">
        <v>1758</v>
      </c>
    </row>
    <row r="206" ht="15.75" customHeight="1">
      <c r="A206" s="5" t="s">
        <v>5437</v>
      </c>
    </row>
    <row r="207" ht="15.75" customHeight="1">
      <c r="A207" s="36" t="s">
        <v>6948</v>
      </c>
    </row>
    <row r="208" ht="15.75" customHeight="1">
      <c r="A208" s="36" t="s">
        <v>6949</v>
      </c>
    </row>
    <row r="209" ht="15.75" customHeight="1">
      <c r="A209" s="36" t="s">
        <v>6950</v>
      </c>
    </row>
    <row r="210" ht="15.75" customHeight="1">
      <c r="A210" s="36" t="s">
        <v>635</v>
      </c>
    </row>
    <row r="211" ht="15.75" customHeight="1">
      <c r="A211" s="36" t="s">
        <v>6951</v>
      </c>
    </row>
    <row r="212" ht="15.75" customHeight="1">
      <c r="A212" s="36" t="s">
        <v>606</v>
      </c>
    </row>
    <row r="213" ht="15.75" customHeight="1">
      <c r="A213" s="36" t="s">
        <v>6952</v>
      </c>
    </row>
    <row r="214" ht="15.75" customHeight="1">
      <c r="A214" s="5" t="s">
        <v>6189</v>
      </c>
    </row>
    <row r="215" ht="15.75" customHeight="1">
      <c r="A215" s="5" t="s">
        <v>6127</v>
      </c>
    </row>
    <row r="216" ht="15.75" customHeight="1">
      <c r="A216" s="5" t="s">
        <v>6140</v>
      </c>
    </row>
    <row r="217" ht="15.75" customHeight="1">
      <c r="A217" s="36" t="s">
        <v>6200</v>
      </c>
    </row>
    <row r="218" ht="15.75" customHeight="1">
      <c r="A218" s="5" t="s">
        <v>6218</v>
      </c>
    </row>
    <row r="219" ht="15.75" customHeight="1">
      <c r="A219" s="36" t="s">
        <v>6209</v>
      </c>
    </row>
    <row r="220" ht="15.75" customHeight="1">
      <c r="A220" s="5" t="s">
        <v>6330</v>
      </c>
    </row>
    <row r="221" ht="15.75" customHeight="1">
      <c r="A221" s="5" t="s">
        <v>45</v>
      </c>
    </row>
    <row r="222" ht="15.75" customHeight="1">
      <c r="A222" s="5" t="s">
        <v>1774</v>
      </c>
    </row>
    <row r="223" ht="15.75" customHeight="1">
      <c r="A223" s="5" t="s">
        <v>6772</v>
      </c>
    </row>
    <row r="224" ht="15.75" customHeight="1">
      <c r="A224" s="5" t="s">
        <v>6754</v>
      </c>
    </row>
    <row r="225" ht="15.75" customHeight="1">
      <c r="A225" s="5" t="s">
        <v>6809</v>
      </c>
    </row>
    <row r="226" ht="15.75" customHeight="1">
      <c r="A226" s="5" t="s">
        <v>1705</v>
      </c>
    </row>
    <row r="227" ht="15.75" customHeight="1">
      <c r="A227" s="5" t="s">
        <v>184</v>
      </c>
    </row>
    <row r="228" ht="15.75" customHeight="1">
      <c r="A228" s="5" t="s">
        <v>430</v>
      </c>
    </row>
    <row r="229" ht="15.75" customHeight="1">
      <c r="A229" s="5" t="s">
        <v>442</v>
      </c>
    </row>
    <row r="230" ht="15.75" customHeight="1">
      <c r="A230" s="36" t="s">
        <v>6953</v>
      </c>
    </row>
    <row r="231" ht="15.75" customHeight="1">
      <c r="A231" s="36" t="s">
        <v>6954</v>
      </c>
    </row>
    <row r="232" ht="15.75" customHeight="1">
      <c r="A232" s="36" t="s">
        <v>6838</v>
      </c>
    </row>
    <row r="233" ht="15.75" customHeight="1">
      <c r="A233" s="5" t="s">
        <v>2759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23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2024-08-14T20:48:00Z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CB0232CDC149416AB49308EF49853FC2_12</vt:lpwstr>
  </property>
  <property fmtid="{D5CDD505-2E9C-101B-9397-08002B2CF9AE}" pid="3" name="KSOProductBuildVer">
    <vt:lpwstr>3082-12.2.0.17562</vt:lpwstr>
  </property>
</Properties>
</file>